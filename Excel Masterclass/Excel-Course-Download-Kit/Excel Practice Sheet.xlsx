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E:\Finance COurses\Excel Masterclass\Excel-Course-Download-Kit\"/>
    </mc:Choice>
  </mc:AlternateContent>
  <xr:revisionPtr revIDLastSave="0" documentId="13_ncr:1_{BA01AFFB-6917-4F86-A6CA-E4FC49392D83}" xr6:coauthVersionLast="47" xr6:coauthVersionMax="47" xr10:uidLastSave="{00000000-0000-0000-0000-000000000000}"/>
  <bookViews>
    <workbookView xWindow="-108" yWindow="-108" windowWidth="23256" windowHeight="12456" firstSheet="9" activeTab="11" xr2:uid="{00000000-000D-0000-FFFF-FFFF00000000}"/>
  </bookViews>
  <sheets>
    <sheet name="Sheet1" sheetId="41" r:id="rId1"/>
    <sheet name="Income Statement" sheetId="40" r:id="rId2"/>
    <sheet name="IF" sheetId="1" r:id="rId3"/>
    <sheet name="IF_ans" sheetId="18" r:id="rId4"/>
    <sheet name="IFS" sheetId="31" r:id="rId5"/>
    <sheet name="IFS_ans" sheetId="32" r:id="rId6"/>
    <sheet name="IFERROR" sheetId="2" r:id="rId7"/>
    <sheet name="IFERROR_ans" sheetId="19" r:id="rId8"/>
    <sheet name="AND OR" sheetId="3" r:id="rId9"/>
    <sheet name="AND OR _ans" sheetId="20" r:id="rId10"/>
    <sheet name="Reference, ROWS, COLUMNS" sheetId="36" r:id="rId11"/>
    <sheet name="Reference, ROWS, COLUMNS_ans" sheetId="35" r:id="rId12"/>
    <sheet name="Lookup &amp; Reference" sheetId="4" r:id="rId13"/>
    <sheet name="Lookup &amp; Reference_ans" sheetId="21" r:id="rId14"/>
    <sheet name="Data table" sheetId="5" r:id="rId15"/>
    <sheet name="Data table_ans" sheetId="22" r:id="rId16"/>
    <sheet name="Self Referencing IFs" sheetId="38" r:id="rId17"/>
    <sheet name="Math" sheetId="7" r:id="rId18"/>
    <sheet name="Math_ans" sheetId="23" r:id="rId19"/>
    <sheet name="Other Useful Functions" sheetId="8" r:id="rId20"/>
    <sheet name="Other Useful Functions_ans" sheetId="24" r:id="rId21"/>
    <sheet name="COUNT &amp; COUNTIF" sheetId="9" r:id="rId22"/>
    <sheet name="COUNT &amp; COUNTIF_ans" sheetId="25" r:id="rId23"/>
    <sheet name="Sheet5" sheetId="37" r:id="rId24"/>
    <sheet name="TEXT" sheetId="12" r:id="rId25"/>
    <sheet name="TEXT_ans" sheetId="26" r:id="rId26"/>
    <sheet name="INDIRECT and &amp;" sheetId="10" r:id="rId27"/>
    <sheet name="INDIRECT and &amp; _ans" sheetId="27" r:id="rId28"/>
    <sheet name="Sort Filter  &amp; Subtotal" sheetId="13" r:id="rId29"/>
    <sheet name="PT Input" sheetId="14" r:id="rId30"/>
    <sheet name="PT Input_ans" sheetId="28" r:id="rId31"/>
    <sheet name="CF" sheetId="30" r:id="rId32"/>
    <sheet name="CF_ ans" sheetId="29" r:id="rId33"/>
    <sheet name="Custom text" sheetId="42" r:id="rId34"/>
    <sheet name="Text to Columns Data" sheetId="43" r:id="rId35"/>
    <sheet name="Dynamic headers &amp; Misc" sheetId="17" r:id="rId36"/>
    <sheet name="Printing" sheetId="39" r:id="rId37"/>
    <sheet name="Dates" sheetId="33" r:id="rId38"/>
  </sheets>
  <externalReferences>
    <externalReference r:id="rId39"/>
    <externalReference r:id="rId40"/>
  </externalReferences>
  <definedNames>
    <definedName name="_xlnm._FilterDatabase" localSheetId="19" hidden="1">'Other Useful Functions'!#REF!</definedName>
    <definedName name="_xlnm._FilterDatabase" localSheetId="20" hidden="1">'Other Useful Functions_ans'!#REF!</definedName>
    <definedName name="_xlnm._FilterDatabase" localSheetId="28" hidden="1">'Sort Filter  &amp; Subtotal'!$B$4:$I$19</definedName>
    <definedName name="COGS2004" localSheetId="1">'Income Statement'!$C$6</definedName>
    <definedName name="COGS2004" localSheetId="10">'[1]Income Statement'!$C$6</definedName>
    <definedName name="COGS2004" localSheetId="11">'[1]Income Statement'!$C$6</definedName>
    <definedName name="COGS2004" localSheetId="0">'[1]Income Statement'!$C$6</definedName>
    <definedName name="COGS2004">[2]Sheet2!$C$6</definedName>
    <definedName name="GP">'Income Statement'!$C$7</definedName>
    <definedName name="_xlnm.Print_Area" localSheetId="36">Printing!$A$1:$F$1001</definedName>
    <definedName name="_xlnm.Print_Area" localSheetId="34">'Text to Columns Data'!$A$1:$D$1000</definedName>
    <definedName name="_xlnm.Print_Titles" localSheetId="36">Printing!$1:$1</definedName>
    <definedName name="_xlnm.Print_Titles" localSheetId="34">'Text to Columns Data'!#REF!</definedName>
    <definedName name="Revenues2004" localSheetId="1">'Income Statement'!$C$5</definedName>
    <definedName name="Revenues2004" localSheetId="10">'[1]Income Statement'!$C$5</definedName>
    <definedName name="Revenues2004" localSheetId="11">'[1]Income Statement'!$C$5</definedName>
    <definedName name="Revenues2004" localSheetId="0">'[1]Income Statement'!$C$5</definedName>
    <definedName name="Revenues2004">[2]Sheet2!$C$5</definedName>
  </definedNames>
  <calcPr calcId="191029" iterate="1"/>
  <pivotCaches>
    <pivotCache cacheId="0" r:id="rId41"/>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21" i="22" l="1"/>
  <c r="F22" i="22"/>
  <c r="C9" i="35"/>
  <c r="F10" i="35"/>
  <c r="F12" i="35"/>
  <c r="F11" i="35"/>
  <c r="F9" i="35"/>
  <c r="F3" i="35" l="1"/>
  <c r="E3" i="35"/>
  <c r="D3" i="35"/>
  <c r="C3" i="35"/>
  <c r="F2" i="35"/>
  <c r="E2" i="35"/>
  <c r="D2" i="35"/>
  <c r="C2" i="35"/>
  <c r="F3" i="36" l="1"/>
  <c r="E3" i="36"/>
  <c r="D3" i="36"/>
  <c r="C3" i="36"/>
  <c r="F2" i="36"/>
  <c r="E2" i="36"/>
  <c r="D2" i="36"/>
  <c r="C2" i="36"/>
  <c r="F5" i="41"/>
  <c r="E5" i="41"/>
  <c r="D5" i="41"/>
  <c r="C5" i="41"/>
  <c r="D17" i="40"/>
  <c r="G7" i="40"/>
  <c r="G10" i="40" s="1"/>
  <c r="F7" i="40"/>
  <c r="F10" i="40" s="1"/>
  <c r="E7" i="40"/>
  <c r="E10" i="40" s="1"/>
  <c r="D7" i="40"/>
  <c r="D10" i="40" s="1"/>
  <c r="C7" i="40"/>
  <c r="C10" i="40" s="1"/>
  <c r="D4" i="40"/>
  <c r="E4" i="40" s="1"/>
  <c r="F4" i="40" s="1"/>
  <c r="G4" i="40" s="1"/>
  <c r="H4" i="40" s="1"/>
  <c r="H5" i="40" s="1"/>
  <c r="B3" i="40"/>
  <c r="D11" i="40" l="1"/>
  <c r="D12" i="40" s="1"/>
  <c r="E11" i="40"/>
  <c r="E12" i="40" s="1"/>
  <c r="F11" i="40"/>
  <c r="F12" i="40"/>
  <c r="C11" i="40"/>
  <c r="C12" i="40" s="1"/>
  <c r="G11" i="40"/>
  <c r="G12" i="40" s="1"/>
  <c r="AA13" i="37" l="1"/>
  <c r="AA12" i="37"/>
  <c r="R101" i="37"/>
  <c r="R100" i="37"/>
  <c r="R99" i="37"/>
  <c r="R98" i="37"/>
  <c r="R97" i="37"/>
  <c r="R96" i="37"/>
  <c r="R95" i="37"/>
  <c r="R94" i="37"/>
  <c r="R93" i="37"/>
  <c r="R92" i="37"/>
  <c r="R91" i="37"/>
  <c r="R90" i="37"/>
  <c r="R89" i="37"/>
  <c r="R88" i="37"/>
  <c r="R87" i="37"/>
  <c r="R86" i="37"/>
  <c r="R85" i="37"/>
  <c r="R84" i="37"/>
  <c r="R83" i="37"/>
  <c r="R82" i="37"/>
  <c r="R81" i="37"/>
  <c r="R80" i="37"/>
  <c r="R79" i="37"/>
  <c r="R78" i="37"/>
  <c r="R77" i="37"/>
  <c r="R76" i="37"/>
  <c r="R75" i="37"/>
  <c r="R74" i="37"/>
  <c r="R73" i="37"/>
  <c r="R72" i="37"/>
  <c r="R71" i="37"/>
  <c r="R70" i="37"/>
  <c r="R69" i="37"/>
  <c r="R68" i="37"/>
  <c r="R67" i="37"/>
  <c r="R66" i="37"/>
  <c r="R65" i="37"/>
  <c r="R64" i="37"/>
  <c r="R63" i="37"/>
  <c r="R62" i="37"/>
  <c r="R61" i="37"/>
  <c r="R60" i="37"/>
  <c r="R59" i="37"/>
  <c r="R58" i="37"/>
  <c r="R57" i="37"/>
  <c r="R56" i="37"/>
  <c r="R55" i="37"/>
  <c r="R54" i="37"/>
  <c r="R53" i="37"/>
  <c r="R52" i="37"/>
  <c r="R51" i="37"/>
  <c r="R50" i="37"/>
  <c r="R49" i="37"/>
  <c r="R48" i="37"/>
  <c r="R47" i="37"/>
  <c r="R46" i="37"/>
  <c r="R45" i="37"/>
  <c r="R44" i="37"/>
  <c r="R43" i="37"/>
  <c r="R42" i="37"/>
  <c r="R41" i="37"/>
  <c r="R40" i="37"/>
  <c r="R39" i="37"/>
  <c r="R38" i="37"/>
  <c r="R37" i="37"/>
  <c r="R36" i="37"/>
  <c r="R35" i="37"/>
  <c r="R34" i="37"/>
  <c r="R33" i="37"/>
  <c r="R32" i="37"/>
  <c r="R31" i="37"/>
  <c r="R30" i="37"/>
  <c r="R29" i="37"/>
  <c r="R28" i="37"/>
  <c r="R27" i="37"/>
  <c r="R26" i="37"/>
  <c r="R25" i="37"/>
  <c r="R24" i="37"/>
  <c r="R23" i="37"/>
  <c r="R22" i="37"/>
  <c r="R21" i="37"/>
  <c r="R20" i="37"/>
  <c r="R19" i="37"/>
  <c r="R18" i="37"/>
  <c r="R17" i="37"/>
  <c r="R16" i="37"/>
  <c r="R15" i="37"/>
  <c r="R14" i="37"/>
  <c r="R13" i="37"/>
  <c r="R12" i="37"/>
  <c r="R11" i="37"/>
  <c r="R10" i="37"/>
  <c r="R9" i="37"/>
  <c r="R8" i="37"/>
  <c r="R7" i="37"/>
  <c r="R6" i="37"/>
  <c r="Q7" i="37"/>
  <c r="Q101" i="37"/>
  <c r="Q100" i="37"/>
  <c r="Q99" i="37"/>
  <c r="Q98" i="37"/>
  <c r="Q97" i="37"/>
  <c r="Q96" i="37"/>
  <c r="Q95" i="37"/>
  <c r="Q94" i="37"/>
  <c r="Q93" i="37"/>
  <c r="Q92" i="37"/>
  <c r="Q91" i="37"/>
  <c r="Q90" i="37"/>
  <c r="Q89" i="37"/>
  <c r="Q88" i="37"/>
  <c r="Q87" i="37"/>
  <c r="Q86" i="37"/>
  <c r="Q85" i="37"/>
  <c r="Q84" i="37"/>
  <c r="Q83" i="37"/>
  <c r="Q82" i="37"/>
  <c r="Q81" i="37"/>
  <c r="Q80" i="37"/>
  <c r="Q79" i="37"/>
  <c r="Q78" i="37"/>
  <c r="Q77" i="37"/>
  <c r="Q76" i="37"/>
  <c r="Q75" i="37"/>
  <c r="Q74" i="37"/>
  <c r="Q73" i="37"/>
  <c r="Q72" i="37"/>
  <c r="Q71" i="37"/>
  <c r="Q70" i="37"/>
  <c r="Q69" i="37"/>
  <c r="Q68" i="37"/>
  <c r="Q67" i="37"/>
  <c r="Q66" i="37"/>
  <c r="Q65" i="37"/>
  <c r="Q64" i="37"/>
  <c r="Q63" i="37"/>
  <c r="Q62" i="37"/>
  <c r="Q61" i="37"/>
  <c r="Q60" i="37"/>
  <c r="Q59" i="37"/>
  <c r="Q58" i="37"/>
  <c r="Q57" i="37"/>
  <c r="Q56" i="37"/>
  <c r="Q55" i="37"/>
  <c r="Q54" i="37"/>
  <c r="Q53" i="37"/>
  <c r="Q52" i="37"/>
  <c r="Q51" i="37"/>
  <c r="Q50" i="37"/>
  <c r="Q49" i="37"/>
  <c r="Q48" i="37"/>
  <c r="Q47" i="37"/>
  <c r="Q46" i="37"/>
  <c r="Q45" i="37"/>
  <c r="Q44" i="37"/>
  <c r="Q43" i="37"/>
  <c r="Q42" i="37"/>
  <c r="Q41" i="37"/>
  <c r="Q40" i="37"/>
  <c r="Q39" i="37"/>
  <c r="Q38" i="37"/>
  <c r="Q37" i="37"/>
  <c r="Q36" i="37"/>
  <c r="Q35" i="37"/>
  <c r="Q34" i="37"/>
  <c r="Q33" i="37"/>
  <c r="Q32" i="37"/>
  <c r="Q31" i="37"/>
  <c r="Q30" i="37"/>
  <c r="Q29" i="37"/>
  <c r="Q28" i="37"/>
  <c r="Q27" i="37"/>
  <c r="Q26" i="37"/>
  <c r="Q25" i="37"/>
  <c r="Q24" i="37"/>
  <c r="Q23" i="37"/>
  <c r="Q22" i="37"/>
  <c r="Q21" i="37"/>
  <c r="Q20" i="37"/>
  <c r="Q19" i="37"/>
  <c r="Q18" i="37"/>
  <c r="Q17" i="37"/>
  <c r="Q16" i="37"/>
  <c r="Q15" i="37"/>
  <c r="Q14" i="37"/>
  <c r="Q13" i="37"/>
  <c r="Q12" i="37"/>
  <c r="Q11" i="37"/>
  <c r="Q10" i="37"/>
  <c r="Q9" i="37"/>
  <c r="Q8" i="37"/>
  <c r="Q6" i="37"/>
  <c r="P101" i="37"/>
  <c r="P100" i="37"/>
  <c r="P99" i="37"/>
  <c r="P98" i="37"/>
  <c r="P97" i="37"/>
  <c r="P96" i="37"/>
  <c r="P95" i="37"/>
  <c r="P94" i="37"/>
  <c r="P93" i="37"/>
  <c r="P92" i="37"/>
  <c r="P91" i="37"/>
  <c r="P90" i="37"/>
  <c r="P89" i="37"/>
  <c r="P88" i="37"/>
  <c r="P87" i="37"/>
  <c r="P86" i="37"/>
  <c r="P85" i="37"/>
  <c r="P84" i="37"/>
  <c r="P83" i="37"/>
  <c r="P82" i="37"/>
  <c r="P81" i="37"/>
  <c r="P80" i="37"/>
  <c r="P79" i="37"/>
  <c r="P78" i="37"/>
  <c r="P77" i="37"/>
  <c r="P76" i="37"/>
  <c r="P75" i="37"/>
  <c r="P74" i="37"/>
  <c r="P73" i="37"/>
  <c r="P72" i="37"/>
  <c r="P71" i="37"/>
  <c r="P70" i="37"/>
  <c r="P69" i="37"/>
  <c r="P68" i="37"/>
  <c r="P67" i="37"/>
  <c r="P66" i="37"/>
  <c r="P65" i="37"/>
  <c r="P64" i="37"/>
  <c r="P63" i="37"/>
  <c r="P62" i="37"/>
  <c r="P61" i="37"/>
  <c r="P60" i="37"/>
  <c r="P59" i="37"/>
  <c r="P58" i="37"/>
  <c r="P57" i="37"/>
  <c r="P56" i="37"/>
  <c r="P55" i="37"/>
  <c r="P54" i="37"/>
  <c r="P53" i="37"/>
  <c r="P52" i="37"/>
  <c r="P51" i="37"/>
  <c r="P50" i="37"/>
  <c r="P49" i="37"/>
  <c r="P48" i="37"/>
  <c r="P47" i="37"/>
  <c r="P46" i="37"/>
  <c r="P45" i="37"/>
  <c r="P44" i="37"/>
  <c r="P43" i="37"/>
  <c r="P42" i="37"/>
  <c r="P41" i="37"/>
  <c r="P40" i="37"/>
  <c r="P39" i="37"/>
  <c r="P38" i="37"/>
  <c r="P37" i="37"/>
  <c r="P36" i="37"/>
  <c r="P35" i="37"/>
  <c r="P34" i="37"/>
  <c r="P33" i="37"/>
  <c r="P32" i="37"/>
  <c r="P31" i="37"/>
  <c r="P30" i="37"/>
  <c r="P29" i="37"/>
  <c r="P28" i="37"/>
  <c r="P27" i="37"/>
  <c r="P26" i="37"/>
  <c r="P25" i="37"/>
  <c r="P24" i="37"/>
  <c r="P23" i="37"/>
  <c r="P22" i="37"/>
  <c r="P21" i="37"/>
  <c r="P20" i="37"/>
  <c r="P19" i="37"/>
  <c r="P18" i="37"/>
  <c r="P17" i="37"/>
  <c r="P16" i="37"/>
  <c r="P15" i="37"/>
  <c r="P14" i="37"/>
  <c r="P13" i="37"/>
  <c r="P12" i="37"/>
  <c r="P11" i="37"/>
  <c r="P10" i="37"/>
  <c r="P9" i="37"/>
  <c r="P8" i="37"/>
  <c r="P7" i="37"/>
  <c r="P6" i="37"/>
  <c r="D19" i="37"/>
  <c r="D8" i="37"/>
  <c r="D7" i="37"/>
  <c r="D20" i="37"/>
  <c r="D10" i="37"/>
  <c r="D9" i="37"/>
  <c r="C24" i="23"/>
  <c r="AA8" i="37" l="1"/>
  <c r="AA9" i="37"/>
  <c r="AA7" i="37"/>
  <c r="L7" i="37"/>
  <c r="L8" i="37" s="1"/>
  <c r="L9" i="37" s="1"/>
  <c r="L10" i="37" s="1"/>
  <c r="L11" i="37" s="1"/>
  <c r="L12" i="37" s="1"/>
  <c r="L13" i="37" s="1"/>
  <c r="L14" i="37" s="1"/>
  <c r="L15" i="37" s="1"/>
  <c r="L16" i="37" s="1"/>
  <c r="L17" i="37" s="1"/>
  <c r="L18" i="37" s="1"/>
  <c r="L19" i="37" s="1"/>
  <c r="L20" i="37" s="1"/>
  <c r="L21" i="37" s="1"/>
  <c r="L22" i="37" s="1"/>
  <c r="L23" i="37" s="1"/>
  <c r="L24" i="37" s="1"/>
  <c r="L25" i="37" s="1"/>
  <c r="L26" i="37" s="1"/>
  <c r="L27" i="37" s="1"/>
  <c r="L28" i="37" s="1"/>
  <c r="L29" i="37" s="1"/>
  <c r="L30" i="37" s="1"/>
  <c r="L31" i="37" s="1"/>
  <c r="L32" i="37" s="1"/>
  <c r="L33" i="37" s="1"/>
  <c r="L34" i="37" s="1"/>
  <c r="L35" i="37" s="1"/>
  <c r="L36" i="37" s="1"/>
  <c r="L37" i="37" s="1"/>
  <c r="L38" i="37" s="1"/>
  <c r="L39" i="37" s="1"/>
  <c r="L40" i="37" s="1"/>
  <c r="L41" i="37" s="1"/>
  <c r="L42" i="37" s="1"/>
  <c r="L43" i="37" s="1"/>
  <c r="L44" i="37" s="1"/>
  <c r="L45" i="37" s="1"/>
  <c r="L46" i="37" s="1"/>
  <c r="L47" i="37" s="1"/>
  <c r="L48" i="37" s="1"/>
  <c r="L49" i="37" s="1"/>
  <c r="L50" i="37" s="1"/>
  <c r="L51" i="37" s="1"/>
  <c r="L52" i="37" s="1"/>
  <c r="L53" i="37" s="1"/>
  <c r="L54" i="37" s="1"/>
  <c r="L55" i="37" s="1"/>
  <c r="L56" i="37" s="1"/>
  <c r="L57" i="37" s="1"/>
  <c r="L58" i="37" s="1"/>
  <c r="L59" i="37" s="1"/>
  <c r="L60" i="37" s="1"/>
  <c r="L61" i="37" s="1"/>
  <c r="L62" i="37" s="1"/>
  <c r="L63" i="37" s="1"/>
  <c r="L64" i="37" s="1"/>
  <c r="L65" i="37" s="1"/>
  <c r="L66" i="37" s="1"/>
  <c r="L67" i="37" s="1"/>
  <c r="L68" i="37" s="1"/>
  <c r="L69" i="37" s="1"/>
  <c r="L70" i="37" s="1"/>
  <c r="L71" i="37" s="1"/>
  <c r="L72" i="37" s="1"/>
  <c r="L73" i="37" s="1"/>
  <c r="L74" i="37" s="1"/>
  <c r="L75" i="37" s="1"/>
  <c r="L76" i="37" s="1"/>
  <c r="L77" i="37" s="1"/>
  <c r="L78" i="37" s="1"/>
  <c r="L79" i="37" s="1"/>
  <c r="L80" i="37" s="1"/>
  <c r="L81" i="37" s="1"/>
  <c r="L82" i="37" s="1"/>
  <c r="L83" i="37" s="1"/>
  <c r="L84" i="37" s="1"/>
  <c r="L85" i="37" s="1"/>
  <c r="L86" i="37" s="1"/>
  <c r="L87" i="37" s="1"/>
  <c r="L88" i="37" s="1"/>
  <c r="L89" i="37" s="1"/>
  <c r="L90" i="37" s="1"/>
  <c r="L91" i="37" s="1"/>
  <c r="L92" i="37" s="1"/>
  <c r="L93" i="37" s="1"/>
  <c r="L94" i="37" s="1"/>
  <c r="L95" i="37" s="1"/>
  <c r="L96" i="37" s="1"/>
  <c r="L97" i="37" s="1"/>
  <c r="L98" i="37" s="1"/>
  <c r="L99" i="37" s="1"/>
  <c r="L100" i="37" s="1"/>
  <c r="L101" i="37" s="1"/>
  <c r="F4" i="36"/>
  <c r="E4" i="36"/>
  <c r="D4" i="36"/>
  <c r="C4" i="36"/>
  <c r="F4" i="35"/>
  <c r="E4" i="35"/>
  <c r="D4" i="35"/>
  <c r="C4" i="35"/>
  <c r="C17" i="35" l="1"/>
  <c r="C11" i="35"/>
  <c r="C12" i="35"/>
  <c r="C10" i="35"/>
  <c r="C57" i="33" l="1"/>
  <c r="C56" i="33"/>
  <c r="C55" i="33"/>
  <c r="C54" i="33"/>
  <c r="C53" i="33"/>
  <c r="C52" i="33"/>
  <c r="C51" i="33"/>
  <c r="C50" i="33"/>
  <c r="C49" i="33"/>
  <c r="C48" i="33"/>
  <c r="C47" i="33"/>
  <c r="C46" i="33"/>
  <c r="C45" i="33"/>
  <c r="C44" i="33"/>
  <c r="C43" i="33"/>
  <c r="C42" i="33"/>
  <c r="C41" i="33"/>
  <c r="C40" i="33"/>
  <c r="C39" i="33"/>
  <c r="C38" i="33"/>
  <c r="C37" i="33"/>
  <c r="C36" i="33"/>
  <c r="C35" i="33"/>
  <c r="C34" i="33"/>
  <c r="C33" i="33"/>
  <c r="C32" i="33"/>
  <c r="C31" i="33"/>
  <c r="C30" i="33"/>
  <c r="C29" i="33"/>
  <c r="C28" i="33"/>
  <c r="C27" i="33"/>
  <c r="C26" i="33"/>
  <c r="C25" i="33"/>
  <c r="C24" i="33"/>
  <c r="C23" i="33"/>
  <c r="C22" i="33"/>
  <c r="C21" i="33"/>
  <c r="C20" i="33"/>
  <c r="C19" i="33"/>
  <c r="C18" i="33"/>
  <c r="C17" i="33"/>
  <c r="C16" i="33"/>
  <c r="C15" i="33"/>
  <c r="C14" i="33"/>
  <c r="C13" i="33"/>
  <c r="C12" i="33"/>
  <c r="C11" i="33"/>
  <c r="C10" i="33"/>
  <c r="C8" i="33"/>
  <c r="C7" i="33"/>
  <c r="C6" i="33"/>
  <c r="C5" i="33"/>
  <c r="C4" i="33"/>
  <c r="C3" i="33"/>
  <c r="C2" i="33"/>
  <c r="C9" i="33"/>
  <c r="AF2" i="33"/>
  <c r="AE57" i="33"/>
  <c r="AE56" i="33"/>
  <c r="AE55" i="33"/>
  <c r="AE54" i="33"/>
  <c r="AE53" i="33"/>
  <c r="AE52" i="33"/>
  <c r="AE51" i="33"/>
  <c r="AE50" i="33"/>
  <c r="AE49" i="33"/>
  <c r="AE48" i="33"/>
  <c r="AE47" i="33"/>
  <c r="AE46" i="33"/>
  <c r="AE45" i="33"/>
  <c r="AE44" i="33"/>
  <c r="AE43" i="33"/>
  <c r="AE42" i="33"/>
  <c r="AE41" i="33"/>
  <c r="AE40" i="33"/>
  <c r="AE39" i="33"/>
  <c r="AE38" i="33"/>
  <c r="AE37" i="33"/>
  <c r="AE36" i="33"/>
  <c r="AE35" i="33"/>
  <c r="AE2" i="33"/>
  <c r="AE34" i="33"/>
  <c r="AE33" i="33"/>
  <c r="AE32" i="33"/>
  <c r="AE31" i="33"/>
  <c r="AE3" i="33"/>
  <c r="AE4" i="33"/>
  <c r="AE5" i="33"/>
  <c r="AE6" i="33"/>
  <c r="AE7" i="33"/>
  <c r="AE8" i="33"/>
  <c r="AE9" i="33"/>
  <c r="AE10" i="33"/>
  <c r="AE11" i="33"/>
  <c r="AE12" i="33"/>
  <c r="AE13" i="33"/>
  <c r="AE14" i="33"/>
  <c r="AE15" i="33"/>
  <c r="AE16" i="33"/>
  <c r="AE17" i="33"/>
  <c r="AE18" i="33"/>
  <c r="AE19" i="33"/>
  <c r="AE20" i="33"/>
  <c r="AE21" i="33"/>
  <c r="AE22" i="33"/>
  <c r="AE23" i="33"/>
  <c r="AE24" i="33"/>
  <c r="AE25" i="33"/>
  <c r="AE26" i="33"/>
  <c r="AE27" i="33"/>
  <c r="AE28" i="33"/>
  <c r="AE29" i="33"/>
  <c r="AE30" i="33"/>
  <c r="AF57" i="33"/>
  <c r="AF56" i="33"/>
  <c r="AF55" i="33"/>
  <c r="AF54" i="33"/>
  <c r="AF53" i="33"/>
  <c r="AF52" i="33"/>
  <c r="AF51" i="33"/>
  <c r="AF50" i="33"/>
  <c r="AF49" i="33"/>
  <c r="AF48" i="33"/>
  <c r="AF47" i="33"/>
  <c r="AF46" i="33"/>
  <c r="AF45" i="33"/>
  <c r="AF44" i="33"/>
  <c r="AF43" i="33"/>
  <c r="AF42" i="33"/>
  <c r="AF41" i="33"/>
  <c r="AF40" i="33"/>
  <c r="AF39" i="33"/>
  <c r="AF38" i="33"/>
  <c r="AF37" i="33"/>
  <c r="AF36" i="33"/>
  <c r="AF35" i="33"/>
  <c r="AF34" i="33"/>
  <c r="AF33" i="33"/>
  <c r="AF32" i="33"/>
  <c r="AF31" i="33"/>
  <c r="AF30" i="33"/>
  <c r="AF29" i="33"/>
  <c r="AF28" i="33"/>
  <c r="AF27" i="33"/>
  <c r="AF26" i="33"/>
  <c r="AF25" i="33"/>
  <c r="AF24" i="33"/>
  <c r="AF23" i="33"/>
  <c r="AF22" i="33"/>
  <c r="AF21" i="33"/>
  <c r="AF20" i="33"/>
  <c r="AF19" i="33"/>
  <c r="AF18" i="33"/>
  <c r="AF17" i="33"/>
  <c r="AF16" i="33"/>
  <c r="AF15" i="33"/>
  <c r="AF14" i="33"/>
  <c r="AF13" i="33"/>
  <c r="AF12" i="33"/>
  <c r="AF11" i="33"/>
  <c r="AF10" i="33"/>
  <c r="AF8" i="33"/>
  <c r="AF7" i="33"/>
  <c r="AF6" i="33"/>
  <c r="AF5" i="33"/>
  <c r="AF4" i="33"/>
  <c r="AF3" i="33"/>
  <c r="AF9" i="33"/>
  <c r="E14" i="32" l="1"/>
  <c r="F14" i="32" s="1"/>
  <c r="G14" i="32" s="1"/>
  <c r="H14" i="32" s="1"/>
  <c r="D14" i="32"/>
  <c r="C14" i="32"/>
  <c r="E13" i="32"/>
  <c r="D13" i="32"/>
  <c r="C13" i="32"/>
  <c r="E12" i="32"/>
  <c r="D12" i="32"/>
  <c r="E7" i="32"/>
  <c r="E9" i="32" s="1"/>
  <c r="D7" i="32"/>
  <c r="D9" i="32" s="1"/>
  <c r="C7" i="32"/>
  <c r="C9" i="32" s="1"/>
  <c r="F5" i="32"/>
  <c r="F15" i="32" s="1"/>
  <c r="E14" i="31"/>
  <c r="F14" i="31" s="1"/>
  <c r="D14" i="31"/>
  <c r="C14" i="31"/>
  <c r="E13" i="31"/>
  <c r="D13" i="31"/>
  <c r="C13" i="31"/>
  <c r="E12" i="31"/>
  <c r="D12" i="31"/>
  <c r="E9" i="31"/>
  <c r="E7" i="31"/>
  <c r="D7" i="31"/>
  <c r="D9" i="31" s="1"/>
  <c r="C7" i="31"/>
  <c r="C9" i="31" s="1"/>
  <c r="F5" i="31"/>
  <c r="G5" i="31" s="1"/>
  <c r="G6" i="31" s="1"/>
  <c r="F6" i="31" l="1"/>
  <c r="F7" i="31" s="1"/>
  <c r="F8" i="32"/>
  <c r="G5" i="32"/>
  <c r="G6" i="32" s="1"/>
  <c r="G7" i="31"/>
  <c r="F6" i="32"/>
  <c r="F7" i="32" s="1"/>
  <c r="G8" i="32"/>
  <c r="F9" i="32"/>
  <c r="F8" i="31"/>
  <c r="F9" i="31" s="1"/>
  <c r="H5" i="31"/>
  <c r="H15" i="32" l="1"/>
  <c r="H5" i="32"/>
  <c r="G7" i="32"/>
  <c r="G9" i="32" s="1"/>
  <c r="G15" i="32"/>
  <c r="G14" i="31"/>
  <c r="G8" i="31" s="1"/>
  <c r="H6" i="32"/>
  <c r="H7" i="32" s="1"/>
  <c r="H8" i="32"/>
  <c r="H6" i="31"/>
  <c r="H7" i="31" s="1"/>
  <c r="H9" i="32" l="1"/>
  <c r="G9" i="31"/>
  <c r="H14" i="31"/>
  <c r="H8" i="31" s="1"/>
  <c r="H9" i="31" s="1"/>
  <c r="C43" i="24" l="1"/>
  <c r="I10" i="30" l="1"/>
  <c r="J9" i="30"/>
  <c r="J10" i="30" s="1"/>
  <c r="J8" i="30"/>
  <c r="K8" i="30" s="1"/>
  <c r="L8" i="30" s="1"/>
  <c r="M8" i="30" s="1"/>
  <c r="N8" i="30" s="1"/>
  <c r="I10" i="29"/>
  <c r="J9" i="29"/>
  <c r="J10" i="29" s="1"/>
  <c r="J8" i="29"/>
  <c r="K8" i="29" s="1"/>
  <c r="L8" i="29" s="1"/>
  <c r="M8" i="29" s="1"/>
  <c r="N8" i="29" s="1"/>
  <c r="K9" i="30" l="1"/>
  <c r="L9" i="30" s="1"/>
  <c r="L10" i="30" s="1"/>
  <c r="K9" i="29"/>
  <c r="L9" i="29" s="1"/>
  <c r="M9" i="29" s="1"/>
  <c r="K10" i="30"/>
  <c r="K10" i="29" l="1"/>
  <c r="L10" i="29"/>
  <c r="M9" i="30"/>
  <c r="M10" i="30"/>
  <c r="N9" i="30"/>
  <c r="N10" i="30" s="1"/>
  <c r="M10" i="29"/>
  <c r="N9" i="29"/>
  <c r="N10" i="29" s="1"/>
  <c r="F6" i="22" l="1"/>
  <c r="A16" i="27"/>
  <c r="B3" i="27"/>
  <c r="B4" i="27" s="1"/>
  <c r="B5" i="27" s="1"/>
  <c r="B6" i="27" s="1"/>
  <c r="B7" i="27" s="1"/>
  <c r="B8" i="27" s="1"/>
  <c r="B9" i="27" s="1"/>
  <c r="B10" i="27" s="1"/>
  <c r="B11" i="27" s="1"/>
  <c r="A3" i="27"/>
  <c r="A4" i="27" s="1"/>
  <c r="A5" i="27" s="1"/>
  <c r="A6" i="27" s="1"/>
  <c r="A7" i="27" s="1"/>
  <c r="A8" i="27" s="1"/>
  <c r="A9" i="27" s="1"/>
  <c r="A10" i="27" s="1"/>
  <c r="A11" i="27" s="1"/>
  <c r="A32" i="26"/>
  <c r="A33" i="26" s="1"/>
  <c r="A35" i="26" s="1"/>
  <c r="A26" i="26"/>
  <c r="A27" i="26" s="1"/>
  <c r="A28" i="26" s="1"/>
  <c r="A29" i="26" s="1"/>
  <c r="B23" i="26"/>
  <c r="B19" i="26"/>
  <c r="B18" i="26"/>
  <c r="B13" i="26"/>
  <c r="B12" i="26"/>
  <c r="B11" i="26"/>
  <c r="B10" i="26"/>
  <c r="B9" i="26"/>
  <c r="B8" i="26"/>
  <c r="B7" i="26"/>
  <c r="B6" i="26"/>
  <c r="B5" i="26"/>
  <c r="B4" i="26"/>
  <c r="B3" i="26"/>
  <c r="B2" i="26"/>
  <c r="J6" i="25"/>
  <c r="J7" i="25"/>
  <c r="J8" i="25"/>
  <c r="J9" i="25"/>
  <c r="C133" i="24"/>
  <c r="C126" i="24"/>
  <c r="I115" i="24"/>
  <c r="G115" i="24"/>
  <c r="C115" i="24"/>
  <c r="B114" i="24"/>
  <c r="B113" i="24"/>
  <c r="B112" i="24"/>
  <c r="B111" i="24"/>
  <c r="B110" i="24"/>
  <c r="C106" i="24"/>
  <c r="K104" i="24"/>
  <c r="G104" i="24"/>
  <c r="F101" i="24"/>
  <c r="F102" i="24" s="1"/>
  <c r="F103" i="24" s="1"/>
  <c r="C95" i="24"/>
  <c r="E83" i="24"/>
  <c r="C83" i="24"/>
  <c r="E82" i="24"/>
  <c r="C82" i="24"/>
  <c r="C73" i="24"/>
  <c r="C72" i="24"/>
  <c r="C66" i="24"/>
  <c r="C65" i="24"/>
  <c r="C64" i="24"/>
  <c r="D49" i="24"/>
  <c r="D48" i="24"/>
  <c r="E48" i="24" s="1"/>
  <c r="D42" i="24"/>
  <c r="D43" i="24" s="1"/>
  <c r="E42" i="24" s="1"/>
  <c r="E43" i="24" s="1"/>
  <c r="F42" i="24" s="1"/>
  <c r="F43" i="24" s="1"/>
  <c r="D40" i="24"/>
  <c r="E40" i="24" s="1"/>
  <c r="F40" i="24" s="1"/>
  <c r="C37" i="24"/>
  <c r="C31" i="24"/>
  <c r="C25" i="24"/>
  <c r="C19" i="24"/>
  <c r="C14" i="24"/>
  <c r="C9" i="24"/>
  <c r="C4" i="24"/>
  <c r="K34" i="23"/>
  <c r="K36" i="23" s="1"/>
  <c r="C33" i="23"/>
  <c r="C32" i="23"/>
  <c r="C29" i="23"/>
  <c r="K28" i="23"/>
  <c r="K29" i="23" s="1"/>
  <c r="C28" i="23"/>
  <c r="C25" i="23"/>
  <c r="M23" i="23"/>
  <c r="C21" i="23"/>
  <c r="M20" i="23"/>
  <c r="M19" i="23"/>
  <c r="M18" i="23"/>
  <c r="F49" i="22"/>
  <c r="G46" i="22"/>
  <c r="G27" i="22"/>
  <c r="H27" i="22" s="1"/>
  <c r="G26" i="22"/>
  <c r="H26" i="22" s="1"/>
  <c r="G25" i="22"/>
  <c r="H25" i="22" s="1"/>
  <c r="H22" i="22"/>
  <c r="G22" i="22"/>
  <c r="G21" i="22"/>
  <c r="E8" i="22"/>
  <c r="E11" i="22" s="1"/>
  <c r="D8" i="22"/>
  <c r="D11" i="22" s="1"/>
  <c r="C8" i="22"/>
  <c r="C11" i="22" s="1"/>
  <c r="D5" i="22"/>
  <c r="E5" i="22" s="1"/>
  <c r="F5" i="22" s="1"/>
  <c r="G5" i="22" s="1"/>
  <c r="H5" i="22" s="1"/>
  <c r="B3" i="22"/>
  <c r="AE23" i="21"/>
  <c r="AD21" i="21"/>
  <c r="AE21" i="21" s="1"/>
  <c r="AF21" i="21" s="1"/>
  <c r="AG21" i="21" s="1"/>
  <c r="G8" i="21"/>
  <c r="G10" i="21" s="1"/>
  <c r="F8" i="21"/>
  <c r="F10" i="21" s="1"/>
  <c r="E8" i="21"/>
  <c r="E10" i="21" s="1"/>
  <c r="D8" i="21"/>
  <c r="D10" i="21" s="1"/>
  <c r="C8" i="21"/>
  <c r="C10" i="21" s="1"/>
  <c r="D5" i="21"/>
  <c r="B4" i="21"/>
  <c r="H15" i="20"/>
  <c r="H14" i="20"/>
  <c r="H13" i="20"/>
  <c r="H12" i="20"/>
  <c r="H7" i="20"/>
  <c r="H6" i="20"/>
  <c r="H5" i="20"/>
  <c r="H4" i="20"/>
  <c r="E5" i="19"/>
  <c r="D5" i="19"/>
  <c r="C5" i="19"/>
  <c r="D2" i="19"/>
  <c r="E2" i="19" s="1"/>
  <c r="C20" i="18"/>
  <c r="C21" i="18" s="1"/>
  <c r="C7" i="18"/>
  <c r="C8" i="18" s="1"/>
  <c r="C7" i="17"/>
  <c r="C6" i="17"/>
  <c r="I23" i="13"/>
  <c r="I25" i="13"/>
  <c r="I29" i="13"/>
  <c r="I31" i="13"/>
  <c r="I33" i="13"/>
  <c r="I35" i="13"/>
  <c r="I37" i="13"/>
  <c r="I42" i="13"/>
  <c r="I45" i="13"/>
  <c r="B16" i="27"/>
  <c r="H21" i="22" l="1"/>
  <c r="K30" i="23"/>
  <c r="C84" i="24"/>
  <c r="A34" i="26"/>
  <c r="A36" i="26" s="1"/>
  <c r="E84" i="24"/>
  <c r="C74" i="24"/>
  <c r="E49" i="24"/>
  <c r="F49" i="24" s="1"/>
  <c r="C50" i="24" s="1"/>
  <c r="I104" i="24"/>
  <c r="K35" i="23"/>
  <c r="F7" i="22"/>
  <c r="F8" i="22" s="1"/>
  <c r="F11" i="22" s="1"/>
  <c r="F12" i="22" s="1"/>
  <c r="F14" i="22" s="1"/>
  <c r="F16" i="22" s="1"/>
  <c r="C14" i="22"/>
  <c r="C16" i="22" s="1"/>
  <c r="C13" i="22"/>
  <c r="D13" i="22"/>
  <c r="D14" i="22"/>
  <c r="D16" i="22" s="1"/>
  <c r="G6" i="22"/>
  <c r="C11" i="21"/>
  <c r="C12" i="21" s="1"/>
  <c r="C14" i="21" s="1"/>
  <c r="G11" i="21"/>
  <c r="G12" i="21" s="1"/>
  <c r="G14" i="21" s="1"/>
  <c r="D11" i="21"/>
  <c r="D12" i="21" s="1"/>
  <c r="D14" i="21" s="1"/>
  <c r="F11" i="21"/>
  <c r="F12" i="21" s="1"/>
  <c r="F14" i="21" s="1"/>
  <c r="E11" i="21"/>
  <c r="E12" i="21" s="1"/>
  <c r="E14" i="21" s="1"/>
  <c r="E5" i="21"/>
  <c r="C9" i="18"/>
  <c r="D9" i="18"/>
  <c r="I46" i="13"/>
  <c r="C28" i="21"/>
  <c r="B3" i="38" l="1"/>
  <c r="C24" i="21"/>
  <c r="C27" i="21"/>
  <c r="C25" i="21"/>
  <c r="C26" i="21"/>
  <c r="E34" i="22"/>
  <c r="D43" i="22"/>
  <c r="D49" i="22"/>
  <c r="G7" i="22"/>
  <c r="G8" i="22" s="1"/>
  <c r="G11" i="22" s="1"/>
  <c r="H6" i="22"/>
  <c r="F5" i="21"/>
  <c r="C23" i="21" s="1"/>
  <c r="A26" i="12"/>
  <c r="A27" i="12" s="1"/>
  <c r="A28" i="12" s="1"/>
  <c r="B13" i="12"/>
  <c r="B12" i="12"/>
  <c r="B11" i="12"/>
  <c r="B10" i="12"/>
  <c r="B9" i="12"/>
  <c r="B5" i="12"/>
  <c r="B4" i="12"/>
  <c r="B3" i="12"/>
  <c r="B2" i="12"/>
  <c r="A32" i="12"/>
  <c r="A34" i="12" s="1"/>
  <c r="B8" i="12"/>
  <c r="B7" i="12"/>
  <c r="B6" i="12"/>
  <c r="A16" i="10"/>
  <c r="B3" i="10"/>
  <c r="B4" i="10" s="1"/>
  <c r="B5" i="10" s="1"/>
  <c r="B6" i="10" s="1"/>
  <c r="B7" i="10" s="1"/>
  <c r="B8" i="10" s="1"/>
  <c r="B9" i="10" s="1"/>
  <c r="B10" i="10" s="1"/>
  <c r="B11" i="10" s="1"/>
  <c r="A3" i="10"/>
  <c r="A4" i="10" s="1"/>
  <c r="A5" i="10" s="1"/>
  <c r="A6" i="10" s="1"/>
  <c r="A7" i="10" s="1"/>
  <c r="A8" i="10" s="1"/>
  <c r="A9" i="10" s="1"/>
  <c r="A10" i="10" s="1"/>
  <c r="A11" i="10" s="1"/>
  <c r="G12" i="22" l="1"/>
  <c r="G14" i="22" s="1"/>
  <c r="G16" i="22" s="1"/>
  <c r="H7" i="22"/>
  <c r="H8" i="22" s="1"/>
  <c r="H11" i="22" s="1"/>
  <c r="G5" i="21"/>
  <c r="A33" i="12"/>
  <c r="A35" i="12" s="1"/>
  <c r="H12" i="22" l="1"/>
  <c r="H14" i="22" s="1"/>
  <c r="H16" i="22" s="1"/>
  <c r="F101" i="8"/>
  <c r="F102" i="8" s="1"/>
  <c r="F103" i="8" s="1"/>
  <c r="I115" i="8"/>
  <c r="G115" i="8"/>
  <c r="G104" i="8"/>
  <c r="K104" i="8"/>
  <c r="C83" i="8"/>
  <c r="D49" i="8"/>
  <c r="E49" i="8" s="1"/>
  <c r="D48" i="8"/>
  <c r="E48" i="8" s="1"/>
  <c r="F6" i="5"/>
  <c r="C19" i="8"/>
  <c r="C9" i="8"/>
  <c r="C14" i="8"/>
  <c r="C4" i="8"/>
  <c r="C133" i="8"/>
  <c r="B114" i="8"/>
  <c r="B113" i="8"/>
  <c r="B112" i="8"/>
  <c r="B111" i="8"/>
  <c r="B110" i="8"/>
  <c r="E83" i="8"/>
  <c r="E82" i="8"/>
  <c r="C82" i="8"/>
  <c r="D40" i="8"/>
  <c r="E40" i="8" s="1"/>
  <c r="F40" i="8" s="1"/>
  <c r="C73" i="8"/>
  <c r="C72" i="8"/>
  <c r="C37" i="8"/>
  <c r="C31" i="8"/>
  <c r="C25" i="8"/>
  <c r="K34" i="7"/>
  <c r="K36" i="7" s="1"/>
  <c r="K28" i="7"/>
  <c r="K29" i="7" s="1"/>
  <c r="M23" i="7"/>
  <c r="M20" i="7"/>
  <c r="M19" i="7"/>
  <c r="M18" i="7"/>
  <c r="F49" i="5"/>
  <c r="G46" i="5"/>
  <c r="B3" i="5"/>
  <c r="D5" i="5"/>
  <c r="E5" i="5" s="1"/>
  <c r="F5" i="5" s="1"/>
  <c r="G5" i="5" s="1"/>
  <c r="H5" i="5" s="1"/>
  <c r="G27" i="5"/>
  <c r="H27" i="5" s="1"/>
  <c r="G26" i="5"/>
  <c r="H26" i="5" s="1"/>
  <c r="G25" i="5"/>
  <c r="H25" i="5" s="1"/>
  <c r="E8" i="5"/>
  <c r="E11" i="5" s="1"/>
  <c r="D8" i="5"/>
  <c r="D11" i="5" s="1"/>
  <c r="D13" i="5" s="1"/>
  <c r="C8" i="5"/>
  <c r="C11" i="5" s="1"/>
  <c r="C13" i="5" s="1"/>
  <c r="AE23" i="4"/>
  <c r="AD21" i="4"/>
  <c r="AE21" i="4" s="1"/>
  <c r="AF21" i="4" s="1"/>
  <c r="AG21" i="4" s="1"/>
  <c r="D5" i="4"/>
  <c r="E5" i="4" s="1"/>
  <c r="F5" i="4" s="1"/>
  <c r="G5" i="4" s="1"/>
  <c r="G8" i="4"/>
  <c r="G10" i="4" s="1"/>
  <c r="G11" i="4" s="1"/>
  <c r="G12" i="4" s="1"/>
  <c r="G14" i="4" s="1"/>
  <c r="F8" i="4"/>
  <c r="F10" i="4" s="1"/>
  <c r="E8" i="4"/>
  <c r="E10" i="4" s="1"/>
  <c r="D8" i="4"/>
  <c r="D10" i="4" s="1"/>
  <c r="D11" i="4" s="1"/>
  <c r="C8" i="4"/>
  <c r="C10" i="4" s="1"/>
  <c r="C11" i="4" s="1"/>
  <c r="C12" i="4" s="1"/>
  <c r="C14" i="4" s="1"/>
  <c r="B4" i="4"/>
  <c r="I104" i="8" l="1"/>
  <c r="D42" i="8"/>
  <c r="F49" i="8"/>
  <c r="K30" i="7"/>
  <c r="K35" i="7"/>
  <c r="G6" i="5"/>
  <c r="H6" i="5" s="1"/>
  <c r="F7" i="5"/>
  <c r="F8" i="5" s="1"/>
  <c r="F11" i="5" s="1"/>
  <c r="F12" i="5" s="1"/>
  <c r="C14" i="5"/>
  <c r="C16" i="5" s="1"/>
  <c r="D14" i="5"/>
  <c r="D16" i="5" s="1"/>
  <c r="F11" i="4"/>
  <c r="F12" i="4" s="1"/>
  <c r="F14" i="4" s="1"/>
  <c r="E11" i="4"/>
  <c r="E12" i="4" s="1"/>
  <c r="E14" i="4" s="1"/>
  <c r="D12" i="4"/>
  <c r="D14" i="4" s="1"/>
  <c r="D2" i="2"/>
  <c r="E2" i="2" s="1"/>
  <c r="E42" i="8" l="1"/>
  <c r="G7" i="5"/>
  <c r="G8" i="5" s="1"/>
  <c r="G11" i="5" s="1"/>
  <c r="F14" i="5"/>
  <c r="F16" i="5" s="1"/>
  <c r="H7" i="5"/>
  <c r="H8" i="5" s="1"/>
  <c r="H11" i="5" s="1"/>
  <c r="H12" i="5" s="1"/>
  <c r="F42" i="8" l="1"/>
  <c r="D43" i="5"/>
  <c r="D49" i="5"/>
  <c r="G12" i="5"/>
  <c r="G14" i="5" s="1"/>
  <c r="G16" i="5" s="1"/>
  <c r="E34" i="5"/>
  <c r="H14" i="5"/>
  <c r="H16" i="5" s="1"/>
  <c r="E13" i="5" l="1"/>
  <c r="E14" i="5"/>
  <c r="E16" i="5"/>
  <c r="E14" i="22"/>
  <c r="E16" i="22" s="1"/>
  <c r="E13" i="22"/>
  <c r="C6" i="38" l="1"/>
  <c r="C4" i="38" l="1"/>
  <c r="D4" i="38"/>
  <c r="E4" i="38"/>
  <c r="F4" i="38"/>
  <c r="C5" i="38"/>
  <c r="D5" i="38"/>
  <c r="E5" i="38"/>
  <c r="F5" i="38"/>
  <c r="D6" i="38"/>
  <c r="E6" i="38"/>
  <c r="F6" i="38"/>
  <c r="C7" i="38"/>
  <c r="D7" i="38"/>
  <c r="E7" i="38"/>
  <c r="F7" i="38"/>
</calcChain>
</file>

<file path=xl/sharedStrings.xml><?xml version="1.0" encoding="utf-8"?>
<sst xmlns="http://schemas.openxmlformats.org/spreadsheetml/2006/main" count="16000" uniqueCount="4154">
  <si>
    <t>Input:</t>
  </si>
  <si>
    <t>Input your age:</t>
  </si>
  <si>
    <t>Input your younger sibling's age:</t>
  </si>
  <si>
    <t>Question</t>
  </si>
  <si>
    <t>Answer</t>
  </si>
  <si>
    <t>Can you vote for president?</t>
  </si>
  <si>
    <t>For how many years have you been eligible to vote?</t>
  </si>
  <si>
    <t>Are both me and my younger sibling eligible to vote?</t>
  </si>
  <si>
    <t>Input expected company revenue:</t>
  </si>
  <si>
    <t>Input actual company revenue:</t>
  </si>
  <si>
    <t>Input expected company EBITDA:</t>
  </si>
  <si>
    <t>Input actual company EBITDA:</t>
  </si>
  <si>
    <t>Did the company exceed revenue expectations?</t>
  </si>
  <si>
    <t>Did the company exceed both revenue and EBITDA expectations?</t>
  </si>
  <si>
    <t>Question 1</t>
  </si>
  <si>
    <t>Question 2</t>
  </si>
  <si>
    <t>Net earnings</t>
  </si>
  <si>
    <t>Shares outstanding</t>
  </si>
  <si>
    <t>Earnings per share (EPS)</t>
  </si>
  <si>
    <t>Combine IF and AND functions to answer this question:</t>
  </si>
  <si>
    <t>Criteria: If on the job 5 years or more AND received an 8 or higher for a performance rating, output a salary reflecting a 5% raise, otherwise, output "No raise"</t>
  </si>
  <si>
    <t>Employee</t>
  </si>
  <si>
    <t>Age</t>
  </si>
  <si>
    <t>Salary</t>
  </si>
  <si>
    <t xml:space="preserve">Years at Company </t>
  </si>
  <si>
    <t>Performance Rating</t>
  </si>
  <si>
    <t>New salary</t>
  </si>
  <si>
    <t>A</t>
  </si>
  <si>
    <t>B</t>
  </si>
  <si>
    <t>C</t>
  </si>
  <si>
    <t>D</t>
  </si>
  <si>
    <t>Combine IF and OR functions to answer this question:</t>
  </si>
  <si>
    <t>Criteria: If on the job 5 years or more OR received an 8 or higher for a performance rating, output a salary reflecting a 5% raise, otherwise, output "No raise"</t>
  </si>
  <si>
    <t>Input Company Name:</t>
  </si>
  <si>
    <t>Lemonade Co.</t>
  </si>
  <si>
    <t>Tax rate</t>
  </si>
  <si>
    <t>Revenues</t>
  </si>
  <si>
    <t>Cost of Goods Sold</t>
  </si>
  <si>
    <t>Gross Profit</t>
  </si>
  <si>
    <t>Operating costs</t>
  </si>
  <si>
    <t>Pretax Profit</t>
  </si>
  <si>
    <t>Taxes</t>
  </si>
  <si>
    <t>Net Profit</t>
  </si>
  <si>
    <t>Basic Shares Outstanding</t>
  </si>
  <si>
    <t>Basic EPS</t>
  </si>
  <si>
    <t>Exit year</t>
  </si>
  <si>
    <t>Accomplish using:</t>
  </si>
  <si>
    <t>Select a metric:</t>
  </si>
  <si>
    <t>Solution: Combining formulas to make more durable formulas without hardcoding</t>
  </si>
  <si>
    <t>Combination formulas:</t>
  </si>
  <si>
    <t>HLOOKUP w/ MATCH</t>
  </si>
  <si>
    <t>OFFSET w/ MATCH</t>
  </si>
  <si>
    <t>INDEX w/ MATCH</t>
  </si>
  <si>
    <t>CHOOSE w/ MATCH</t>
  </si>
  <si>
    <t>VLOOKUP w/MATCH</t>
  </si>
  <si>
    <t>HLOOKUP / VLOOKUP  - the fourth argument - range lookup</t>
  </si>
  <si>
    <t>FALSE (0): Only an exact match will be returned. If no exact match, will return #N/A</t>
  </si>
  <si>
    <t>Important: For text lookups, an exact match (0) is required</t>
  </si>
  <si>
    <t>MATCH  - the third argument - match type</t>
  </si>
  <si>
    <t>TRUE (1 or omitted): If an exact match is not found, the next largest value that is less than lookup_value is returned.</t>
  </si>
  <si>
    <t>-1 = Excel will find the smallest value that is greater than or equal to the lookup value as long as data is in descending order</t>
  </si>
  <si>
    <t xml:space="preserve">0 = Exact match. You'll almost always input 0 for an exact match. </t>
  </si>
  <si>
    <t>1 or omitted = Excel will find the largest value that is less than or equal to the lookup value, as long as data is in ascending order</t>
  </si>
  <si>
    <t>Output:</t>
  </si>
  <si>
    <t>&lt;----  =MATCH(AE23,AC21:AG21,0)</t>
  </si>
  <si>
    <t>Projections</t>
  </si>
  <si>
    <t>Non-operating costs</t>
  </si>
  <si>
    <t>Shares Outstanding</t>
  </si>
  <si>
    <t>EPS</t>
  </si>
  <si>
    <t>Select a case:</t>
  </si>
  <si>
    <t>Base case</t>
  </si>
  <si>
    <t>Revenue growth (%)</t>
  </si>
  <si>
    <t>COGS margin (%)</t>
  </si>
  <si>
    <t>Revenue</t>
  </si>
  <si>
    <t>Best case</t>
  </si>
  <si>
    <t>Weak case</t>
  </si>
  <si>
    <t>COGS</t>
  </si>
  <si>
    <t>Revenue growth rate assumptions</t>
  </si>
  <si>
    <t>Cost of Goods Sold margin assumptions</t>
  </si>
  <si>
    <t>Actuals</t>
  </si>
  <si>
    <t>&lt;-insert a dropdown menu with the options Best case, Base case, Weak case</t>
  </si>
  <si>
    <t>&lt;-Using OFFSET &amp; MATCH, output revenue growth based on the scenario selected in the dropdown</t>
  </si>
  <si>
    <t>&lt;-Using OFFSET &amp; MATCH, output COGS % margin based on the scenario selected in the dropdown</t>
  </si>
  <si>
    <t>&lt;-Build a data table that outputs 2015 EPS at the revenue sensitivities above</t>
  </si>
  <si>
    <t>Revenue growth rate assumptions:</t>
  </si>
  <si>
    <r>
      <t xml:space="preserve">Build a data table where the output is </t>
    </r>
    <r>
      <rPr>
        <b/>
        <sz val="11"/>
        <color theme="1"/>
        <rFont val="Calibri"/>
        <family val="2"/>
        <scheme val="minor"/>
      </rPr>
      <t>2015 EPS</t>
    </r>
    <r>
      <rPr>
        <sz val="11"/>
        <color theme="1"/>
        <rFont val="Calibri"/>
        <family val="2"/>
        <scheme val="minor"/>
      </rPr>
      <t xml:space="preserve">, sensitized using </t>
    </r>
    <r>
      <rPr>
        <b/>
        <sz val="11"/>
        <color theme="1"/>
        <rFont val="Calibri"/>
        <family val="2"/>
        <scheme val="minor"/>
      </rPr>
      <t xml:space="preserve">BOTH </t>
    </r>
    <r>
      <rPr>
        <sz val="11"/>
        <color theme="1"/>
        <rFont val="Calibri"/>
        <family val="2"/>
        <scheme val="minor"/>
      </rPr>
      <t>the following inputs:</t>
    </r>
  </si>
  <si>
    <t>Libman Partners</t>
  </si>
  <si>
    <t>Barlow Associates</t>
  </si>
  <si>
    <t>McGowan &amp; Company</t>
  </si>
  <si>
    <t>Feldman Brothers</t>
  </si>
  <si>
    <t xml:space="preserve">Schmidt Capital </t>
  </si>
  <si>
    <t>Chowdhry Management</t>
  </si>
  <si>
    <t># of deals</t>
  </si>
  <si>
    <t>Avg. deal size ($ in mm)</t>
  </si>
  <si>
    <t>2014 M&amp;A League Tables</t>
  </si>
  <si>
    <t>Advisors</t>
  </si>
  <si>
    <t>US</t>
  </si>
  <si>
    <t>Geography</t>
  </si>
  <si>
    <t>Germany</t>
  </si>
  <si>
    <t>France</t>
  </si>
  <si>
    <t>Calculate global M&amp;A deal volume using SUMPRODUCT:</t>
  </si>
  <si>
    <t>Select a region</t>
  </si>
  <si>
    <t>Select an advisor:</t>
  </si>
  <si>
    <t>SUMIFS</t>
  </si>
  <si>
    <t>Calculate total number of deals done in the user-selected region using SUMIF:</t>
  </si>
  <si>
    <t>Identify avg. deal size for the user-selected advisor AND region using SUMPRODUCT:</t>
  </si>
  <si>
    <t>Identify total deal volume for the user-selected advisor AND region using SUMPRODUCT:</t>
  </si>
  <si>
    <t>Identify avg. deal size for the user-selected advisor AND region using SUMIFS:</t>
  </si>
  <si>
    <t>Identify total deal volume for the user-selected advisor AND region using SUMIFS</t>
  </si>
  <si>
    <t>SUMIF &amp; AVERAGEIF</t>
  </si>
  <si>
    <t xml:space="preserve">Embedding criteria into SUMPRODUCT </t>
  </si>
  <si>
    <t xml:space="preserve">SUMPRODUCT </t>
  </si>
  <si>
    <t>options</t>
  </si>
  <si>
    <t>exercise</t>
  </si>
  <si>
    <t>max proceeds</t>
  </si>
  <si>
    <t>Tranche 1</t>
  </si>
  <si>
    <t>Tranche 2</t>
  </si>
  <si>
    <t>Tranche 3</t>
  </si>
  <si>
    <t>strike</t>
  </si>
  <si>
    <t>proceeds from in the $ options</t>
  </si>
  <si>
    <t>Turning TRUEs into 1s and FALSEs into 0s in Excel</t>
  </si>
  <si>
    <t>Number 1</t>
  </si>
  <si>
    <t>Number 2</t>
  </si>
  <si>
    <t>Number 1 is greater than Number 2</t>
  </si>
  <si>
    <t>&lt;-Not recognized as 1</t>
  </si>
  <si>
    <t>Multiply this result by 1</t>
  </si>
  <si>
    <t>&lt;-Recognized as 1</t>
  </si>
  <si>
    <t>Multiply this result by TRUE</t>
  </si>
  <si>
    <t>&lt;-Not recognized as 0</t>
  </si>
  <si>
    <t>&lt;-Recognized as 0</t>
  </si>
  <si>
    <t>You MUST apply an operator to the TRUE or FALSE to make Excel recognize it as a 1 or 0</t>
  </si>
  <si>
    <t>Used  for data validation:</t>
  </si>
  <si>
    <t>Calculate the average number of deals done in the user-selected region using AVERAGEIF:</t>
  </si>
  <si>
    <t>Absolute Value</t>
  </si>
  <si>
    <t>Input a number:</t>
  </si>
  <si>
    <t>Return absolute value</t>
  </si>
  <si>
    <t>=ABS(C3)</t>
  </si>
  <si>
    <t>Ceiling</t>
  </si>
  <si>
    <t>Input EPS ($xx.xx):</t>
  </si>
  <si>
    <t>Round input up to nearest $0.05</t>
  </si>
  <si>
    <t>Floor</t>
  </si>
  <si>
    <t>Round input down to nearest $0.05</t>
  </si>
  <si>
    <t>=FLOOR(C13,0.05)</t>
  </si>
  <si>
    <t>Combinations</t>
  </si>
  <si>
    <t>Input useful life (n years) of a fixed asset:</t>
  </si>
  <si>
    <t>Return sum of years' digits n(n+1)/2</t>
  </si>
  <si>
    <t>=COMBIN(C18+1,2)</t>
  </si>
  <si>
    <t>Round</t>
  </si>
  <si>
    <t>Net profits</t>
  </si>
  <si>
    <t>=ROUND(C23/C24,2)</t>
  </si>
  <si>
    <t>Round Up</t>
  </si>
  <si>
    <t>=ROUNDUP(C23/C24,2)</t>
  </si>
  <si>
    <t>Round Down</t>
  </si>
  <si>
    <t>=ROUNDDOWN(C23/C24,2)</t>
  </si>
  <si>
    <t>Product</t>
  </si>
  <si>
    <t>2011 Free Cash Flow</t>
  </si>
  <si>
    <t>Weighted Average Cost of Capital (WACC)</t>
  </si>
  <si>
    <t>Discount Factor</t>
  </si>
  <si>
    <t>Midyear Adjustment Factor</t>
  </si>
  <si>
    <t>Present Value Cash Flow (2009)</t>
  </si>
  <si>
    <t>Max</t>
  </si>
  <si>
    <t>Min</t>
  </si>
  <si>
    <t>Count</t>
  </si>
  <si>
    <t>Property</t>
  </si>
  <si>
    <t>Price (000's)</t>
  </si>
  <si>
    <t>Hillside</t>
  </si>
  <si>
    <t>Riviera</t>
  </si>
  <si>
    <t>Agora</t>
  </si>
  <si>
    <t>Sold</t>
  </si>
  <si>
    <t>Lexington</t>
  </si>
  <si>
    <t>Tremont</t>
  </si>
  <si>
    <t>Weymouth</t>
  </si>
  <si>
    <t>York</t>
  </si>
  <si>
    <t>Deville</t>
  </si>
  <si>
    <t>Cobble Hill</t>
  </si>
  <si>
    <t>Number of Properties Available for Sale</t>
  </si>
  <si>
    <t>Number of Properties Available for Sale or Sold</t>
  </si>
  <si>
    <t>Number of Properties &gt; $250,000</t>
  </si>
  <si>
    <t>Annual interest rate</t>
  </si>
  <si>
    <t>Payment amount per month</t>
  </si>
  <si>
    <t>Life of loan</t>
  </si>
  <si>
    <t>Payment made at the beginning of each period</t>
  </si>
  <si>
    <t>Rate per month</t>
  </si>
  <si>
    <t>Number of payments</t>
  </si>
  <si>
    <t>NPV</t>
  </si>
  <si>
    <t>Annual discount rate</t>
  </si>
  <si>
    <t>XNPV</t>
  </si>
  <si>
    <t>IRR</t>
  </si>
  <si>
    <t>Initial investment expenditure</t>
  </si>
  <si>
    <t>Internal Rate of Return</t>
  </si>
  <si>
    <t>XIRR</t>
  </si>
  <si>
    <t>Dates of Cash Flows</t>
  </si>
  <si>
    <t>Cash Flows</t>
  </si>
  <si>
    <t>Goal Seek</t>
  </si>
  <si>
    <t>Car Loan Amount</t>
  </si>
  <si>
    <t>Term in Months</t>
  </si>
  <si>
    <t>Monthly Interest Rate</t>
  </si>
  <si>
    <t>Monthly Payment</t>
  </si>
  <si>
    <t>Average</t>
  </si>
  <si>
    <t>Short-term debt - Beginning of period</t>
  </si>
  <si>
    <t>Cash available to paydown / (needed from additional) short-term debt</t>
  </si>
  <si>
    <t>Short-term debt - End of period (using MAX)</t>
  </si>
  <si>
    <t>EBITDA</t>
  </si>
  <si>
    <t>Borrowing capacity</t>
  </si>
  <si>
    <t>=CEILING(C8,0.1)</t>
  </si>
  <si>
    <t>=PRODUCT(C81,C83,C84)</t>
  </si>
  <si>
    <t>=COUNT(C54:C62)</t>
  </si>
  <si>
    <t>=COUNTA(C54:C62)</t>
  </si>
  <si>
    <t>=COUNTIF(C54:C62,"&gt;250")</t>
  </si>
  <si>
    <t>Region</t>
  </si>
  <si>
    <t>USA</t>
  </si>
  <si>
    <t>Canada</t>
  </si>
  <si>
    <t>Mexico</t>
  </si>
  <si>
    <t>Latin America</t>
  </si>
  <si>
    <t>Column Labels</t>
  </si>
  <si>
    <t>Row Labels</t>
  </si>
  <si>
    <t>Grand Total</t>
  </si>
  <si>
    <t>GM</t>
  </si>
  <si>
    <t>Fiat</t>
  </si>
  <si>
    <t>Ford</t>
  </si>
  <si>
    <t>Toyota</t>
  </si>
  <si>
    <t>Manufacturer</t>
  </si>
  <si>
    <t>Car Sales by Manufacturer, Region, and Date</t>
  </si>
  <si>
    <t>Sale date</t>
  </si>
  <si>
    <t>MSRP</t>
  </si>
  <si>
    <t>Total transactions</t>
  </si>
  <si>
    <t xml:space="preserve">Total transactions less than </t>
  </si>
  <si>
    <t>Total transactions greater than</t>
  </si>
  <si>
    <t xml:space="preserve">Total transactions between </t>
  </si>
  <si>
    <t>USING COUNTIFS</t>
  </si>
  <si>
    <t>PV</t>
  </si>
  <si>
    <t>FV</t>
  </si>
  <si>
    <t>Cash outflow on 12/31/14</t>
  </si>
  <si>
    <t>Cash inflow on 12/31/15</t>
  </si>
  <si>
    <t>Cash inflow on 12/31/16</t>
  </si>
  <si>
    <t>Cash inflow on 12/31/17</t>
  </si>
  <si>
    <t>Cash inflow on 12/31/18</t>
  </si>
  <si>
    <t>Cash inflow on 12/31/19</t>
  </si>
  <si>
    <t>PV and FV</t>
  </si>
  <si>
    <t xml:space="preserve">NPV </t>
  </si>
  <si>
    <t>Hacking NPV to calculate off BOP</t>
  </si>
  <si>
    <t>rate:</t>
  </si>
  <si>
    <t>=XNPV(I99,I100:I103,F100:F103)</t>
  </si>
  <si>
    <t>=NPV(G99,G100:G103)</t>
  </si>
  <si>
    <t>NPV vs XNPV</t>
  </si>
  <si>
    <t>=IRR(G111:G114)</t>
  </si>
  <si>
    <t>=XIRR(I111:I114,F111:F114)</t>
  </si>
  <si>
    <t>IRR vs XIRR</t>
  </si>
  <si>
    <t>Apple</t>
  </si>
  <si>
    <t>Yahoo</t>
  </si>
  <si>
    <t>Google</t>
  </si>
  <si>
    <t>Pick a start year:</t>
  </si>
  <si>
    <t>Pick an end year:</t>
  </si>
  <si>
    <t>Exercise: Using the functions we discussed build a formula that outputs: "Happy Halloween" by manipulating the following string</t>
  </si>
  <si>
    <t>Happy Belated Halloween</t>
  </si>
  <si>
    <t>Using SUBSTITUTE:</t>
  </si>
  <si>
    <t>Using REPLACE:</t>
  </si>
  <si>
    <t>Exercise 2: Output "Happy Halloween" regardless of the word in between "Happy" and "Halloween"</t>
  </si>
  <si>
    <t>Using LEFT AND RIGHT:</t>
  </si>
  <si>
    <t>Other approaches that may come in handy</t>
  </si>
  <si>
    <t>SEARCH for first space starting in the first position</t>
  </si>
  <si>
    <t>SEARCH for second space</t>
  </si>
  <si>
    <t>Number of characters between the 2 spaces</t>
  </si>
  <si>
    <t>Using multiple steps or formulas:</t>
  </si>
  <si>
    <t>LEFT (Happy has a space after it)</t>
  </si>
  <si>
    <t>RIGHT w LEN</t>
  </si>
  <si>
    <t>Combine</t>
  </si>
  <si>
    <t>LEN</t>
  </si>
  <si>
    <t>LEFT</t>
  </si>
  <si>
    <t>hello</t>
  </si>
  <si>
    <t>RIGHT</t>
  </si>
  <si>
    <t>MID</t>
  </si>
  <si>
    <t>PROPER</t>
  </si>
  <si>
    <t>UPPER</t>
  </si>
  <si>
    <t>LOWER</t>
  </si>
  <si>
    <t>HELLO</t>
  </si>
  <si>
    <t>TRUNC</t>
  </si>
  <si>
    <t>SEARCH</t>
  </si>
  <si>
    <t>FIND</t>
  </si>
  <si>
    <t>ello</t>
  </si>
  <si>
    <t>&lt;-The main difference between FIND and SEARCH is that FIND is case sensitive while SEARCH is not. Search also allows the use of wildcards when searching.</t>
  </si>
  <si>
    <t>SUBSTITUTE</t>
  </si>
  <si>
    <t>m12</t>
  </si>
  <si>
    <t>&lt;-substitutes a portion of a string with another string. If there are multiple instances of the string portion, you can identify which instances should be substituted.</t>
  </si>
  <si>
    <t>REPLACE</t>
  </si>
  <si>
    <t>am1234567</t>
  </si>
  <si>
    <t xml:space="preserve">&lt;-replaces a portion of a string with another string/number, where the portion to be replaced is identified by finding the starting point and the length of the string </t>
  </si>
  <si>
    <t>Function</t>
  </si>
  <si>
    <t>hello there</t>
  </si>
  <si>
    <t>he</t>
  </si>
  <si>
    <t>Company</t>
  </si>
  <si>
    <t>Ticker</t>
  </si>
  <si>
    <t>Share price</t>
  </si>
  <si>
    <t>Shares out.</t>
  </si>
  <si>
    <t>LTM Revenue</t>
  </si>
  <si>
    <t>LTM EBITDA</t>
  </si>
  <si>
    <t>Logmein</t>
  </si>
  <si>
    <t>logm</t>
  </si>
  <si>
    <t>Juniper</t>
  </si>
  <si>
    <t>yhoo</t>
  </si>
  <si>
    <t>Cisco</t>
  </si>
  <si>
    <t>csco</t>
  </si>
  <si>
    <t>goog</t>
  </si>
  <si>
    <t>msft</t>
  </si>
  <si>
    <t>znga</t>
  </si>
  <si>
    <t>aa</t>
  </si>
  <si>
    <t>kmb</t>
  </si>
  <si>
    <t>cl</t>
  </si>
  <si>
    <t>xom</t>
  </si>
  <si>
    <t>wmt</t>
  </si>
  <si>
    <t>Tech</t>
  </si>
  <si>
    <t>tw</t>
  </si>
  <si>
    <t>Market cap.</t>
  </si>
  <si>
    <t>Consulting</t>
  </si>
  <si>
    <t>gs</t>
  </si>
  <si>
    <t>Goldman Sachs</t>
  </si>
  <si>
    <t>Banking</t>
  </si>
  <si>
    <t>Telecom</t>
  </si>
  <si>
    <t>Industrials</t>
  </si>
  <si>
    <t>Alcoa</t>
  </si>
  <si>
    <t>Zynga</t>
  </si>
  <si>
    <t>Kimberly Clark</t>
  </si>
  <si>
    <t>Consumer</t>
  </si>
  <si>
    <t>Energy</t>
  </si>
  <si>
    <t>Real Estate</t>
  </si>
  <si>
    <t>Retail</t>
  </si>
  <si>
    <t>Colgate</t>
  </si>
  <si>
    <t>pg</t>
  </si>
  <si>
    <t>Procter &amp; Gamble</t>
  </si>
  <si>
    <t>Exxon Mobil</t>
  </si>
  <si>
    <t>BRE Properties</t>
  </si>
  <si>
    <t>Safeway</t>
  </si>
  <si>
    <t>Sort the following table by industry, and then by market cap, in descending order</t>
  </si>
  <si>
    <t>Industry</t>
  </si>
  <si>
    <t>Banking Total</t>
  </si>
  <si>
    <t>Consulting Total</t>
  </si>
  <si>
    <t>Consumer Total</t>
  </si>
  <si>
    <t>Energy Total</t>
  </si>
  <si>
    <t>Industrials Total</t>
  </si>
  <si>
    <t>Real Estate Total</t>
  </si>
  <si>
    <t>Retail Total</t>
  </si>
  <si>
    <t>Tech Total</t>
  </si>
  <si>
    <t>Telecom Total</t>
  </si>
  <si>
    <t>Property Type</t>
  </si>
  <si>
    <t>Residential</t>
  </si>
  <si>
    <t>East</t>
  </si>
  <si>
    <t>West</t>
  </si>
  <si>
    <t>Office</t>
  </si>
  <si>
    <t>North</t>
  </si>
  <si>
    <t>Leisure</t>
  </si>
  <si>
    <t>South</t>
  </si>
  <si>
    <t>REIT</t>
  </si>
  <si>
    <t>Capital Properties</t>
  </si>
  <si>
    <t>Equity Residential</t>
  </si>
  <si>
    <t>Sq. Ft.</t>
  </si>
  <si>
    <r>
      <t xml:space="preserve">Property Value 
</t>
    </r>
    <r>
      <rPr>
        <sz val="11"/>
        <color theme="1"/>
        <rFont val="Calibri"/>
        <family val="2"/>
        <scheme val="minor"/>
      </rPr>
      <t>($ in 000's)</t>
    </r>
  </si>
  <si>
    <t>Build a pivot table to answer the following questions</t>
  </si>
  <si>
    <t>Which region shows the most overall property sales, by square footage?</t>
  </si>
  <si>
    <t>Which region shows the most Leisure sales, by square footage?</t>
  </si>
  <si>
    <t>Which region(s) have zero Leisure property sales?</t>
  </si>
  <si>
    <r>
      <t xml:space="preserve">By looking at the Pivot Table that is </t>
    </r>
    <r>
      <rPr>
        <u/>
        <sz val="9"/>
        <color rgb="FF000000"/>
        <rFont val="Verdana"/>
        <family val="2"/>
      </rPr>
      <t>not</t>
    </r>
    <r>
      <rPr>
        <sz val="9"/>
        <color rgb="FF000000"/>
        <rFont val="Verdana"/>
        <family val="2"/>
      </rPr>
      <t xml:space="preserve"> broken down by region, which property type appears to be Capital Properties’s weakest in terms of value?</t>
    </r>
  </si>
  <si>
    <t>Which REIT has the highest value real estate, in dollars?</t>
  </si>
  <si>
    <r>
      <t xml:space="preserve">Which REIT has the lowest </t>
    </r>
    <r>
      <rPr>
        <u/>
        <sz val="9"/>
        <color rgb="FF000000"/>
        <rFont val="Verdana"/>
        <family val="2"/>
      </rPr>
      <t>number</t>
    </r>
    <r>
      <rPr>
        <sz val="9"/>
        <color rgb="FF000000"/>
        <rFont val="Verdana"/>
        <family val="2"/>
      </rPr>
      <t xml:space="preserve"> of retail properties?</t>
    </r>
  </si>
  <si>
    <t>What was the total value of Office real estate that Equity Residential sold in the South?</t>
  </si>
  <si>
    <t>Which property type is the most popular (by number of properties) in the South?</t>
  </si>
  <si>
    <t>What is the % of Equity Residential properties (by number of properties) as a % total properties in the South?</t>
  </si>
  <si>
    <t>Answers</t>
  </si>
  <si>
    <t xml:space="preserve">In which region does BRE appear to have properties valued significantly above its peers? </t>
  </si>
  <si>
    <t xml:space="preserve">Count of Property Value </t>
  </si>
  <si>
    <t>Company Name:</t>
  </si>
  <si>
    <t>Current Date:</t>
  </si>
  <si>
    <t>Dynamic headers and TEXT</t>
  </si>
  <si>
    <t>Create dynamic header "Income Statement for [company inserted above]":</t>
  </si>
  <si>
    <t>Create dynamic row label "Share price as of [date inserted above]":</t>
  </si>
  <si>
    <t>&lt;- Use TEXT to improve header</t>
  </si>
  <si>
    <t>Custom formatting</t>
  </si>
  <si>
    <t>Format number as a multiple</t>
  </si>
  <si>
    <t>Format 1 as "True" and 0 as "False"</t>
  </si>
  <si>
    <t>Convert any number n to say n "years"</t>
  </si>
  <si>
    <t>Alt Enter</t>
  </si>
  <si>
    <t>5.0x</t>
  </si>
  <si>
    <t>INDIRECT w/MATCH</t>
  </si>
  <si>
    <t>Present value, also known as present discounted value, is a future amount 
of money that has been discounted to reflect its current value, as if it existed 
today. The present value is always less than or equal to the future value because 
money has interest-earning potential, a characteristic referred to as the time 
value of money.</t>
  </si>
  <si>
    <t>Conditional formatting (alt O D)</t>
  </si>
  <si>
    <t>Exercise 1: Sales Results</t>
  </si>
  <si>
    <t>Exercise 2: Historical vs Projected Results</t>
  </si>
  <si>
    <t>1. Highlight sales in the top 10%</t>
  </si>
  <si>
    <t>Given current year, color all rows in prior years</t>
  </si>
  <si>
    <t>2. Highlight entire row where sales were above:</t>
  </si>
  <si>
    <t>Current year:</t>
  </si>
  <si>
    <t>Date</t>
  </si>
  <si>
    <t>Salesrep</t>
  </si>
  <si>
    <t>Sales</t>
  </si>
  <si>
    <t>Year</t>
  </si>
  <si>
    <t>Amanda</t>
  </si>
  <si>
    <t>Barry</t>
  </si>
  <si>
    <t>Sara</t>
  </si>
  <si>
    <t>Expenses</t>
  </si>
  <si>
    <t>John</t>
  </si>
  <si>
    <t>Exercise 3: Stock screen</t>
  </si>
  <si>
    <t>Beta less than:</t>
  </si>
  <si>
    <t>ROE greater than:</t>
  </si>
  <si>
    <t>Highlight rows that meet criteria</t>
  </si>
  <si>
    <t xml:space="preserve">Stock </t>
  </si>
  <si>
    <t>Beta</t>
  </si>
  <si>
    <t>ROE</t>
  </si>
  <si>
    <t>PE</t>
  </si>
  <si>
    <t>DP</t>
  </si>
  <si>
    <t>Borrowing capacity will be calculated as 5 x (the lesser of last year's EBITDA or the average EBITDA over the last three years)</t>
  </si>
  <si>
    <t>=5*MIN(F49,E49)</t>
  </si>
  <si>
    <t>Borrowing capacity will be calculated as 5x (the lesser of last year's EBITDA or the average EBITDA over the last three years)</t>
  </si>
  <si>
    <t>=MAX(0,C42-C41)</t>
  </si>
  <si>
    <t>Select a driver for operating expense forecasts</t>
  </si>
  <si>
    <t>Actual</t>
  </si>
  <si>
    <t>Forecasts</t>
  </si>
  <si>
    <t>Cost of sales</t>
  </si>
  <si>
    <t>Operating expenses</t>
  </si>
  <si>
    <t>Operating profit</t>
  </si>
  <si>
    <t>Assumptions</t>
  </si>
  <si>
    <t>Revenue growth</t>
  </si>
  <si>
    <t>Cost of sales margin</t>
  </si>
  <si>
    <t>Operating expenses forecast drivers</t>
  </si>
  <si>
    <t>1 = Apply last year's operating expense margin</t>
  </si>
  <si>
    <t>2 = Apply last 3 years' average operating expense margin</t>
  </si>
  <si>
    <t>3 = Apply last 2 years' average operating expense margin</t>
  </si>
  <si>
    <t>If no driver is selected, keep operating expenses flat</t>
  </si>
  <si>
    <t>Operating expenses margin (Nested IF)</t>
  </si>
  <si>
    <r>
      <t xml:space="preserve">Operating expenses margin </t>
    </r>
    <r>
      <rPr>
        <b/>
        <sz val="11"/>
        <color rgb="FFC00000"/>
        <rFont val="Calibri"/>
        <family val="2"/>
        <scheme val="minor"/>
      </rPr>
      <t>(with IFS - 2016 Only)</t>
    </r>
  </si>
  <si>
    <t>Transaction date</t>
  </si>
  <si>
    <t>Fiscal half</t>
  </si>
  <si>
    <t>Transaction ID</t>
  </si>
  <si>
    <t>Fiscal Half Date - Approach #1</t>
  </si>
  <si>
    <t>Fiscal Half Date - Approach #2</t>
  </si>
  <si>
    <t>Income Statement</t>
  </si>
  <si>
    <t>Input a year:</t>
  </si>
  <si>
    <t>HLOOKUP</t>
  </si>
  <si>
    <t>INDEX</t>
  </si>
  <si>
    <t>CHOOSE</t>
  </si>
  <si>
    <t>OFFSET</t>
  </si>
  <si>
    <t>Input a metric:</t>
  </si>
  <si>
    <t>Output 2008 results for the selected metric:</t>
  </si>
  <si>
    <t>VLOOKUP</t>
  </si>
  <si>
    <t>Thailand</t>
  </si>
  <si>
    <t>China</t>
  </si>
  <si>
    <t>Cuba</t>
  </si>
  <si>
    <t>Colombia</t>
  </si>
  <si>
    <t>Portugal</t>
  </si>
  <si>
    <t>Greece</t>
  </si>
  <si>
    <t>Indonesia</t>
  </si>
  <si>
    <t>Honduras</t>
  </si>
  <si>
    <t>Philippines</t>
  </si>
  <si>
    <t>South Korea</t>
  </si>
  <si>
    <t>Russia</t>
  </si>
  <si>
    <t>Poland</t>
  </si>
  <si>
    <t>Brazil</t>
  </si>
  <si>
    <t>United States</t>
  </si>
  <si>
    <t>Armenia</t>
  </si>
  <si>
    <t>Ukraine</t>
  </si>
  <si>
    <t>Sweden</t>
  </si>
  <si>
    <t>Czech Republic</t>
  </si>
  <si>
    <t>Panama</t>
  </si>
  <si>
    <t>Hungary</t>
  </si>
  <si>
    <t>Japan</t>
  </si>
  <si>
    <t>Iraq</t>
  </si>
  <si>
    <t>Azerbaijan</t>
  </si>
  <si>
    <t>Norway</t>
  </si>
  <si>
    <t>Cambodia</t>
  </si>
  <si>
    <t>Venezuela</t>
  </si>
  <si>
    <t>Malawi</t>
  </si>
  <si>
    <t>Kazakhstan</t>
  </si>
  <si>
    <t>Pakistan</t>
  </si>
  <si>
    <t>Australia</t>
  </si>
  <si>
    <t>South Africa</t>
  </si>
  <si>
    <t>Egypt</t>
  </si>
  <si>
    <t>Belarus</t>
  </si>
  <si>
    <t>Dominican Republic</t>
  </si>
  <si>
    <t>Croatia</t>
  </si>
  <si>
    <t>Uzbekistan</t>
  </si>
  <si>
    <t>Israel</t>
  </si>
  <si>
    <t>Gold</t>
  </si>
  <si>
    <t>Silver</t>
  </si>
  <si>
    <t>Bronze</t>
  </si>
  <si>
    <t>Ecuador</t>
  </si>
  <si>
    <t>Vietnam</t>
  </si>
  <si>
    <t>Tunisia</t>
  </si>
  <si>
    <t>Ethiopia</t>
  </si>
  <si>
    <t>Georgia</t>
  </si>
  <si>
    <t>Bulgaria</t>
  </si>
  <si>
    <t>Morocco</t>
  </si>
  <si>
    <t>Peru</t>
  </si>
  <si>
    <t>Argentina</t>
  </si>
  <si>
    <t>Macedonia</t>
  </si>
  <si>
    <t>Ireland</t>
  </si>
  <si>
    <t>Serbia</t>
  </si>
  <si>
    <t>Kyrgyzstan</t>
  </si>
  <si>
    <t>Somalia</t>
  </si>
  <si>
    <t>Saudi Arabia</t>
  </si>
  <si>
    <t>Nepal</t>
  </si>
  <si>
    <t>Monaco</t>
  </si>
  <si>
    <t>Guatemala</t>
  </si>
  <si>
    <t>Syria</t>
  </si>
  <si>
    <t>Uganda</t>
  </si>
  <si>
    <t>Albania</t>
  </si>
  <si>
    <t>Malaysia</t>
  </si>
  <si>
    <t>Tanzania</t>
  </si>
  <si>
    <t>Sierra Leone</t>
  </si>
  <si>
    <t>Nigeria</t>
  </si>
  <si>
    <t>United Kingdom</t>
  </si>
  <si>
    <t>El Salvador</t>
  </si>
  <si>
    <t>Chile</t>
  </si>
  <si>
    <t>Iran</t>
  </si>
  <si>
    <t>Jamaica</t>
  </si>
  <si>
    <t>Nicaragua</t>
  </si>
  <si>
    <t>Slovenia</t>
  </si>
  <si>
    <t>Libya</t>
  </si>
  <si>
    <t>Comoros</t>
  </si>
  <si>
    <t>In how many events did either the US, Germany or France win a medal?</t>
  </si>
  <si>
    <t>Andorra</t>
  </si>
  <si>
    <t>United Arab Emirates</t>
  </si>
  <si>
    <t>Afghanistan</t>
  </si>
  <si>
    <t>Antigua and Barbuda</t>
  </si>
  <si>
    <t>Anguilla</t>
  </si>
  <si>
    <t>American Samoa</t>
  </si>
  <si>
    <t>Austria</t>
  </si>
  <si>
    <t>Aruba</t>
  </si>
  <si>
    <t>Bosnia and Herzegovina</t>
  </si>
  <si>
    <t>Barbados</t>
  </si>
  <si>
    <t>Bangladesh</t>
  </si>
  <si>
    <t>Belgium</t>
  </si>
  <si>
    <t>Burkina Faso</t>
  </si>
  <si>
    <t>Bahrain</t>
  </si>
  <si>
    <t>Burundi</t>
  </si>
  <si>
    <t>Benin</t>
  </si>
  <si>
    <t>Bermuda</t>
  </si>
  <si>
    <t>Brunei</t>
  </si>
  <si>
    <t>Bolivia</t>
  </si>
  <si>
    <t>Bahamas</t>
  </si>
  <si>
    <t>Bhutan</t>
  </si>
  <si>
    <t>Bouvet Island</t>
  </si>
  <si>
    <t>Botswana</t>
  </si>
  <si>
    <t>Belize</t>
  </si>
  <si>
    <t>Cocos [Keeling] Islands</t>
  </si>
  <si>
    <t>Congo [DRC]</t>
  </si>
  <si>
    <t>Central African Republic</t>
  </si>
  <si>
    <t>Congo [Republic]</t>
  </si>
  <si>
    <t>Switzerland</t>
  </si>
  <si>
    <t>Côte d'Ivoire</t>
  </si>
  <si>
    <t>Cook Islands</t>
  </si>
  <si>
    <t>Cameroon</t>
  </si>
  <si>
    <t>Costa Rica</t>
  </si>
  <si>
    <t>Cape Verde</t>
  </si>
  <si>
    <t>Christmas Island</t>
  </si>
  <si>
    <t>Cyprus</t>
  </si>
  <si>
    <t>Djibouti</t>
  </si>
  <si>
    <t>Denmark</t>
  </si>
  <si>
    <t>Dominica</t>
  </si>
  <si>
    <t>Algeria</t>
  </si>
  <si>
    <t>Estonia</t>
  </si>
  <si>
    <t>Western Sahara</t>
  </si>
  <si>
    <t>Eritrea</t>
  </si>
  <si>
    <t>Spain</t>
  </si>
  <si>
    <t>Finland</t>
  </si>
  <si>
    <t>Fiji</t>
  </si>
  <si>
    <t>Falkland Islands [Islas Malvinas]</t>
  </si>
  <si>
    <t>Micronesia</t>
  </si>
  <si>
    <t>Faroe Islands</t>
  </si>
  <si>
    <t>Gabon</t>
  </si>
  <si>
    <t>Grenada</t>
  </si>
  <si>
    <t>French Guiana</t>
  </si>
  <si>
    <t>Guernsey</t>
  </si>
  <si>
    <t>Ghana</t>
  </si>
  <si>
    <t>Gibraltar</t>
  </si>
  <si>
    <t>Greenland</t>
  </si>
  <si>
    <t>Gambia</t>
  </si>
  <si>
    <t>Guinea</t>
  </si>
  <si>
    <t>Guadeloupe</t>
  </si>
  <si>
    <t>Equatorial Guinea</t>
  </si>
  <si>
    <t>South Georgia and the South Sandwich Islands</t>
  </si>
  <si>
    <t>Guam</t>
  </si>
  <si>
    <t>Guinea-Bissau</t>
  </si>
  <si>
    <t>Guyana</t>
  </si>
  <si>
    <t>Gaza Strip</t>
  </si>
  <si>
    <t>Hong Kong</t>
  </si>
  <si>
    <t>Heard Island and McDonald Islands</t>
  </si>
  <si>
    <t>Haiti</t>
  </si>
  <si>
    <t>Isle of Man</t>
  </si>
  <si>
    <t>India</t>
  </si>
  <si>
    <t>British Indian Ocean Territory</t>
  </si>
  <si>
    <t>Iceland</t>
  </si>
  <si>
    <t>Italy</t>
  </si>
  <si>
    <t>Jersey</t>
  </si>
  <si>
    <t>Jordan</t>
  </si>
  <si>
    <t>Kenya</t>
  </si>
  <si>
    <t>Kiribati</t>
  </si>
  <si>
    <t>Saint Kitts and Nevis</t>
  </si>
  <si>
    <t>North Korea</t>
  </si>
  <si>
    <t>Kuwait</t>
  </si>
  <si>
    <t>Cayman Islands</t>
  </si>
  <si>
    <t>Laos</t>
  </si>
  <si>
    <t>Lebanon</t>
  </si>
  <si>
    <t>Saint Lucia</t>
  </si>
  <si>
    <t>Liechtenstein</t>
  </si>
  <si>
    <t>Sri Lanka</t>
  </si>
  <si>
    <t>Liberia</t>
  </si>
  <si>
    <t>Lesotho</t>
  </si>
  <si>
    <t>Lithuania</t>
  </si>
  <si>
    <t>Luxembourg</t>
  </si>
  <si>
    <t>Latvia</t>
  </si>
  <si>
    <t>Moldova</t>
  </si>
  <si>
    <t>Montenegro</t>
  </si>
  <si>
    <t>Madagascar</t>
  </si>
  <si>
    <t>Marshall Islands</t>
  </si>
  <si>
    <t>Macedonia [FYROM]</t>
  </si>
  <si>
    <t>Mali</t>
  </si>
  <si>
    <t>Myanmar [Burma]</t>
  </si>
  <si>
    <t>Mongolia</t>
  </si>
  <si>
    <t>Macau</t>
  </si>
  <si>
    <t>Northern Mariana Islands</t>
  </si>
  <si>
    <t>Martinique</t>
  </si>
  <si>
    <t>Mauritania</t>
  </si>
  <si>
    <t>Montserrat</t>
  </si>
  <si>
    <t>Malta</t>
  </si>
  <si>
    <t>Mauritius</t>
  </si>
  <si>
    <t>Maldives</t>
  </si>
  <si>
    <t>Mozambique</t>
  </si>
  <si>
    <t>Namibia</t>
  </si>
  <si>
    <t>New Caledonia</t>
  </si>
  <si>
    <t>Niger</t>
  </si>
  <si>
    <t>Norfolk Island</t>
  </si>
  <si>
    <t>Netherlands</t>
  </si>
  <si>
    <t>Nauru</t>
  </si>
  <si>
    <t>Niue</t>
  </si>
  <si>
    <t>New Zealand</t>
  </si>
  <si>
    <t>Oman</t>
  </si>
  <si>
    <t>French Polynesia</t>
  </si>
  <si>
    <t>Papua New Guinea</t>
  </si>
  <si>
    <t>Saint Pierre and Miquelon</t>
  </si>
  <si>
    <t>Pitcairn Islands</t>
  </si>
  <si>
    <t>Puerto Rico</t>
  </si>
  <si>
    <t>Palestinian Territories</t>
  </si>
  <si>
    <t>Palau</t>
  </si>
  <si>
    <t>Paraguay</t>
  </si>
  <si>
    <t>Qatar</t>
  </si>
  <si>
    <t>Réunion</t>
  </si>
  <si>
    <t>Romania</t>
  </si>
  <si>
    <t>Rwanda</t>
  </si>
  <si>
    <t>Solomon Islands</t>
  </si>
  <si>
    <t>Seychelles</t>
  </si>
  <si>
    <t>Sudan</t>
  </si>
  <si>
    <t>Singapore</t>
  </si>
  <si>
    <t>Saint Helena</t>
  </si>
  <si>
    <t>Svalbard and Jan Mayen</t>
  </si>
  <si>
    <t>Slovakia</t>
  </si>
  <si>
    <t>San Marino</t>
  </si>
  <si>
    <t>Senegal</t>
  </si>
  <si>
    <t>Suriname</t>
  </si>
  <si>
    <t>São Tomé and Príncipe</t>
  </si>
  <si>
    <t>Swaziland</t>
  </si>
  <si>
    <t>Turks and Caicos Islands</t>
  </si>
  <si>
    <t>Chad</t>
  </si>
  <si>
    <t>French Southern Territories</t>
  </si>
  <si>
    <t>Togo</t>
  </si>
  <si>
    <t>Tajikistan</t>
  </si>
  <si>
    <t>Tokelau</t>
  </si>
  <si>
    <t>Timor-Leste</t>
  </si>
  <si>
    <t>Turkmenistan</t>
  </si>
  <si>
    <t>Tonga</t>
  </si>
  <si>
    <t>Turkey</t>
  </si>
  <si>
    <t>Trinidad and Tobago</t>
  </si>
  <si>
    <t>Tuvalu</t>
  </si>
  <si>
    <t>Taiwan</t>
  </si>
  <si>
    <t>U.S. Minor Outlying Islands</t>
  </si>
  <si>
    <t>Uruguay</t>
  </si>
  <si>
    <t>Vatican City</t>
  </si>
  <si>
    <t>Saint Vincent and the Grenadines</t>
  </si>
  <si>
    <t>British Virgin Islands</t>
  </si>
  <si>
    <t>U.S. Virgin Islands</t>
  </si>
  <si>
    <t>Vanuatu</t>
  </si>
  <si>
    <t>Wallis and Futuna</t>
  </si>
  <si>
    <t>Samoa</t>
  </si>
  <si>
    <t>Kosovo</t>
  </si>
  <si>
    <t>Yemen</t>
  </si>
  <si>
    <t>Mayotte</t>
  </si>
  <si>
    <t>Zambia</t>
  </si>
  <si>
    <t>Zimbabwe</t>
  </si>
  <si>
    <t>List of countries</t>
  </si>
  <si>
    <t>How many countries contain the word "united" in their name ?</t>
  </si>
  <si>
    <t>How many countries start with the letter "A"?</t>
  </si>
  <si>
    <t>Olympic event</t>
  </si>
  <si>
    <t xml:space="preserve">But note that it doesn't sum the array. For that you need to wrap a </t>
  </si>
  <si>
    <t>SUMPRODUCT function around it (and you cant use SUM:</t>
  </si>
  <si>
    <t>Criteria</t>
  </si>
  <si>
    <t xml:space="preserve">The criteria in count is mostly used to test weather the array is &lt;&gt; or = to a </t>
  </si>
  <si>
    <t xml:space="preserve">specific criteria or another range (doesn't have to be the same length). </t>
  </si>
  <si>
    <t>Range 1</t>
  </si>
  <si>
    <t>How many # greater than 23:</t>
  </si>
  <si>
    <t>How many # less than 23:</t>
  </si>
  <si>
    <t>How many # less than or equal to 23:</t>
  </si>
  <si>
    <t xml:space="preserve">For example, given the critera and range, countif will tell us </t>
  </si>
  <si>
    <t xml:space="preserve">How many #s in range equal the number in the criteria (23): </t>
  </si>
  <si>
    <t xml:space="preserve">The criteria in count doesn’t have to be one data point - it can be an array. </t>
  </si>
  <si>
    <t>Crtiera range</t>
  </si>
  <si>
    <t xml:space="preserve">For example, in this example, the countif function is storing how many times </t>
  </si>
  <si>
    <t>the criteria range contained the same numbers as in the range:</t>
  </si>
  <si>
    <t>This formula, while outputting 0 - actually stores the array {0;0;1;0;1}</t>
  </si>
  <si>
    <t>This works because SUMPRODCT instructs excel to sum all the arguments</t>
  </si>
  <si>
    <t xml:space="preserve">in the array. If there's a second array (i.e. the traditional use of sumproduct) </t>
  </si>
  <si>
    <t xml:space="preserve">then it multiplies the first arguments of each array before summing. </t>
  </si>
  <si>
    <t xml:space="preserve">But if there isnt a second array, it just sums everything up, like SUM. But unlike </t>
  </si>
  <si>
    <t>SUM, you can feed an array to sumproduct</t>
  </si>
  <si>
    <t>Crtiera can be both numbers or text.</t>
  </si>
  <si>
    <t>&lt;-=COUNTIF(D4:D6,E4) is the "long form" syntax for equal</t>
  </si>
  <si>
    <t>Critera Q1</t>
  </si>
  <si>
    <t>Criteria Q2</t>
  </si>
  <si>
    <t>Criteria Q3</t>
  </si>
  <si>
    <t>COUNTIF Criteria</t>
  </si>
  <si>
    <t>Question 1:</t>
  </si>
  <si>
    <t>In how many events did the United States earn a medal?</t>
  </si>
  <si>
    <t>Question 2:</t>
  </si>
  <si>
    <t>Question 3:</t>
  </si>
  <si>
    <t>How many total medals were won by US, Germany and France?</t>
  </si>
  <si>
    <t>Bonus: Using wildcards</t>
  </si>
  <si>
    <t>Q1</t>
  </si>
  <si>
    <t>Q2</t>
  </si>
  <si>
    <t>Q3</t>
  </si>
  <si>
    <t>2015 Revenue growth assumptions</t>
  </si>
  <si>
    <t>margin</t>
  </si>
  <si>
    <t>assumptions</t>
  </si>
  <si>
    <t>55154-7468</t>
  </si>
  <si>
    <t>gnicholsrr@wordpress.com</t>
  </si>
  <si>
    <t>Nichols</t>
  </si>
  <si>
    <t>Dabtype</t>
  </si>
  <si>
    <t>55154-6999</t>
  </si>
  <si>
    <t>sscottrq@zdnet.com</t>
  </si>
  <si>
    <t>Scott</t>
  </si>
  <si>
    <t>Youspan</t>
  </si>
  <si>
    <t>45802-138</t>
  </si>
  <si>
    <t>mdixonrp@archive.org</t>
  </si>
  <si>
    <t>Dixon</t>
  </si>
  <si>
    <t>Snaptags</t>
  </si>
  <si>
    <t>24236-350</t>
  </si>
  <si>
    <t>dhallro@twitter.com</t>
  </si>
  <si>
    <t>Hall</t>
  </si>
  <si>
    <t>Kaymbo</t>
  </si>
  <si>
    <t>65841-738</t>
  </si>
  <si>
    <t>jnguyenrn@aboutads.info</t>
  </si>
  <si>
    <t>Nguyen</t>
  </si>
  <si>
    <t>Brainlounge</t>
  </si>
  <si>
    <t>42808-410</t>
  </si>
  <si>
    <t>jramosrm@engadget.com</t>
  </si>
  <si>
    <t>Ramos</t>
  </si>
  <si>
    <t>Skyndu</t>
  </si>
  <si>
    <t>59115-129</t>
  </si>
  <si>
    <t>farnoldrl@aboutads.info</t>
  </si>
  <si>
    <t>Arnold</t>
  </si>
  <si>
    <t>Janyx</t>
  </si>
  <si>
    <t>0832-0912</t>
  </si>
  <si>
    <t>srossrk@edublogs.org</t>
  </si>
  <si>
    <t>Ross</t>
  </si>
  <si>
    <t>Centizu</t>
  </si>
  <si>
    <t>41163-810</t>
  </si>
  <si>
    <t>rvasquezrj@topsy.com</t>
  </si>
  <si>
    <t>Vasquez</t>
  </si>
  <si>
    <t>Twimm</t>
  </si>
  <si>
    <t>42254-133</t>
  </si>
  <si>
    <t>jlawrenceri@hc360.com</t>
  </si>
  <si>
    <t>Lawrence</t>
  </si>
  <si>
    <t>Browsedrive</t>
  </si>
  <si>
    <t>36987-2689</t>
  </si>
  <si>
    <t>plawsonrh@nifty.com</t>
  </si>
  <si>
    <t>Lawson</t>
  </si>
  <si>
    <t>Wikizz</t>
  </si>
  <si>
    <t>76340-8001</t>
  </si>
  <si>
    <t>pgonzalesrg@amazonaws.com</t>
  </si>
  <si>
    <t>Gonzales</t>
  </si>
  <si>
    <t>Zoomcast</t>
  </si>
  <si>
    <t>63824-176</t>
  </si>
  <si>
    <t>bramirezrf@engadget.com</t>
  </si>
  <si>
    <t>Ramirez</t>
  </si>
  <si>
    <t>Geba</t>
  </si>
  <si>
    <t>55301-311</t>
  </si>
  <si>
    <t>astevensre@unblog.fr</t>
  </si>
  <si>
    <t>Stevens</t>
  </si>
  <si>
    <t>Flipbug</t>
  </si>
  <si>
    <t>57520-0846</t>
  </si>
  <si>
    <t>mmatthewsrd@who.int</t>
  </si>
  <si>
    <t>Matthews</t>
  </si>
  <si>
    <t>Twitterwire</t>
  </si>
  <si>
    <t>50474-710</t>
  </si>
  <si>
    <t>mgrahamrc@goo.ne.jp</t>
  </si>
  <si>
    <t>Graham</t>
  </si>
  <si>
    <t>Jamia</t>
  </si>
  <si>
    <t>65841-639</t>
  </si>
  <si>
    <t>ndiazrb@gnu.org</t>
  </si>
  <si>
    <t>Diaz</t>
  </si>
  <si>
    <t>Mynte</t>
  </si>
  <si>
    <t>53063-1111</t>
  </si>
  <si>
    <t>aaustinra@tripod.com</t>
  </si>
  <si>
    <t>Austin</t>
  </si>
  <si>
    <t>Topiczoom</t>
  </si>
  <si>
    <t>54868-5015</t>
  </si>
  <si>
    <t>ahendersonr9@skype.com</t>
  </si>
  <si>
    <t>Henderson</t>
  </si>
  <si>
    <t>Latz</t>
  </si>
  <si>
    <t>63776-610</t>
  </si>
  <si>
    <t>erobertsonr8@soup.io</t>
  </si>
  <si>
    <t>Robertson</t>
  </si>
  <si>
    <t>Edgetag</t>
  </si>
  <si>
    <t>0409-7386</t>
  </si>
  <si>
    <t>chansonr7@twitter.com</t>
  </si>
  <si>
    <t>Hanson</t>
  </si>
  <si>
    <t>Eamia</t>
  </si>
  <si>
    <t>63941-278</t>
  </si>
  <si>
    <t>jrichardsonr6@ovh.net</t>
  </si>
  <si>
    <t>Richardson</t>
  </si>
  <si>
    <t>Livetube</t>
  </si>
  <si>
    <t>36987-3321</t>
  </si>
  <si>
    <t>astevensr5@imageshack.us</t>
  </si>
  <si>
    <t>Jetpulse</t>
  </si>
  <si>
    <t>65162-538</t>
  </si>
  <si>
    <t>lmitchellr4@sbwire.com</t>
  </si>
  <si>
    <t>Mitchell</t>
  </si>
  <si>
    <t>Cogilith</t>
  </si>
  <si>
    <t>0904-0004</t>
  </si>
  <si>
    <t>lhamiltonr3@cyberchimps.com</t>
  </si>
  <si>
    <t>Hamilton</t>
  </si>
  <si>
    <t>Vitz</t>
  </si>
  <si>
    <t>0682-0475</t>
  </si>
  <si>
    <t>mlewisr2@reddit.com</t>
  </si>
  <si>
    <t>Lewis</t>
  </si>
  <si>
    <t>Quire</t>
  </si>
  <si>
    <t>55111-118</t>
  </si>
  <si>
    <t>lwheelerr1@sciencedaily.com</t>
  </si>
  <si>
    <t>Wheeler</t>
  </si>
  <si>
    <t>Feedfire</t>
  </si>
  <si>
    <t>36800-359</t>
  </si>
  <si>
    <t>chernandezr0@scribd.com</t>
  </si>
  <si>
    <t>Hernandez</t>
  </si>
  <si>
    <t>Voonix</t>
  </si>
  <si>
    <t>55154-7302</t>
  </si>
  <si>
    <t>ioliverqz@netlog.com</t>
  </si>
  <si>
    <t>Oliver</t>
  </si>
  <si>
    <t>Dynabox</t>
  </si>
  <si>
    <t>49288-0125</t>
  </si>
  <si>
    <t>kmyersqy@w3.org</t>
  </si>
  <si>
    <t>Myers</t>
  </si>
  <si>
    <t>Gabtune</t>
  </si>
  <si>
    <t>37000-785</t>
  </si>
  <si>
    <t>rcastilloqx@vkontakte.ru</t>
  </si>
  <si>
    <t>Castillo</t>
  </si>
  <si>
    <t>Flipopia</t>
  </si>
  <si>
    <t>54868-6028</t>
  </si>
  <si>
    <t>aperryqw@spiegel.de</t>
  </si>
  <si>
    <t>Perry</t>
  </si>
  <si>
    <t>Feedmix</t>
  </si>
  <si>
    <t>10267-0490</t>
  </si>
  <si>
    <t>amartinezqv@cyberchimps.com</t>
  </si>
  <si>
    <t>Martinez</t>
  </si>
  <si>
    <t>Riffpedia</t>
  </si>
  <si>
    <t>57955-8150</t>
  </si>
  <si>
    <t>aharrisonqu@netvibes.com</t>
  </si>
  <si>
    <t>Harrison</t>
  </si>
  <si>
    <t>Rhyzio</t>
  </si>
  <si>
    <t>63824-332</t>
  </si>
  <si>
    <t>pnelsonqt@phoca.cz</t>
  </si>
  <si>
    <t>Nelson</t>
  </si>
  <si>
    <t>Blognation</t>
  </si>
  <si>
    <t>0179-0107</t>
  </si>
  <si>
    <t>mbrooksqs@google.pl</t>
  </si>
  <si>
    <t>Brooks</t>
  </si>
  <si>
    <t>Gigaclub</t>
  </si>
  <si>
    <t>65293-426</t>
  </si>
  <si>
    <t>phernandezqr@goo.gl</t>
  </si>
  <si>
    <t>Roombo</t>
  </si>
  <si>
    <t>54473-203</t>
  </si>
  <si>
    <t>bgardnerqq@toplist.cz</t>
  </si>
  <si>
    <t>Gardner</t>
  </si>
  <si>
    <t>Dynazzy</t>
  </si>
  <si>
    <t>57955-3020</t>
  </si>
  <si>
    <t>mhallqp@archive.org</t>
  </si>
  <si>
    <t>Thoughtbeat</t>
  </si>
  <si>
    <t>0019-1324</t>
  </si>
  <si>
    <t>imendozaqo@yolasite.com</t>
  </si>
  <si>
    <t>Mendoza</t>
  </si>
  <si>
    <t>Voonder</t>
  </si>
  <si>
    <t>64117-131</t>
  </si>
  <si>
    <t>cmillsqn@nasa.gov</t>
  </si>
  <si>
    <t>Mills</t>
  </si>
  <si>
    <t>Feednation</t>
  </si>
  <si>
    <t>43063-506</t>
  </si>
  <si>
    <t>lriceqm@ucoz.ru</t>
  </si>
  <si>
    <t>Rice</t>
  </si>
  <si>
    <t>Voonte</t>
  </si>
  <si>
    <t>0409-2723</t>
  </si>
  <si>
    <t>jperezql@comcast.net</t>
  </si>
  <si>
    <t>Perez</t>
  </si>
  <si>
    <t>Jayo</t>
  </si>
  <si>
    <t>0268-1072</t>
  </si>
  <si>
    <t>kaustinqk@youtu.be</t>
  </si>
  <si>
    <t>Babblestorm</t>
  </si>
  <si>
    <t>59779-758</t>
  </si>
  <si>
    <t>dshawqj@dyndns.org</t>
  </si>
  <si>
    <t>Shaw</t>
  </si>
  <si>
    <t>Yata</t>
  </si>
  <si>
    <t>17238-192</t>
  </si>
  <si>
    <t>creidqi@free.fr</t>
  </si>
  <si>
    <t>Reid</t>
  </si>
  <si>
    <t>Teklist</t>
  </si>
  <si>
    <t>55154-2535</t>
  </si>
  <si>
    <t>cdunnqh@devhub.com</t>
  </si>
  <si>
    <t>Dunn</t>
  </si>
  <si>
    <t>Skyble</t>
  </si>
  <si>
    <t>59746-040</t>
  </si>
  <si>
    <t>kpalmerqg@army.mil</t>
  </si>
  <si>
    <t>Palmer</t>
  </si>
  <si>
    <t>Blogtags</t>
  </si>
  <si>
    <t>52125-690</t>
  </si>
  <si>
    <t>jsullivanqf@oakley.com</t>
  </si>
  <si>
    <t>Sullivan</t>
  </si>
  <si>
    <t>Quamba</t>
  </si>
  <si>
    <t>42291-700</t>
  </si>
  <si>
    <t>pjordanqe@yale.edu</t>
  </si>
  <si>
    <t>Meedoo</t>
  </si>
  <si>
    <t>36987-3019</t>
  </si>
  <si>
    <t>tgibsonqd@ucla.edu</t>
  </si>
  <si>
    <t>Gibson</t>
  </si>
  <si>
    <t>Blogspan</t>
  </si>
  <si>
    <t>63629-1673</t>
  </si>
  <si>
    <t>emorrisonqc@cloudflare.com</t>
  </si>
  <si>
    <t>Morrison</t>
  </si>
  <si>
    <t>Browsecat</t>
  </si>
  <si>
    <t>0338-6011</t>
  </si>
  <si>
    <t>jcunninghamqb@huffingtonpost.com</t>
  </si>
  <si>
    <t>Cunningham</t>
  </si>
  <si>
    <t>Browseblab</t>
  </si>
  <si>
    <t>61657-0970</t>
  </si>
  <si>
    <t>thayesqa@alexa.com</t>
  </si>
  <si>
    <t>Hayes</t>
  </si>
  <si>
    <t>Meevee</t>
  </si>
  <si>
    <t>36987-3226</t>
  </si>
  <si>
    <t>sjenkinsq9@phpbb.com</t>
  </si>
  <si>
    <t>Jenkins</t>
  </si>
  <si>
    <t>Oyoloo</t>
  </si>
  <si>
    <t>76141-368</t>
  </si>
  <si>
    <t>edanielsq8@time.com</t>
  </si>
  <si>
    <t>Daniels</t>
  </si>
  <si>
    <t>Vidoo</t>
  </si>
  <si>
    <t>10096-0195</t>
  </si>
  <si>
    <t>tgordonq7@japanpost.jp</t>
  </si>
  <si>
    <t>Gordon</t>
  </si>
  <si>
    <t>Demimbu</t>
  </si>
  <si>
    <t>0904-6338</t>
  </si>
  <si>
    <t>ahansonq6@census.gov</t>
  </si>
  <si>
    <t>Mudo</t>
  </si>
  <si>
    <t>48951-0078</t>
  </si>
  <si>
    <t>ldavisq5@un.org</t>
  </si>
  <si>
    <t>Davis</t>
  </si>
  <si>
    <t>Yodoo</t>
  </si>
  <si>
    <t>61957-1024</t>
  </si>
  <si>
    <t>arayq4@economist.com</t>
  </si>
  <si>
    <t>Ray</t>
  </si>
  <si>
    <t>76214-029</t>
  </si>
  <si>
    <t>jyoungq3@topsy.com</t>
  </si>
  <si>
    <t>Young</t>
  </si>
  <si>
    <t>Feedspan</t>
  </si>
  <si>
    <t>49738-647</t>
  </si>
  <si>
    <t>jramosq2@naver.com</t>
  </si>
  <si>
    <t>63146-118</t>
  </si>
  <si>
    <t>hlopezq1@senate.gov</t>
  </si>
  <si>
    <t>Lopez</t>
  </si>
  <si>
    <t>57955-8200</t>
  </si>
  <si>
    <t>hperezq0@technorati.com</t>
  </si>
  <si>
    <t>Edgepulse</t>
  </si>
  <si>
    <t>68462-198</t>
  </si>
  <si>
    <t>krobertspz@opera.com</t>
  </si>
  <si>
    <t>Roberts</t>
  </si>
  <si>
    <t>63941-072</t>
  </si>
  <si>
    <t>asimspy@rediff.com</t>
  </si>
  <si>
    <t>Sims</t>
  </si>
  <si>
    <t>Realmix</t>
  </si>
  <si>
    <t>0378-2800</t>
  </si>
  <si>
    <t>rnicholspx@last.fm</t>
  </si>
  <si>
    <t>Katz</t>
  </si>
  <si>
    <t>68462-130</t>
  </si>
  <si>
    <t>ejohnsonpw@naver.com</t>
  </si>
  <si>
    <t>Johnson</t>
  </si>
  <si>
    <t>0703-1501</t>
  </si>
  <si>
    <t>swilliamsonpv@umich.edu</t>
  </si>
  <si>
    <t>Williamson</t>
  </si>
  <si>
    <t>Mycat</t>
  </si>
  <si>
    <t>24236-448</t>
  </si>
  <si>
    <t>jbrookspu@ibm.com</t>
  </si>
  <si>
    <t>Fliptune</t>
  </si>
  <si>
    <t>0409-1038</t>
  </si>
  <si>
    <t>mjohnstonpt@soundcloud.com</t>
  </si>
  <si>
    <t>Johnston</t>
  </si>
  <si>
    <t>Oyoyo</t>
  </si>
  <si>
    <t>67777-301</t>
  </si>
  <si>
    <t>mpriceps@ifeng.com</t>
  </si>
  <si>
    <t>Price</t>
  </si>
  <si>
    <t>Shuffletag</t>
  </si>
  <si>
    <t>63629-4501</t>
  </si>
  <si>
    <t>ariverapr@nytimes.com</t>
  </si>
  <si>
    <t>Rivera</t>
  </si>
  <si>
    <t>Tavu</t>
  </si>
  <si>
    <t>14743-085</t>
  </si>
  <si>
    <t>sraypq@nyu.edu</t>
  </si>
  <si>
    <t>Skaboo</t>
  </si>
  <si>
    <t>49035-866</t>
  </si>
  <si>
    <t>jperkinspp@ameblo.jp</t>
  </si>
  <si>
    <t>Perkins</t>
  </si>
  <si>
    <t>Wordify</t>
  </si>
  <si>
    <t>0378-5040</t>
  </si>
  <si>
    <t>mrodriguezpo@imageshack.us</t>
  </si>
  <si>
    <t>Rodriguez</t>
  </si>
  <si>
    <t>Gigazoom</t>
  </si>
  <si>
    <t>55390-226</t>
  </si>
  <si>
    <t>rjonespn@meetup.com</t>
  </si>
  <si>
    <t>Jones</t>
  </si>
  <si>
    <t>Myworks</t>
  </si>
  <si>
    <t>66435-302</t>
  </si>
  <si>
    <t>afullerpm@sitemeter.com</t>
  </si>
  <si>
    <t>Fuller</t>
  </si>
  <si>
    <t>Browsetype</t>
  </si>
  <si>
    <t>68391-110</t>
  </si>
  <si>
    <t>kcolemanpl@sohu.com</t>
  </si>
  <si>
    <t>Coleman</t>
  </si>
  <si>
    <t>Photolist</t>
  </si>
  <si>
    <t>0025-1961</t>
  </si>
  <si>
    <t>dmillspk@furl.net</t>
  </si>
  <si>
    <t>Skidoo</t>
  </si>
  <si>
    <t>55154-8250</t>
  </si>
  <si>
    <t>sjohnsonpj@360.cn</t>
  </si>
  <si>
    <t>Skiptube</t>
  </si>
  <si>
    <t>0363-0944</t>
  </si>
  <si>
    <t>aallenpi@pen.io</t>
  </si>
  <si>
    <t>Allen</t>
  </si>
  <si>
    <t>Twinder</t>
  </si>
  <si>
    <t>0409-3863</t>
  </si>
  <si>
    <t>wdayph@moonfruit.com</t>
  </si>
  <si>
    <t>Day</t>
  </si>
  <si>
    <t>BlogXS</t>
  </si>
  <si>
    <t>0091-3321</t>
  </si>
  <si>
    <t>msimspg@toplist.cz</t>
  </si>
  <si>
    <t>Miboo</t>
  </si>
  <si>
    <t>55648-694</t>
  </si>
  <si>
    <t>fharperpf@weebly.com</t>
  </si>
  <si>
    <t>Harper</t>
  </si>
  <si>
    <t>Twimbo</t>
  </si>
  <si>
    <t>51346-154</t>
  </si>
  <si>
    <t>mburkepe@dmoz.org</t>
  </si>
  <si>
    <t>Burke</t>
  </si>
  <si>
    <t>Meembee</t>
  </si>
  <si>
    <t>49852-171</t>
  </si>
  <si>
    <t>rstonepd@zdnet.com</t>
  </si>
  <si>
    <t>Stone</t>
  </si>
  <si>
    <t>Shufflester</t>
  </si>
  <si>
    <t>54569-5917</t>
  </si>
  <si>
    <t>rlarsonpc@theglobeandmail.com</t>
  </si>
  <si>
    <t>Larson</t>
  </si>
  <si>
    <t>Brightbean</t>
  </si>
  <si>
    <t>49035-133</t>
  </si>
  <si>
    <t>nlongpb@netscape.com</t>
  </si>
  <si>
    <t>Long</t>
  </si>
  <si>
    <t>49999-819</t>
  </si>
  <si>
    <t>emorrispa@ameblo.jp</t>
  </si>
  <si>
    <t>Morris</t>
  </si>
  <si>
    <t>Wikido</t>
  </si>
  <si>
    <t>14290-352</t>
  </si>
  <si>
    <t>jweaverp9@google.cn</t>
  </si>
  <si>
    <t>Weaver</t>
  </si>
  <si>
    <t>58118-1397</t>
  </si>
  <si>
    <t>rchavezp8@jiathis.com</t>
  </si>
  <si>
    <t>Chavez</t>
  </si>
  <si>
    <t>64720-238</t>
  </si>
  <si>
    <t>pburtonp7@springer.com</t>
  </si>
  <si>
    <t>Burton</t>
  </si>
  <si>
    <t>Trilia</t>
  </si>
  <si>
    <t>59762-5016</t>
  </si>
  <si>
    <t>mchapmanp6@answers.com</t>
  </si>
  <si>
    <t>Chapman</t>
  </si>
  <si>
    <t>Devbug</t>
  </si>
  <si>
    <t>59779-966</t>
  </si>
  <si>
    <t>wleep5@addthis.com</t>
  </si>
  <si>
    <t>Lee</t>
  </si>
  <si>
    <t>Lazz</t>
  </si>
  <si>
    <t>54868-5411</t>
  </si>
  <si>
    <t>jbradleyp4@bloomberg.com</t>
  </si>
  <si>
    <t>Bradley</t>
  </si>
  <si>
    <t>Tazz</t>
  </si>
  <si>
    <t>25431-424</t>
  </si>
  <si>
    <t>rbarnesp3@printfriendly.com</t>
  </si>
  <si>
    <t>Barnes</t>
  </si>
  <si>
    <t>49288-0046</t>
  </si>
  <si>
    <t>krogersp2@wordpress.org</t>
  </si>
  <si>
    <t>Rogers</t>
  </si>
  <si>
    <t>Divavu</t>
  </si>
  <si>
    <t>55319-159</t>
  </si>
  <si>
    <t>tbakerp1@princeton.edu</t>
  </si>
  <si>
    <t>Baker</t>
  </si>
  <si>
    <t>0338-0114</t>
  </si>
  <si>
    <t>jlawsonp0@washingtonpost.com</t>
  </si>
  <si>
    <t>0904-2725</t>
  </si>
  <si>
    <t>candrewsoz@studiopress.com</t>
  </si>
  <si>
    <t>Andrews</t>
  </si>
  <si>
    <t>Yakitri</t>
  </si>
  <si>
    <t>68987-022</t>
  </si>
  <si>
    <t>jweaveroy@moonfruit.com</t>
  </si>
  <si>
    <t>Pixonyx</t>
  </si>
  <si>
    <t>51672-1318</t>
  </si>
  <si>
    <t>cchavezox@redcross.org</t>
  </si>
  <si>
    <t>Oyondu</t>
  </si>
  <si>
    <t>41499-106</t>
  </si>
  <si>
    <t>jjohnstonow@auda.org.au</t>
  </si>
  <si>
    <t>52125-810</t>
  </si>
  <si>
    <t>jadamsov@unicef.org</t>
  </si>
  <si>
    <t>Adams</t>
  </si>
  <si>
    <t>Kwimbee</t>
  </si>
  <si>
    <t>49999-469</t>
  </si>
  <si>
    <t>sfisherou@zdnet.com</t>
  </si>
  <si>
    <t>Fisher</t>
  </si>
  <si>
    <t>0406-8091</t>
  </si>
  <si>
    <t>jromeroot@i2i.jp</t>
  </si>
  <si>
    <t>Romero</t>
  </si>
  <si>
    <t>Kwideo</t>
  </si>
  <si>
    <t>51852-100</t>
  </si>
  <si>
    <t>pcruzos@dmoz.org</t>
  </si>
  <si>
    <t>Cruz</t>
  </si>
  <si>
    <t>Muxo</t>
  </si>
  <si>
    <t>0904-6286</t>
  </si>
  <si>
    <t>cvasquezor@tmall.com</t>
  </si>
  <si>
    <t>Wikibox</t>
  </si>
  <si>
    <t>52125-568</t>
  </si>
  <si>
    <t>cbelloq@loc.gov</t>
  </si>
  <si>
    <t>Bell</t>
  </si>
  <si>
    <t>Twitterlist</t>
  </si>
  <si>
    <t>64613-5600</t>
  </si>
  <si>
    <t>jreynoldsop@soup.io</t>
  </si>
  <si>
    <t>Reynolds</t>
  </si>
  <si>
    <t>Viva</t>
  </si>
  <si>
    <t>54891-001</t>
  </si>
  <si>
    <t>rwoodoo@skyrock.com</t>
  </si>
  <si>
    <t>Wood</t>
  </si>
  <si>
    <t>50436-3912</t>
  </si>
  <si>
    <t>briveraon@smh.com.au</t>
  </si>
  <si>
    <t>Avamba</t>
  </si>
  <si>
    <t>67345-0702</t>
  </si>
  <si>
    <t>palvarezom@bizjournals.com</t>
  </si>
  <si>
    <t>Alvarez</t>
  </si>
  <si>
    <t>Voomm</t>
  </si>
  <si>
    <t>0054-3270</t>
  </si>
  <si>
    <t>jtaylorol@ucla.edu</t>
  </si>
  <si>
    <t>Taylor</t>
  </si>
  <si>
    <t>58311-4444</t>
  </si>
  <si>
    <t>mfieldsok@tmall.com</t>
  </si>
  <si>
    <t>Fields</t>
  </si>
  <si>
    <t>0228-2801</t>
  </si>
  <si>
    <t>abradleyoj@princeton.edu</t>
  </si>
  <si>
    <t>Jazzy</t>
  </si>
  <si>
    <t>43063-186</t>
  </si>
  <si>
    <t>rscottoi@archive.org</t>
  </si>
  <si>
    <t>Fivechat</t>
  </si>
  <si>
    <t>51079-109</t>
  </si>
  <si>
    <t>swillisoh@vimeo.com</t>
  </si>
  <si>
    <t>Willis</t>
  </si>
  <si>
    <t>Skinix</t>
  </si>
  <si>
    <t>60232-2283</t>
  </si>
  <si>
    <t>jnelsonog@canalblog.com</t>
  </si>
  <si>
    <t>Topicblab</t>
  </si>
  <si>
    <t>46122-161</t>
  </si>
  <si>
    <t>pbanksof@ibm.com</t>
  </si>
  <si>
    <t>Banks</t>
  </si>
  <si>
    <t>Brainbox</t>
  </si>
  <si>
    <t>54575-969</t>
  </si>
  <si>
    <t>lmasonoe@seattletimes.com</t>
  </si>
  <si>
    <t>Mason</t>
  </si>
  <si>
    <t>Twitterbridge</t>
  </si>
  <si>
    <t>13537-249</t>
  </si>
  <si>
    <t>bweaverod@nasa.gov</t>
  </si>
  <si>
    <t>Rhycero</t>
  </si>
  <si>
    <t>64117-207</t>
  </si>
  <si>
    <t>sbennettoc@statcounter.com</t>
  </si>
  <si>
    <t>Bennett</t>
  </si>
  <si>
    <t>Feedfish</t>
  </si>
  <si>
    <t>0187-0143</t>
  </si>
  <si>
    <t>djenkinsob@discuz.net</t>
  </si>
  <si>
    <t>37205-336</t>
  </si>
  <si>
    <t>egilbertoa@t.co</t>
  </si>
  <si>
    <t>Gilbert</t>
  </si>
  <si>
    <t>49351-015</t>
  </si>
  <si>
    <t>tandersono9@livejournal.com</t>
  </si>
  <si>
    <t>Anderson</t>
  </si>
  <si>
    <t>Thoughtstorm</t>
  </si>
  <si>
    <t>33261-416</t>
  </si>
  <si>
    <t>gchavezo8@printfriendly.com</t>
  </si>
  <si>
    <t>51285-524</t>
  </si>
  <si>
    <t>pmillso7@icio.us</t>
  </si>
  <si>
    <t>Cogibox</t>
  </si>
  <si>
    <t>53808-0933</t>
  </si>
  <si>
    <t>awoodo6@tuttocitta.it</t>
  </si>
  <si>
    <t>Vinte</t>
  </si>
  <si>
    <t>55154-5461</t>
  </si>
  <si>
    <t>acunninghamo5@godaddy.com</t>
  </si>
  <si>
    <t>55111-221</t>
  </si>
  <si>
    <t>pdiazo4@oracle.com</t>
  </si>
  <si>
    <t>Rhynoodle</t>
  </si>
  <si>
    <t>0832-0229</t>
  </si>
  <si>
    <t>badamso3@prnewswire.com</t>
  </si>
  <si>
    <t>Eazzy</t>
  </si>
  <si>
    <t>0023-4963</t>
  </si>
  <si>
    <t>ggrayo2@mysql.com</t>
  </si>
  <si>
    <t>Gray</t>
  </si>
  <si>
    <t>Oyonder</t>
  </si>
  <si>
    <t>49999-109</t>
  </si>
  <si>
    <t>aharpero1@eepurl.com</t>
  </si>
  <si>
    <t>Zazio</t>
  </si>
  <si>
    <t>54868-4411</t>
  </si>
  <si>
    <t>bevanso0@skyrock.com</t>
  </si>
  <si>
    <t>Evans</t>
  </si>
  <si>
    <t>Trunyx</t>
  </si>
  <si>
    <t>55150-167</t>
  </si>
  <si>
    <t>lbishopnz@cbc.ca</t>
  </si>
  <si>
    <t>Bishop</t>
  </si>
  <si>
    <t>Photobean</t>
  </si>
  <si>
    <t>43772-0039</t>
  </si>
  <si>
    <t>vlongny@amazon.co.uk</t>
  </si>
  <si>
    <t>Topicshots</t>
  </si>
  <si>
    <t>59535-0101</t>
  </si>
  <si>
    <t>dwheelernx@youku.com</t>
  </si>
  <si>
    <t>Camimbo</t>
  </si>
  <si>
    <t>56104-008</t>
  </si>
  <si>
    <t>jhartnw@hexun.com</t>
  </si>
  <si>
    <t>Hart</t>
  </si>
  <si>
    <t>Realcube</t>
  </si>
  <si>
    <t>55111-547</t>
  </si>
  <si>
    <t>jcolemannv@yandex.ru</t>
  </si>
  <si>
    <t>54868-5040</t>
  </si>
  <si>
    <t>areidnu@google.co.uk</t>
  </si>
  <si>
    <t>Digitube</t>
  </si>
  <si>
    <t>13668-037</t>
  </si>
  <si>
    <t>bscottnt@si.edu</t>
  </si>
  <si>
    <t>Plambee</t>
  </si>
  <si>
    <t>55154-6924</t>
  </si>
  <si>
    <t>ksimpsonns@ed.gov</t>
  </si>
  <si>
    <t>Simpson</t>
  </si>
  <si>
    <t>60793-604</t>
  </si>
  <si>
    <t>ecruznr@themeforest.net</t>
  </si>
  <si>
    <t>Eayo</t>
  </si>
  <si>
    <t>0363-0419</t>
  </si>
  <si>
    <t>smasonnq@xrea.com</t>
  </si>
  <si>
    <t>Topdrive</t>
  </si>
  <si>
    <t>52731-7044</t>
  </si>
  <si>
    <t>mdeannp@scientificamerican.com</t>
  </si>
  <si>
    <t>Dean</t>
  </si>
  <si>
    <t>Buzzdog</t>
  </si>
  <si>
    <t>0904-5962</t>
  </si>
  <si>
    <t>ksullivanno@arizona.edu</t>
  </si>
  <si>
    <t>Trudeo</t>
  </si>
  <si>
    <t>47781-206</t>
  </si>
  <si>
    <t>vburnsnn@ifeng.com</t>
  </si>
  <si>
    <t>Burns</t>
  </si>
  <si>
    <t>Eidel</t>
  </si>
  <si>
    <t>59427-702</t>
  </si>
  <si>
    <t>jspencernm@slashdot.org</t>
  </si>
  <si>
    <t>Spencer</t>
  </si>
  <si>
    <t>0409-6629</t>
  </si>
  <si>
    <t>sfowlernl@wufoo.com</t>
  </si>
  <si>
    <t>Fowler</t>
  </si>
  <si>
    <t>Edgeblab</t>
  </si>
  <si>
    <t>13107-121</t>
  </si>
  <si>
    <t>bgonzalesnk@geocities.com</t>
  </si>
  <si>
    <t>44206-310</t>
  </si>
  <si>
    <t>athomasnj@biblegateway.com</t>
  </si>
  <si>
    <t>Thomas</t>
  </si>
  <si>
    <t>50988-304</t>
  </si>
  <si>
    <t>crogersni@meetup.com</t>
  </si>
  <si>
    <t>58980-402</t>
  </si>
  <si>
    <t>pperkinsnh@naver.com</t>
  </si>
  <si>
    <t>Skiba</t>
  </si>
  <si>
    <t>17630-2007</t>
  </si>
  <si>
    <t>elaneng@ftc.gov</t>
  </si>
  <si>
    <t>Lane</t>
  </si>
  <si>
    <t>57520-0175</t>
  </si>
  <si>
    <t>swoodnf@surveymonkey.com</t>
  </si>
  <si>
    <t>Jabberstorm</t>
  </si>
  <si>
    <t>68382-163</t>
  </si>
  <si>
    <t>jwhitene@pen.io</t>
  </si>
  <si>
    <t>White</t>
  </si>
  <si>
    <t>0469-3250</t>
  </si>
  <si>
    <t>dbakernd@shareasale.com</t>
  </si>
  <si>
    <t>Zoomzone</t>
  </si>
  <si>
    <t>0025-1851</t>
  </si>
  <si>
    <t>eperrync@paginegialle.it</t>
  </si>
  <si>
    <t>Skimia</t>
  </si>
  <si>
    <t>0268-0905</t>
  </si>
  <si>
    <t>igriffinnb@nymag.com</t>
  </si>
  <si>
    <t>Griffin</t>
  </si>
  <si>
    <t>Jaloo</t>
  </si>
  <si>
    <t>68788-0843</t>
  </si>
  <si>
    <t>jmitchellna@nytimes.com</t>
  </si>
  <si>
    <t>Yakidoo</t>
  </si>
  <si>
    <t>61919-469</t>
  </si>
  <si>
    <t>pjordann9@ftc.gov</t>
  </si>
  <si>
    <t>Jabbertype</t>
  </si>
  <si>
    <t>0268-0144</t>
  </si>
  <si>
    <t>amorgann8@hatena.ne.jp</t>
  </si>
  <si>
    <t>Morgan</t>
  </si>
  <si>
    <t>Mita</t>
  </si>
  <si>
    <t>54458-301</t>
  </si>
  <si>
    <t>wkelleyn7@spotify.com</t>
  </si>
  <si>
    <t>Kelley</t>
  </si>
  <si>
    <t>Photofeed</t>
  </si>
  <si>
    <t>0135-0557</t>
  </si>
  <si>
    <t>fwilsonn6@businessweek.com</t>
  </si>
  <si>
    <t>Wilson</t>
  </si>
  <si>
    <t>54838-551</t>
  </si>
  <si>
    <t>wwrightn5@baidu.com</t>
  </si>
  <si>
    <t>Wright</t>
  </si>
  <si>
    <t>Bluejam</t>
  </si>
  <si>
    <t>60429-222</t>
  </si>
  <si>
    <t>areedn4@forbes.com</t>
  </si>
  <si>
    <t>Reed</t>
  </si>
  <si>
    <t>36987-2794</t>
  </si>
  <si>
    <t>lpiercen3@freewebs.com</t>
  </si>
  <si>
    <t>Pierce</t>
  </si>
  <si>
    <t>50114-6129</t>
  </si>
  <si>
    <t>pmurphyn2@newyorker.com</t>
  </si>
  <si>
    <t>Murphy</t>
  </si>
  <si>
    <t>Vipe</t>
  </si>
  <si>
    <t>59779-484</t>
  </si>
  <si>
    <t>bmccoyn1@joomla.org</t>
  </si>
  <si>
    <t>Mccoy</t>
  </si>
  <si>
    <t>Rhyloo</t>
  </si>
  <si>
    <t>0781-1205</t>
  </si>
  <si>
    <t>cwrightn0@biglobe.ne.jp</t>
  </si>
  <si>
    <t>Mymm</t>
  </si>
  <si>
    <t>50845-0043</t>
  </si>
  <si>
    <t>kmasonmz@spotify.com</t>
  </si>
  <si>
    <t>Twitterworks</t>
  </si>
  <si>
    <t>60760-215</t>
  </si>
  <si>
    <t>jriveramy@va.gov</t>
  </si>
  <si>
    <t>49702-222</t>
  </si>
  <si>
    <t>dgibsonmx@gnu.org</t>
  </si>
  <si>
    <t>Ailane</t>
  </si>
  <si>
    <t>62670-3754</t>
  </si>
  <si>
    <t>drobertsonmw@amazon.com</t>
  </si>
  <si>
    <t>Dabshots</t>
  </si>
  <si>
    <t>48951-5020</t>
  </si>
  <si>
    <t>dsanchezmv@twitpic.com</t>
  </si>
  <si>
    <t>Sanchez</t>
  </si>
  <si>
    <t>Trudoo</t>
  </si>
  <si>
    <t>17089-290</t>
  </si>
  <si>
    <t>jnelsonmu@pbs.org</t>
  </si>
  <si>
    <t>Skyvu</t>
  </si>
  <si>
    <t>52125-024</t>
  </si>
  <si>
    <t>mturnermt@icq.com</t>
  </si>
  <si>
    <t>Turner</t>
  </si>
  <si>
    <t>Cogidoo</t>
  </si>
  <si>
    <t>50436-9802</t>
  </si>
  <si>
    <t>jthompsonms@ning.com</t>
  </si>
  <si>
    <t>Thompson</t>
  </si>
  <si>
    <t>63824-350</t>
  </si>
  <si>
    <t>tcampbellmr@cornell.edu</t>
  </si>
  <si>
    <t>Campbell</t>
  </si>
  <si>
    <t>Riffpath</t>
  </si>
  <si>
    <t>98132-191</t>
  </si>
  <si>
    <t>rfordmq@usgs.gov</t>
  </si>
  <si>
    <t>55910-391</t>
  </si>
  <si>
    <t>tadamsmp@dmoz.org</t>
  </si>
  <si>
    <t>55154-0367</t>
  </si>
  <si>
    <t>sriveramo@pagesperso-orange.fr</t>
  </si>
  <si>
    <t>18860-723</t>
  </si>
  <si>
    <t>dedwardsmn@blinklist.com</t>
  </si>
  <si>
    <t>Edwards</t>
  </si>
  <si>
    <t>Skinder</t>
  </si>
  <si>
    <t>52389-621</t>
  </si>
  <si>
    <t>ssandersmm@telegraph.co.uk</t>
  </si>
  <si>
    <t>Sanders</t>
  </si>
  <si>
    <t>57520-0260</t>
  </si>
  <si>
    <t>jharrisonml@cnet.com</t>
  </si>
  <si>
    <t>46123-026</t>
  </si>
  <si>
    <t>sryanmk@joomla.org</t>
  </si>
  <si>
    <t>Ryan</t>
  </si>
  <si>
    <t>Skilith</t>
  </si>
  <si>
    <t>49999-094</t>
  </si>
  <si>
    <t>rperkinsmj@usnews.com</t>
  </si>
  <si>
    <t>36987-3278</t>
  </si>
  <si>
    <t>phowellmi@paypal.com</t>
  </si>
  <si>
    <t>Howell</t>
  </si>
  <si>
    <t>Eadel</t>
  </si>
  <si>
    <t>66915-604</t>
  </si>
  <si>
    <t>phughesmh@g.co</t>
  </si>
  <si>
    <t>Hughes</t>
  </si>
  <si>
    <t>DabZ</t>
  </si>
  <si>
    <t>53113-103</t>
  </si>
  <si>
    <t>ngomezmg@flavors.me</t>
  </si>
  <si>
    <t>Gomez</t>
  </si>
  <si>
    <t>Photobug</t>
  </si>
  <si>
    <t>49349-144</t>
  </si>
  <si>
    <t>ccolemf@cam.ac.uk</t>
  </si>
  <si>
    <t>Cole</t>
  </si>
  <si>
    <t>Pixoboo</t>
  </si>
  <si>
    <t>51079-172</t>
  </si>
  <si>
    <t>mblackme@yandex.ru</t>
  </si>
  <si>
    <t>Black</t>
  </si>
  <si>
    <t>Vinder</t>
  </si>
  <si>
    <t>41190-176</t>
  </si>
  <si>
    <t>nrodriguezmd@wired.com</t>
  </si>
  <si>
    <t>Ainyx</t>
  </si>
  <si>
    <t>10370-195</t>
  </si>
  <si>
    <t>lmatthewsmc@wiley.com</t>
  </si>
  <si>
    <t>64725-3925</t>
  </si>
  <si>
    <t>kmartinmb@europa.eu</t>
  </si>
  <si>
    <t>Martin</t>
  </si>
  <si>
    <t>37808-390</t>
  </si>
  <si>
    <t>wmedinama@dropbox.com</t>
  </si>
  <si>
    <t>Medina</t>
  </si>
  <si>
    <t>0015-1910</t>
  </si>
  <si>
    <t>hkimm9@liveinternet.ru</t>
  </si>
  <si>
    <t>Kim</t>
  </si>
  <si>
    <t>64380-725</t>
  </si>
  <si>
    <t>tlanem8@boston.com</t>
  </si>
  <si>
    <t>42291-618</t>
  </si>
  <si>
    <t>arobinsonm7@bing.com</t>
  </si>
  <si>
    <t>Robinson</t>
  </si>
  <si>
    <t>Brainverse</t>
  </si>
  <si>
    <t>55316-604</t>
  </si>
  <si>
    <t>jmillerm6@bbc.co.uk</t>
  </si>
  <si>
    <t>Miller</t>
  </si>
  <si>
    <t>Quinu</t>
  </si>
  <si>
    <t>63940-590</t>
  </si>
  <si>
    <t>efieldsm5@rambler.ru</t>
  </si>
  <si>
    <t>65162-835</t>
  </si>
  <si>
    <t>msmithm4@unicef.org</t>
  </si>
  <si>
    <t>Smith</t>
  </si>
  <si>
    <t>0378-7296</t>
  </si>
  <si>
    <t>jfergusonm3@freewebs.com</t>
  </si>
  <si>
    <t>Ferguson</t>
  </si>
  <si>
    <t>66336-673</t>
  </si>
  <si>
    <t>mwelchm2@redcross.org</t>
  </si>
  <si>
    <t>Welch</t>
  </si>
  <si>
    <t>Twinte</t>
  </si>
  <si>
    <t>16714-354</t>
  </si>
  <si>
    <t>jgarciam1@discovery.com</t>
  </si>
  <si>
    <t>Garcia</t>
  </si>
  <si>
    <t>Dabvine</t>
  </si>
  <si>
    <t>59779-226</t>
  </si>
  <si>
    <t>vlanem0@cyberchimps.com</t>
  </si>
  <si>
    <t>Wordware</t>
  </si>
  <si>
    <t>58930-046</t>
  </si>
  <si>
    <t>lalvarezlz@cnn.com</t>
  </si>
  <si>
    <t>Jabberbean</t>
  </si>
  <si>
    <t>49349-101</t>
  </si>
  <si>
    <t>msimsly@nsw.gov.au</t>
  </si>
  <si>
    <t>Browsebug</t>
  </si>
  <si>
    <t>64725-0511</t>
  </si>
  <si>
    <t>apeterslx@wsj.com</t>
  </si>
  <si>
    <t>Peters</t>
  </si>
  <si>
    <t>Fivespan</t>
  </si>
  <si>
    <t>68180-117</t>
  </si>
  <si>
    <t>ddixonlw@tinyurl.com</t>
  </si>
  <si>
    <t>Zava</t>
  </si>
  <si>
    <t>68220-118</t>
  </si>
  <si>
    <t>jcrawfordlv@rakuten.co.jp</t>
  </si>
  <si>
    <t>Crawford</t>
  </si>
  <si>
    <t>Zoonoodle</t>
  </si>
  <si>
    <t>50458-168</t>
  </si>
  <si>
    <t>drodriguezlu@zdnet.com</t>
  </si>
  <si>
    <t>Camido</t>
  </si>
  <si>
    <t>42508-161</t>
  </si>
  <si>
    <t>rsanderslt@yellowpages.com</t>
  </si>
  <si>
    <t>Zooveo</t>
  </si>
  <si>
    <t>43489-101</t>
  </si>
  <si>
    <t>mcunninghamls@cam.ac.uk</t>
  </si>
  <si>
    <t>Tagcat</t>
  </si>
  <si>
    <t>44397-020</t>
  </si>
  <si>
    <t>csullivanlr@people.com.cn</t>
  </si>
  <si>
    <t>Flipstorm</t>
  </si>
  <si>
    <t>69190-336</t>
  </si>
  <si>
    <t>bduncanlq@businessweek.com</t>
  </si>
  <si>
    <t>Duncan</t>
  </si>
  <si>
    <t>55154-3332</t>
  </si>
  <si>
    <t>swalkerlp@ted.com</t>
  </si>
  <si>
    <t>Walker</t>
  </si>
  <si>
    <t>Zoonder</t>
  </si>
  <si>
    <t>59762-2340</t>
  </si>
  <si>
    <t>ajacobslo@linkedin.com</t>
  </si>
  <si>
    <t>Jacobs</t>
  </si>
  <si>
    <t>Realpoint</t>
  </si>
  <si>
    <t>0603-0150</t>
  </si>
  <si>
    <t>hturnerln@google.com</t>
  </si>
  <si>
    <t>Youbridge</t>
  </si>
  <si>
    <t>54868-5501</t>
  </si>
  <si>
    <t>bnicholslm@clickbank.net</t>
  </si>
  <si>
    <t>Gevee</t>
  </si>
  <si>
    <t>50532-113</t>
  </si>
  <si>
    <t>jwatsonll@1und1.de</t>
  </si>
  <si>
    <t>Watson</t>
  </si>
  <si>
    <t>68016-081</t>
  </si>
  <si>
    <t>dhawkinslk@xing.com</t>
  </si>
  <si>
    <t>Hawkins</t>
  </si>
  <si>
    <t>Avavee</t>
  </si>
  <si>
    <t>51285-366</t>
  </si>
  <si>
    <t>rharrislj@scientificamerican.com</t>
  </si>
  <si>
    <t>Harris</t>
  </si>
  <si>
    <t>Thoughtworks</t>
  </si>
  <si>
    <t>75857-1100</t>
  </si>
  <si>
    <t>ggreeneli@wired.com</t>
  </si>
  <si>
    <t>Greene</t>
  </si>
  <si>
    <t>0378-0471</t>
  </si>
  <si>
    <t>rdixonlh@comsenz.com</t>
  </si>
  <si>
    <t>Bubblemix</t>
  </si>
  <si>
    <t>51060-020</t>
  </si>
  <si>
    <t>chenrylg@comcast.net</t>
  </si>
  <si>
    <t>Henry</t>
  </si>
  <si>
    <t>42507-571</t>
  </si>
  <si>
    <t>rpricelf@google.fr</t>
  </si>
  <si>
    <t>65841-052</t>
  </si>
  <si>
    <t>wharperle@pcworld.com</t>
  </si>
  <si>
    <t>Jabbercube</t>
  </si>
  <si>
    <t>43547-336</t>
  </si>
  <si>
    <t>lcarpenterld@narod.ru</t>
  </si>
  <si>
    <t>Carpenter</t>
  </si>
  <si>
    <t>Chatterpoint</t>
  </si>
  <si>
    <t>58668-0961</t>
  </si>
  <si>
    <t>ebennettlc@sphinn.com</t>
  </si>
  <si>
    <t>Meetz</t>
  </si>
  <si>
    <t>0268-1364</t>
  </si>
  <si>
    <t>rmyerslb@squarespace.com</t>
  </si>
  <si>
    <t>Skibox</t>
  </si>
  <si>
    <t>42926-161</t>
  </si>
  <si>
    <t>lbaileyla@soup.io</t>
  </si>
  <si>
    <t>Bailey</t>
  </si>
  <si>
    <t>63777-223</t>
  </si>
  <si>
    <t>sgonzalesl9@t.co</t>
  </si>
  <si>
    <t>76348-401</t>
  </si>
  <si>
    <t>bwelchl8@archive.org</t>
  </si>
  <si>
    <t>Podcat</t>
  </si>
  <si>
    <t>43269-858</t>
  </si>
  <si>
    <t>bhunterl7@bigcartel.com</t>
  </si>
  <si>
    <t>Hunter</t>
  </si>
  <si>
    <t>Tambee</t>
  </si>
  <si>
    <t>69196-2001</t>
  </si>
  <si>
    <t>pnicholsl6@typepad.com</t>
  </si>
  <si>
    <t>Youopia</t>
  </si>
  <si>
    <t>55316-701</t>
  </si>
  <si>
    <t>cturnerl5@soup.io</t>
  </si>
  <si>
    <t>60505-1308</t>
  </si>
  <si>
    <t>tsimmonsl4@dailymotion.com</t>
  </si>
  <si>
    <t>Simmons</t>
  </si>
  <si>
    <t>Roomm</t>
  </si>
  <si>
    <t>49884-872</t>
  </si>
  <si>
    <t>jlawrencel3@woothemes.com</t>
  </si>
  <si>
    <t>67046-215</t>
  </si>
  <si>
    <t>fgarzal2@furl.net</t>
  </si>
  <si>
    <t>Garza</t>
  </si>
  <si>
    <t>52125-431</t>
  </si>
  <si>
    <t>cjohnstonl1@artisteer.com</t>
  </si>
  <si>
    <t>64725-0924</t>
  </si>
  <si>
    <t>mphillipsl0@macromedia.com</t>
  </si>
  <si>
    <t>Phillips</t>
  </si>
  <si>
    <t>35356-169</t>
  </si>
  <si>
    <t>bjenkinskz@yellowbook.com</t>
  </si>
  <si>
    <t>61722-142</t>
  </si>
  <si>
    <t>promeroky@github.io</t>
  </si>
  <si>
    <t>55154-4975</t>
  </si>
  <si>
    <t>edunnkx@pagesperso-orange.fr</t>
  </si>
  <si>
    <t>59973-001</t>
  </si>
  <si>
    <t>kshawkw@dot.gov</t>
  </si>
  <si>
    <t>Talane</t>
  </si>
  <si>
    <t>57520-0942</t>
  </si>
  <si>
    <t>jhowellkv@sphinn.com</t>
  </si>
  <si>
    <t>0056-0470</t>
  </si>
  <si>
    <t>jramosku@sciencedirect.com</t>
  </si>
  <si>
    <t>63868-104</t>
  </si>
  <si>
    <t>dmorgankt@dailymail.co.uk</t>
  </si>
  <si>
    <t>14783-091</t>
  </si>
  <si>
    <t>pmarshallks@weather.com</t>
  </si>
  <si>
    <t>Marshall</t>
  </si>
  <si>
    <t>Topicstorm</t>
  </si>
  <si>
    <t>49288-0942</t>
  </si>
  <si>
    <t>acolekr@miibeian.gov.cn</t>
  </si>
  <si>
    <t>68400-350</t>
  </si>
  <si>
    <t>mjohnstonkq@paypal.com</t>
  </si>
  <si>
    <t>Kare</t>
  </si>
  <si>
    <t>jmoraleskp@oaic.gov.au</t>
  </si>
  <si>
    <t>Morales</t>
  </si>
  <si>
    <t>Midel</t>
  </si>
  <si>
    <t>0378-5454</t>
  </si>
  <si>
    <t>eburnsko@msn.com</t>
  </si>
  <si>
    <t>Wordtune</t>
  </si>
  <si>
    <t>51143-059</t>
  </si>
  <si>
    <t>mrussellkn@ning.com</t>
  </si>
  <si>
    <t>Russell</t>
  </si>
  <si>
    <t>Quaxo</t>
  </si>
  <si>
    <t>57237-022</t>
  </si>
  <si>
    <t>rharveykm@comsenz.com</t>
  </si>
  <si>
    <t>Harvey</t>
  </si>
  <si>
    <t>Rooxo</t>
  </si>
  <si>
    <t>63824-304</t>
  </si>
  <si>
    <t>jhansenkl@msn.com</t>
  </si>
  <si>
    <t>Hansen</t>
  </si>
  <si>
    <t>45802-269</t>
  </si>
  <si>
    <t>fcoxkk@canalblog.com</t>
  </si>
  <si>
    <t>Cox</t>
  </si>
  <si>
    <t>Kanoodle</t>
  </si>
  <si>
    <t>49288-0212</t>
  </si>
  <si>
    <t>adixonkj@ibm.com</t>
  </si>
  <si>
    <t>Fadeo</t>
  </si>
  <si>
    <t>57337-065</t>
  </si>
  <si>
    <t>bbaileyki@canalblog.com</t>
  </si>
  <si>
    <t>49884-303</t>
  </si>
  <si>
    <t>cdixonkh@skyrock.com</t>
  </si>
  <si>
    <t>Realblab</t>
  </si>
  <si>
    <t>51393-6558</t>
  </si>
  <si>
    <t>rgutierrezkg@google.fr</t>
  </si>
  <si>
    <t>Gutierrez</t>
  </si>
  <si>
    <t>44567-101</t>
  </si>
  <si>
    <t>jwhitekf@mac.com</t>
  </si>
  <si>
    <t>Oyope</t>
  </si>
  <si>
    <t>43742-0292</t>
  </si>
  <si>
    <t>roliverke@irs.gov</t>
  </si>
  <si>
    <t>63629-3321</t>
  </si>
  <si>
    <t>jharperkd@bluehost.com</t>
  </si>
  <si>
    <t>Leenti</t>
  </si>
  <si>
    <t>24338-850</t>
  </si>
  <si>
    <t>gchavezkc@google.ca</t>
  </si>
  <si>
    <t>Divape</t>
  </si>
  <si>
    <t>55910-645</t>
  </si>
  <si>
    <t>agreenkb@qq.com</t>
  </si>
  <si>
    <t>Green</t>
  </si>
  <si>
    <t>51523-017</t>
  </si>
  <si>
    <t>jlawrenceka@seattletimes.com</t>
  </si>
  <si>
    <t>0074-4456</t>
  </si>
  <si>
    <t>rallenk9@jalbum.net</t>
  </si>
  <si>
    <t>65841-099</t>
  </si>
  <si>
    <t>callenk8@google.com</t>
  </si>
  <si>
    <t>Skivee</t>
  </si>
  <si>
    <t>55714-1504</t>
  </si>
  <si>
    <t>tgarciak7@ucoz.com</t>
  </si>
  <si>
    <t>16729-145</t>
  </si>
  <si>
    <t>astephensk6@arstechnica.com</t>
  </si>
  <si>
    <t>Stephens</t>
  </si>
  <si>
    <t>63459-541</t>
  </si>
  <si>
    <t>nbanksk5@wordpress.org</t>
  </si>
  <si>
    <t>53808-0230</t>
  </si>
  <si>
    <t>jmartink4@oaic.gov.au</t>
  </si>
  <si>
    <t>Eabox</t>
  </si>
  <si>
    <t>49781-055</t>
  </si>
  <si>
    <t>tmedinak3@dedecms.com</t>
  </si>
  <si>
    <t>Jetwire</t>
  </si>
  <si>
    <t>63517-506</t>
  </si>
  <si>
    <t>jdayk2@xinhuanet.com</t>
  </si>
  <si>
    <t>63323-345</t>
  </si>
  <si>
    <t>breyesk1@netvibes.com</t>
  </si>
  <si>
    <t>Reyes</t>
  </si>
  <si>
    <t>63080-679</t>
  </si>
  <si>
    <t>srobinsonk0@goodreads.com</t>
  </si>
  <si>
    <t>Kamba</t>
  </si>
  <si>
    <t>0093-8204</t>
  </si>
  <si>
    <t>vwelchjz@friendfeed.com</t>
  </si>
  <si>
    <t>0781-2103</t>
  </si>
  <si>
    <t>wstephensjy@ning.com</t>
  </si>
  <si>
    <t>Lazzy</t>
  </si>
  <si>
    <t>54575-284</t>
  </si>
  <si>
    <t>bmillsjx@lycos.com</t>
  </si>
  <si>
    <t>Tagpad</t>
  </si>
  <si>
    <t>54868-6255</t>
  </si>
  <si>
    <t>jtorresjw@adobe.com</t>
  </si>
  <si>
    <t>Torres</t>
  </si>
  <si>
    <t>50436-5559</t>
  </si>
  <si>
    <t>jgilbertjv@quantcast.com</t>
  </si>
  <si>
    <t>Gabvine</t>
  </si>
  <si>
    <t>55312-477</t>
  </si>
  <si>
    <t>jortizju@illinois.edu</t>
  </si>
  <si>
    <t>Ortiz</t>
  </si>
  <si>
    <t>Realbuzz</t>
  </si>
  <si>
    <t>44781-160</t>
  </si>
  <si>
    <t>clittlejt@msn.com</t>
  </si>
  <si>
    <t>Little</t>
  </si>
  <si>
    <t>Zoozzy</t>
  </si>
  <si>
    <t>51862-179</t>
  </si>
  <si>
    <t>jboydjs@opera.com</t>
  </si>
  <si>
    <t>Boyd</t>
  </si>
  <si>
    <t>68472-081</t>
  </si>
  <si>
    <t>dgilbertjr@canalblog.com</t>
  </si>
  <si>
    <t>0007-4894</t>
  </si>
  <si>
    <t>atuckerjq@jugem.jp</t>
  </si>
  <si>
    <t>Tucker</t>
  </si>
  <si>
    <t>67544-245</t>
  </si>
  <si>
    <t>sandrewsjp@sun.com</t>
  </si>
  <si>
    <t>10967-587</t>
  </si>
  <si>
    <t>hpalmerjo@homestead.com</t>
  </si>
  <si>
    <t>0006-0543</t>
  </si>
  <si>
    <t>bmurrayjn@mit.edu</t>
  </si>
  <si>
    <t>Murray</t>
  </si>
  <si>
    <t>67046-742</t>
  </si>
  <si>
    <t>smillerjm@apple.com</t>
  </si>
  <si>
    <t>Izio</t>
  </si>
  <si>
    <t>61995-2383</t>
  </si>
  <si>
    <t>bwilsonjl@upenn.edu</t>
  </si>
  <si>
    <t>37012-076</t>
  </si>
  <si>
    <t>lwrightjk@apache.org</t>
  </si>
  <si>
    <t>Kwilith</t>
  </si>
  <si>
    <t>62011-0073</t>
  </si>
  <si>
    <t>hpetersjj@statcounter.com</t>
  </si>
  <si>
    <t>68770-101</t>
  </si>
  <si>
    <t>mfisherji@nbcnews.com</t>
  </si>
  <si>
    <t>Zoomlounge</t>
  </si>
  <si>
    <t>68462-302</t>
  </si>
  <si>
    <t>pvasquezjh@hc360.com</t>
  </si>
  <si>
    <t>Devpulse</t>
  </si>
  <si>
    <t>64893-210</t>
  </si>
  <si>
    <t>kbradleyjg@wunderground.com</t>
  </si>
  <si>
    <t>36987-1047</t>
  </si>
  <si>
    <t>rwilliamsjf@reddit.com</t>
  </si>
  <si>
    <t>Williams</t>
  </si>
  <si>
    <t>60760-007</t>
  </si>
  <si>
    <t>sgrahamje@google.ca</t>
  </si>
  <si>
    <t>0338-0047</t>
  </si>
  <si>
    <t>wrodriguezjd@wikimedia.org</t>
  </si>
  <si>
    <t>10356-821</t>
  </si>
  <si>
    <t>kharveyjc@columbia.edu</t>
  </si>
  <si>
    <t>0338-0117</t>
  </si>
  <si>
    <t>jromerojb@nymag.com</t>
  </si>
  <si>
    <t>Eimbee</t>
  </si>
  <si>
    <t>0641-6084</t>
  </si>
  <si>
    <t>bgutierrezja@ucsd.edu</t>
  </si>
  <si>
    <t>41163-029</t>
  </si>
  <si>
    <t>emartinj9@vistaprint.com</t>
  </si>
  <si>
    <t>76237-198</t>
  </si>
  <si>
    <t>jcollinsj8@digg.com</t>
  </si>
  <si>
    <t>Collins</t>
  </si>
  <si>
    <t>Quatz</t>
  </si>
  <si>
    <t>68788-9958</t>
  </si>
  <si>
    <t>cgriffinj7@cyberchimps.com</t>
  </si>
  <si>
    <t>Meejo</t>
  </si>
  <si>
    <t>55154-6643</t>
  </si>
  <si>
    <t>wfreemanj6@senate.gov</t>
  </si>
  <si>
    <t>Freeman</t>
  </si>
  <si>
    <t>49738-929</t>
  </si>
  <si>
    <t>ghudsonj5@tinyurl.com</t>
  </si>
  <si>
    <t>Hudson</t>
  </si>
  <si>
    <t>68180-322</t>
  </si>
  <si>
    <t>wmillerj4@furl.net</t>
  </si>
  <si>
    <t>0603-7831</t>
  </si>
  <si>
    <t>pbennettj3@senate.gov</t>
  </si>
  <si>
    <t>43772-0024</t>
  </si>
  <si>
    <t>jpaynej2@booking.com</t>
  </si>
  <si>
    <t>Payne</t>
  </si>
  <si>
    <t>Rhynyx</t>
  </si>
  <si>
    <t>24208-342</t>
  </si>
  <si>
    <t>lholmesj1@irs.gov</t>
  </si>
  <si>
    <t>Holmes</t>
  </si>
  <si>
    <t>Feedbug</t>
  </si>
  <si>
    <t>54868-4419</t>
  </si>
  <si>
    <t>jsimsj0@china.com.cn</t>
  </si>
  <si>
    <t>54868-2323</t>
  </si>
  <si>
    <t>maustiniz@digg.com</t>
  </si>
  <si>
    <t>53942-072</t>
  </si>
  <si>
    <t>dboydiy@cnbc.com</t>
  </si>
  <si>
    <t>43455-0009</t>
  </si>
  <si>
    <t>clarsonix@etsy.com</t>
  </si>
  <si>
    <t>55910-167</t>
  </si>
  <si>
    <t>mburnsiw@vistaprint.com</t>
  </si>
  <si>
    <t>Oloo</t>
  </si>
  <si>
    <t>55316-903</t>
  </si>
  <si>
    <t>jalleniv@ycombinator.com</t>
  </si>
  <si>
    <t>Edgeify</t>
  </si>
  <si>
    <t>12546-613</t>
  </si>
  <si>
    <t>jkelleyiu@fema.gov</t>
  </si>
  <si>
    <t>65044-2039</t>
  </si>
  <si>
    <t>jmorganit@ft.com</t>
  </si>
  <si>
    <t>41167-0981</t>
  </si>
  <si>
    <t>bwhiteis@usa.gov</t>
  </si>
  <si>
    <t>10147-0882</t>
  </si>
  <si>
    <t>swatkinsir@list-manage.com</t>
  </si>
  <si>
    <t>Watkins</t>
  </si>
  <si>
    <t>Rhybox</t>
  </si>
  <si>
    <t>17312-027</t>
  </si>
  <si>
    <t>jharrisoniq@goo.ne.jp</t>
  </si>
  <si>
    <t>0363-0897</t>
  </si>
  <si>
    <t>wstephensip@drupal.org</t>
  </si>
  <si>
    <t>57955-5002</t>
  </si>
  <si>
    <t>eortizio@elpais.com</t>
  </si>
  <si>
    <t>0065-0092</t>
  </si>
  <si>
    <t>mboydin@bing.com</t>
  </si>
  <si>
    <t>36800-371</t>
  </si>
  <si>
    <t>jporterim@marriott.com</t>
  </si>
  <si>
    <t>Porter</t>
  </si>
  <si>
    <t>Edgeclub</t>
  </si>
  <si>
    <t>41163-415</t>
  </si>
  <si>
    <t>rhayesil@a8.net</t>
  </si>
  <si>
    <t>Fatz</t>
  </si>
  <si>
    <t>49288-0938</t>
  </si>
  <si>
    <t>nfoxik@dion.ne.jp</t>
  </si>
  <si>
    <t>Fox</t>
  </si>
  <si>
    <t>Voonyx</t>
  </si>
  <si>
    <t>48951-3039</t>
  </si>
  <si>
    <t>ehenryij@senate.gov</t>
  </si>
  <si>
    <t>Innojam</t>
  </si>
  <si>
    <t>64980-160</t>
  </si>
  <si>
    <t>tgreenii@oaic.gov.au</t>
  </si>
  <si>
    <t>0781-5239</t>
  </si>
  <si>
    <t>aedwardsih@icio.us</t>
  </si>
  <si>
    <t>Zoombeat</t>
  </si>
  <si>
    <t>51143-279</t>
  </si>
  <si>
    <t>egrantig@phoca.cz</t>
  </si>
  <si>
    <t>Grant</t>
  </si>
  <si>
    <t>Skippad</t>
  </si>
  <si>
    <t>55154-1473</t>
  </si>
  <si>
    <t>rmurphyif@blog.com</t>
  </si>
  <si>
    <t>Jaxbean</t>
  </si>
  <si>
    <t>51769-141</t>
  </si>
  <si>
    <t>pwallaceie@godaddy.com</t>
  </si>
  <si>
    <t>Wallace</t>
  </si>
  <si>
    <t>42254-266</t>
  </si>
  <si>
    <t>cjohnsonid@eepurl.com</t>
  </si>
  <si>
    <t>49349-368</t>
  </si>
  <si>
    <t>rlawrenceic@oakley.com</t>
  </si>
  <si>
    <t>52125-647</t>
  </si>
  <si>
    <t>amillsib@amazon.co.uk</t>
  </si>
  <si>
    <t>Avaveo</t>
  </si>
  <si>
    <t>59779-311</t>
  </si>
  <si>
    <t>jhudsonia@feedburner.com</t>
  </si>
  <si>
    <t>54575-972</t>
  </si>
  <si>
    <t>awilsoni9@miibeian.gov.cn</t>
  </si>
  <si>
    <t>Ntags</t>
  </si>
  <si>
    <t>0228-1113</t>
  </si>
  <si>
    <t>agriffini8@squarespace.com</t>
  </si>
  <si>
    <t>63629-4964</t>
  </si>
  <si>
    <t>jlewisi7@ebay.co.uk</t>
  </si>
  <si>
    <t>0179-0057</t>
  </si>
  <si>
    <t>pwheeleri6@yellowpages.com</t>
  </si>
  <si>
    <t>0054-3117</t>
  </si>
  <si>
    <t>chansoni5@shutterfly.com</t>
  </si>
  <si>
    <t>37205-708</t>
  </si>
  <si>
    <t>smorenoi4@webs.com</t>
  </si>
  <si>
    <t>Moreno</t>
  </si>
  <si>
    <t>Skajo</t>
  </si>
  <si>
    <t>50436-9987</t>
  </si>
  <si>
    <t>wtorresi3@quantcast.com</t>
  </si>
  <si>
    <t>Browsezoom</t>
  </si>
  <si>
    <t>24653-310</t>
  </si>
  <si>
    <t>gjonesi2@studiopress.com</t>
  </si>
  <si>
    <t>36987-2226</t>
  </si>
  <si>
    <t>nmurrayi1@infoseek.co.jp</t>
  </si>
  <si>
    <t>28623-250</t>
  </si>
  <si>
    <t>jmitchelli0@google.pl</t>
  </si>
  <si>
    <t>Yotz</t>
  </si>
  <si>
    <t>36987-2063</t>
  </si>
  <si>
    <t>lscotthz@flavors.me</t>
  </si>
  <si>
    <t>Divanoodle</t>
  </si>
  <si>
    <t>60614-1001</t>
  </si>
  <si>
    <t>emontgomeryhy@abc.net.au</t>
  </si>
  <si>
    <t>Montgomery</t>
  </si>
  <si>
    <t>Oyoba</t>
  </si>
  <si>
    <t>44911-0078</t>
  </si>
  <si>
    <t>swelchhx@gravatar.com</t>
  </si>
  <si>
    <t>69044-123</t>
  </si>
  <si>
    <t>tshawhw@google.de</t>
  </si>
  <si>
    <t>Yodel</t>
  </si>
  <si>
    <t>57664-138</t>
  </si>
  <si>
    <t>wdanielshv@wired.com</t>
  </si>
  <si>
    <t>Skinte</t>
  </si>
  <si>
    <t>13537-141</t>
  </si>
  <si>
    <t>tbarneshu@washington.edu</t>
  </si>
  <si>
    <t>49349-887</t>
  </si>
  <si>
    <t>cgeorgeht@google.com.hk</t>
  </si>
  <si>
    <t>George</t>
  </si>
  <si>
    <t>Jaxnation</t>
  </si>
  <si>
    <t>0007-4642</t>
  </si>
  <si>
    <t>aricehs@mlb.com</t>
  </si>
  <si>
    <t>Realbridge</t>
  </si>
  <si>
    <t>68382-273</t>
  </si>
  <si>
    <t>btuckerhr@ocn.ne.jp</t>
  </si>
  <si>
    <t>Tagchat</t>
  </si>
  <si>
    <t>37000-023</t>
  </si>
  <si>
    <t>ealexanderhq@vimeo.com</t>
  </si>
  <si>
    <t>Alexander</t>
  </si>
  <si>
    <t>Yabox</t>
  </si>
  <si>
    <t>0378-8888</t>
  </si>
  <si>
    <t>jduncanhp@scribd.com</t>
  </si>
  <si>
    <t>Yacero</t>
  </si>
  <si>
    <t>54748-401</t>
  </si>
  <si>
    <t>tfowlerho@constantcontact.com</t>
  </si>
  <si>
    <t>60505-3573</t>
  </si>
  <si>
    <t>mellishn@fc2.com</t>
  </si>
  <si>
    <t>Ellis</t>
  </si>
  <si>
    <t>63629-5325</t>
  </si>
  <si>
    <t>mlonghm@mayoclinic.com</t>
  </si>
  <si>
    <t>Demivee</t>
  </si>
  <si>
    <t>54868-2892</t>
  </si>
  <si>
    <t>hpaynehl@amazon.de</t>
  </si>
  <si>
    <t>Tagtune</t>
  </si>
  <si>
    <t>13537-168</t>
  </si>
  <si>
    <t>jwillishk@gmpg.org</t>
  </si>
  <si>
    <t>Tagopia</t>
  </si>
  <si>
    <t>57627-169</t>
  </si>
  <si>
    <t>jsimpsonhj@rakuten.co.jp</t>
  </si>
  <si>
    <t>0536-7415</t>
  </si>
  <si>
    <t>agrayhi@ucla.edu</t>
  </si>
  <si>
    <t>11822-0595</t>
  </si>
  <si>
    <t>jburnshh@nps.gov</t>
  </si>
  <si>
    <t>Trilith</t>
  </si>
  <si>
    <t>63824-460</t>
  </si>
  <si>
    <t>sgrayhg@sfgate.com</t>
  </si>
  <si>
    <t>42536-6044</t>
  </si>
  <si>
    <t>kmorrisonhf@reference.com</t>
  </si>
  <si>
    <t>Voolia</t>
  </si>
  <si>
    <t>57520-0450</t>
  </si>
  <si>
    <t>rfreemanhe@google.co.uk</t>
  </si>
  <si>
    <t>67457-492</t>
  </si>
  <si>
    <t>hharthd@engadget.com</t>
  </si>
  <si>
    <t>58503-021</t>
  </si>
  <si>
    <t>tchapmanhc@sakura.ne.jp</t>
  </si>
  <si>
    <t>jwallacehb@vk.com</t>
  </si>
  <si>
    <t>63402-911</t>
  </si>
  <si>
    <t>rpierceha@canalblog.com</t>
  </si>
  <si>
    <t>Gigabox</t>
  </si>
  <si>
    <t>0781-3223</t>
  </si>
  <si>
    <t>vsmithh9@e-recht24.de</t>
  </si>
  <si>
    <t>59779-183</t>
  </si>
  <si>
    <t>mbennetth8@posterous.com</t>
  </si>
  <si>
    <t>29485-2828</t>
  </si>
  <si>
    <t>vwillish7@topsy.com</t>
  </si>
  <si>
    <t>55648-102</t>
  </si>
  <si>
    <t>smcdonaldh6@amazon.de</t>
  </si>
  <si>
    <t>Mcdonald</t>
  </si>
  <si>
    <t>60505-1201</t>
  </si>
  <si>
    <t>shayesh5@webnode.com</t>
  </si>
  <si>
    <t>63629-4484</t>
  </si>
  <si>
    <t>bthompsonh4@issuu.com</t>
  </si>
  <si>
    <t>Youfeed</t>
  </si>
  <si>
    <t>36800-224</t>
  </si>
  <si>
    <t>eperkinsh3@pen.io</t>
  </si>
  <si>
    <t>49348-559</t>
  </si>
  <si>
    <t>mjacobsh2@unicef.org</t>
  </si>
  <si>
    <t>62144-5510</t>
  </si>
  <si>
    <t>rknighth1@goo.ne.jp</t>
  </si>
  <si>
    <t>Knight</t>
  </si>
  <si>
    <t>60505-0595</t>
  </si>
  <si>
    <t>lhawkinsh0@ning.com</t>
  </si>
  <si>
    <t>0363-0446</t>
  </si>
  <si>
    <t>jcastillogz@amazon.de</t>
  </si>
  <si>
    <t>53057-006</t>
  </si>
  <si>
    <t>gmeyergy@blogspot.com</t>
  </si>
  <si>
    <t>Meyer</t>
  </si>
  <si>
    <t>Innotype</t>
  </si>
  <si>
    <t>13537-153</t>
  </si>
  <si>
    <t>sbutlergx@patch.com</t>
  </si>
  <si>
    <t>Butler</t>
  </si>
  <si>
    <t>36987-1139</t>
  </si>
  <si>
    <t>sellisgw@oakley.com</t>
  </si>
  <si>
    <t>51523-113</t>
  </si>
  <si>
    <t>ldanielsgv@amazon.com</t>
  </si>
  <si>
    <t>Tagfeed</t>
  </si>
  <si>
    <t>24477-515</t>
  </si>
  <si>
    <t>jriveragu@pbs.org</t>
  </si>
  <si>
    <t>53808-0261</t>
  </si>
  <si>
    <t>wandrewsgt@rediff.com</t>
  </si>
  <si>
    <t>49349-372</t>
  </si>
  <si>
    <t>promerogs@nature.com</t>
  </si>
  <si>
    <t>41163-414</t>
  </si>
  <si>
    <t>dbrowngr@oaic.gov.au</t>
  </si>
  <si>
    <t>Brown</t>
  </si>
  <si>
    <t>Devpoint</t>
  </si>
  <si>
    <t>52544-896</t>
  </si>
  <si>
    <t>rcartergq@smugmug.com</t>
  </si>
  <si>
    <t>Carter</t>
  </si>
  <si>
    <t>0536-1881</t>
  </si>
  <si>
    <t>freidgp@com.com</t>
  </si>
  <si>
    <t>Skyba</t>
  </si>
  <si>
    <t>0115-1121</t>
  </si>
  <si>
    <t>dlarsongo@gov.uk</t>
  </si>
  <si>
    <t>58668-2131</t>
  </si>
  <si>
    <t>hmoralesgn@bizjournals.com</t>
  </si>
  <si>
    <t>42192-150</t>
  </si>
  <si>
    <t>aberrygm@wunderground.com</t>
  </si>
  <si>
    <t>Berry</t>
  </si>
  <si>
    <t>11673-690</t>
  </si>
  <si>
    <t>cgonzalesgl@goo.gl</t>
  </si>
  <si>
    <t>Skipstorm</t>
  </si>
  <si>
    <t>24208-629</t>
  </si>
  <si>
    <t>lmillergk@wordpress.org</t>
  </si>
  <si>
    <t>Linktype</t>
  </si>
  <si>
    <t>36987-2880</t>
  </si>
  <si>
    <t>ndiazgj@va.gov</t>
  </si>
  <si>
    <t>0338-0663</t>
  </si>
  <si>
    <t>dmorenogi@shutterfly.com</t>
  </si>
  <si>
    <t>41250-008</t>
  </si>
  <si>
    <t>ldixongh@ed.gov</t>
  </si>
  <si>
    <t>Skipfire</t>
  </si>
  <si>
    <t>0078-0314</t>
  </si>
  <si>
    <t>rdavisgg@geocities.jp</t>
  </si>
  <si>
    <t>Quimm</t>
  </si>
  <si>
    <t>62756-440</t>
  </si>
  <si>
    <t>mblackgf@dagondesign.com</t>
  </si>
  <si>
    <t>0228-3230</t>
  </si>
  <si>
    <t>jwilsonge@weibo.com</t>
  </si>
  <si>
    <t>10019-075</t>
  </si>
  <si>
    <t>eaustingd@shutterfly.com</t>
  </si>
  <si>
    <t>Vimbo</t>
  </si>
  <si>
    <t>11822-9008</t>
  </si>
  <si>
    <t>scunninghamgc@state.gov</t>
  </si>
  <si>
    <t>55154-5366</t>
  </si>
  <si>
    <t>thenrygb@ebay.com</t>
  </si>
  <si>
    <t>Abata</t>
  </si>
  <si>
    <t>54458-929</t>
  </si>
  <si>
    <t>jhicksga@wufoo.com</t>
  </si>
  <si>
    <t>Hicks</t>
  </si>
  <si>
    <t>10742-8682</t>
  </si>
  <si>
    <t>wpriceg9@unc.edu</t>
  </si>
  <si>
    <t>49349-064</t>
  </si>
  <si>
    <t>lwardg8@ft.com</t>
  </si>
  <si>
    <t>Ward</t>
  </si>
  <si>
    <t>58118-0107</t>
  </si>
  <si>
    <t>tbishopg7@nydailynews.com</t>
  </si>
  <si>
    <t>37205-732</t>
  </si>
  <si>
    <t>pgreeneg6@paypal.com</t>
  </si>
  <si>
    <t>Realfire</t>
  </si>
  <si>
    <t>65841-734</t>
  </si>
  <si>
    <t>vcollinsg5@live.com</t>
  </si>
  <si>
    <t>51346-061</t>
  </si>
  <si>
    <t>jcrawfordg4@marriott.com</t>
  </si>
  <si>
    <t>Gigashots</t>
  </si>
  <si>
    <t>63548-4001</t>
  </si>
  <si>
    <t>cbradleyg3@sourceforge.net</t>
  </si>
  <si>
    <t>16590-299</t>
  </si>
  <si>
    <t>jhendersong2@mysql.com</t>
  </si>
  <si>
    <t>34666-002</t>
  </si>
  <si>
    <t>wwagnerg1@jigsy.com</t>
  </si>
  <si>
    <t>Wagner</t>
  </si>
  <si>
    <t>Devshare</t>
  </si>
  <si>
    <t>68258-1972</t>
  </si>
  <si>
    <t>kharveyg0@seesaa.net</t>
  </si>
  <si>
    <t>28107-011</t>
  </si>
  <si>
    <t>rwilliamsfz@yahoo.com</t>
  </si>
  <si>
    <t>52584-796</t>
  </si>
  <si>
    <t>scarrollfy@psu.edu</t>
  </si>
  <si>
    <t>Carroll</t>
  </si>
  <si>
    <t>Gabspot</t>
  </si>
  <si>
    <t>36987-1023</t>
  </si>
  <si>
    <t>pwatkinsfx@pagesperso-orange.fr</t>
  </si>
  <si>
    <t>50458-090</t>
  </si>
  <si>
    <t>lmontgomeryfw@tuttocitta.it</t>
  </si>
  <si>
    <t>49349-054</t>
  </si>
  <si>
    <t>kperryfv@de.vu</t>
  </si>
  <si>
    <t>jalexanderfu@mashable.com</t>
  </si>
  <si>
    <t>Bubbletube</t>
  </si>
  <si>
    <t>60505-3132</t>
  </si>
  <si>
    <t>jgarrettft@is.gd</t>
  </si>
  <si>
    <t>Garrett</t>
  </si>
  <si>
    <t>0135-0513</t>
  </si>
  <si>
    <t>nboydfs@google.es</t>
  </si>
  <si>
    <t>63704-006</t>
  </si>
  <si>
    <t>wsimpsonfr@cornell.edu</t>
  </si>
  <si>
    <t>59579-005</t>
  </si>
  <si>
    <t>preidfq@blogger.com</t>
  </si>
  <si>
    <t>54868-4618</t>
  </si>
  <si>
    <t>nharperfp@printfriendly.com</t>
  </si>
  <si>
    <t>Edgewire</t>
  </si>
  <si>
    <t>0456-3210</t>
  </si>
  <si>
    <t>cyoungfo@discovery.com</t>
  </si>
  <si>
    <t>Babbleopia</t>
  </si>
  <si>
    <t>36800-103</t>
  </si>
  <si>
    <t>sgarciafn@slate.com</t>
  </si>
  <si>
    <t>Dynava</t>
  </si>
  <si>
    <t>49999-845</t>
  </si>
  <si>
    <t>breedfm@yolasite.com</t>
  </si>
  <si>
    <t>0185-0674</t>
  </si>
  <si>
    <t>cdixonfl@live.com</t>
  </si>
  <si>
    <t>16714-691</t>
  </si>
  <si>
    <t>dwelchfk@surveymonkey.com</t>
  </si>
  <si>
    <t>53950-7007</t>
  </si>
  <si>
    <t>bedwardsfj@printfriendly.com</t>
  </si>
  <si>
    <t>59762-5014</t>
  </si>
  <si>
    <t>dortizfi@hexun.com</t>
  </si>
  <si>
    <t>54569-6378</t>
  </si>
  <si>
    <t>pbradleyfh@instagram.com</t>
  </si>
  <si>
    <t>62085-1001</t>
  </si>
  <si>
    <t>madamsfg@who.int</t>
  </si>
  <si>
    <t>35356-056</t>
  </si>
  <si>
    <t>cfisherff@over-blog.com</t>
  </si>
  <si>
    <t>Yozio</t>
  </si>
  <si>
    <t>58118-0526</t>
  </si>
  <si>
    <t>hkelleyfe@cdbaby.com</t>
  </si>
  <si>
    <t>55648-140</t>
  </si>
  <si>
    <t>ahicksfd@twitpic.com</t>
  </si>
  <si>
    <t>55050-0001</t>
  </si>
  <si>
    <t>achapmanfc@php.net</t>
  </si>
  <si>
    <t>Linkbridge</t>
  </si>
  <si>
    <t>37808-462</t>
  </si>
  <si>
    <t>dhudsonfb@indiatimes.com</t>
  </si>
  <si>
    <t>49288-0701</t>
  </si>
  <si>
    <t>wedwardsfa@free.fr</t>
  </si>
  <si>
    <t>Aimbo</t>
  </si>
  <si>
    <t>21695-032</t>
  </si>
  <si>
    <t>lwatkinsf9@google.ca</t>
  </si>
  <si>
    <t>30142-304</t>
  </si>
  <si>
    <t>tpalmerf8@java.com</t>
  </si>
  <si>
    <t>0310-0278</t>
  </si>
  <si>
    <t>dmillerf7@nifty.com</t>
  </si>
  <si>
    <t>0126-0138</t>
  </si>
  <si>
    <t>trobertsonf6@cnn.com</t>
  </si>
  <si>
    <t>51060-051</t>
  </si>
  <si>
    <t>jpalmerf5@amazon.co.jp</t>
  </si>
  <si>
    <t>54973-8081</t>
  </si>
  <si>
    <t>skimf4@indiegogo.com</t>
  </si>
  <si>
    <t>36800-456</t>
  </si>
  <si>
    <t>tstonef3@toplist.cz</t>
  </si>
  <si>
    <t>53489-144</t>
  </si>
  <si>
    <t>lrobertsonf2@wikispaces.com</t>
  </si>
  <si>
    <t>52125-202</t>
  </si>
  <si>
    <t>jallenf1@sourceforge.net</t>
  </si>
  <si>
    <t>51346-204</t>
  </si>
  <si>
    <t>freidf0@admin.ch</t>
  </si>
  <si>
    <t>49884-257</t>
  </si>
  <si>
    <t>jperryez@livejournal.com</t>
  </si>
  <si>
    <t>Meemm</t>
  </si>
  <si>
    <t>63739-633</t>
  </si>
  <si>
    <t>arobertsoney@naver.com</t>
  </si>
  <si>
    <t>JumpXS</t>
  </si>
  <si>
    <t>65373-100</t>
  </si>
  <si>
    <t>jpayneex@uol.com.br</t>
  </si>
  <si>
    <t>Dabfeed</t>
  </si>
  <si>
    <t>52959-763</t>
  </si>
  <si>
    <t>acookew@icio.us</t>
  </si>
  <si>
    <t>Cook</t>
  </si>
  <si>
    <t>76214-009</t>
  </si>
  <si>
    <t>jdunnev@symantec.com</t>
  </si>
  <si>
    <t>52125-168</t>
  </si>
  <si>
    <t>dperryeu@youtube.com</t>
  </si>
  <si>
    <t>60760-078</t>
  </si>
  <si>
    <t>amillset@nsw.gov.au</t>
  </si>
  <si>
    <t>Jaxspan</t>
  </si>
  <si>
    <t>24357-702</t>
  </si>
  <si>
    <t>sbowmanes@ezinearticles.com</t>
  </si>
  <si>
    <t>Bowman</t>
  </si>
  <si>
    <t>eramoser@miibeian.gov.cn</t>
  </si>
  <si>
    <t>Einti</t>
  </si>
  <si>
    <t>68151-2346</t>
  </si>
  <si>
    <t>ggarretteq@bing.com</t>
  </si>
  <si>
    <t>43128-115</t>
  </si>
  <si>
    <t>fmorrisep@angelfire.com</t>
  </si>
  <si>
    <t>10544-586</t>
  </si>
  <si>
    <t>ealleneo@wikispaces.com</t>
  </si>
  <si>
    <t>Quimba</t>
  </si>
  <si>
    <t>dfowleren@360.cn</t>
  </si>
  <si>
    <t>65044-3255</t>
  </si>
  <si>
    <t>rrogersem@twitter.com</t>
  </si>
  <si>
    <t>50201-0421</t>
  </si>
  <si>
    <t>cperezel@flickr.com</t>
  </si>
  <si>
    <t>30142-607</t>
  </si>
  <si>
    <t>bhernandezek@ihg.com</t>
  </si>
  <si>
    <t>49884-501</t>
  </si>
  <si>
    <t>ksullivanej@eepurl.com</t>
  </si>
  <si>
    <t>Devcast</t>
  </si>
  <si>
    <t>54575-941</t>
  </si>
  <si>
    <t>dcoxei@yahoo.com</t>
  </si>
  <si>
    <t>Gabtype</t>
  </si>
  <si>
    <t>65121-715</t>
  </si>
  <si>
    <t>jparkereh@godaddy.com</t>
  </si>
  <si>
    <t>Parker</t>
  </si>
  <si>
    <t>41163-647</t>
  </si>
  <si>
    <t>ppriceeg@youtu.be</t>
  </si>
  <si>
    <t>Ozu</t>
  </si>
  <si>
    <t>49348-879</t>
  </si>
  <si>
    <t>bhansonef@ovh.net</t>
  </si>
  <si>
    <t>Thoughtsphere</t>
  </si>
  <si>
    <t>49502-901</t>
  </si>
  <si>
    <t>agrahamee@census.gov</t>
  </si>
  <si>
    <t>Fivebridge</t>
  </si>
  <si>
    <t>50458-306</t>
  </si>
  <si>
    <t>bjacksoned@gizmodo.com</t>
  </si>
  <si>
    <t>Jackson</t>
  </si>
  <si>
    <t>52125-167</t>
  </si>
  <si>
    <t>ghernandezec@symantec.com</t>
  </si>
  <si>
    <t>Centimia</t>
  </si>
  <si>
    <t>52125-668</t>
  </si>
  <si>
    <t>kwardeb@tuttocitta.it</t>
  </si>
  <si>
    <t>0615-4575</t>
  </si>
  <si>
    <t>eburkeea@deviantart.com</t>
  </si>
  <si>
    <t>53807-422</t>
  </si>
  <si>
    <t>eknighte9@behance.net</t>
  </si>
  <si>
    <t>41250-377</t>
  </si>
  <si>
    <t>kflorese8@t-online.de</t>
  </si>
  <si>
    <t>Flores</t>
  </si>
  <si>
    <t>Yadel</t>
  </si>
  <si>
    <t>36987-1979</t>
  </si>
  <si>
    <t>rmillere7@xrea.com</t>
  </si>
  <si>
    <t>60778-040</t>
  </si>
  <si>
    <t>hfreemane6@flickr.com</t>
  </si>
  <si>
    <t>55154-4840</t>
  </si>
  <si>
    <t>cperkinse5@princeton.edu</t>
  </si>
  <si>
    <t>37000-829</t>
  </si>
  <si>
    <t>rmedinae4@dagondesign.com</t>
  </si>
  <si>
    <t>0904-6406</t>
  </si>
  <si>
    <t>nfishere3@hubpages.com</t>
  </si>
  <si>
    <t>49288-0314</t>
  </si>
  <si>
    <t>cturnere2@privacy.gov.au</t>
  </si>
  <si>
    <t>55319-503</t>
  </si>
  <si>
    <t>mjordane1@rakuten.co.jp</t>
  </si>
  <si>
    <t>Topiclounge</t>
  </si>
  <si>
    <t>chuntere0@macromedia.com</t>
  </si>
  <si>
    <t>43419-313</t>
  </si>
  <si>
    <t>bbanksdz@com.com</t>
  </si>
  <si>
    <t>64725-0145</t>
  </si>
  <si>
    <t>pwilsondy@goo.gl</t>
  </si>
  <si>
    <t>0378-4202</t>
  </si>
  <si>
    <t>hjohnsondx@va.gov</t>
  </si>
  <si>
    <t>43742-0244</t>
  </si>
  <si>
    <t>cnelsondw@abc.net.au</t>
  </si>
  <si>
    <t>59535-2101</t>
  </si>
  <si>
    <t>cwashingtondv@lycos.com</t>
  </si>
  <si>
    <t>Washington</t>
  </si>
  <si>
    <t>65954-014</t>
  </si>
  <si>
    <t>drobinsondu@mayoclinic.com</t>
  </si>
  <si>
    <t>42571-020</t>
  </si>
  <si>
    <t>eharveydt@vk.com</t>
  </si>
  <si>
    <t>Buzzshare</t>
  </si>
  <si>
    <t>0615-1359</t>
  </si>
  <si>
    <t>rlawsonds@deliciousdays.com</t>
  </si>
  <si>
    <t>61314-354</t>
  </si>
  <si>
    <t>imcdonalddr@linkedin.com</t>
  </si>
  <si>
    <t>Agimba</t>
  </si>
  <si>
    <t>55289-103</t>
  </si>
  <si>
    <t>jandrewsdq@cloudflare.com</t>
  </si>
  <si>
    <t>66521-200</t>
  </si>
  <si>
    <t>rgrahamdp@irs.gov</t>
  </si>
  <si>
    <t>Eire</t>
  </si>
  <si>
    <t>55154-4758</t>
  </si>
  <si>
    <t>scunninghamdo@addthis.com</t>
  </si>
  <si>
    <t>42485-004</t>
  </si>
  <si>
    <t>bknightdn@wunderground.com</t>
  </si>
  <si>
    <t>0268-0828</t>
  </si>
  <si>
    <t>hsimsdm@yelp.com</t>
  </si>
  <si>
    <t>Oozz</t>
  </si>
  <si>
    <t>49781-026</t>
  </si>
  <si>
    <t>rkimdl@cpanel.net</t>
  </si>
  <si>
    <t>55648-312</t>
  </si>
  <si>
    <t>sweaverdk@economist.com</t>
  </si>
  <si>
    <t>Agivu</t>
  </si>
  <si>
    <t>65084-454</t>
  </si>
  <si>
    <t>kweaverdj@wikipedia.org</t>
  </si>
  <si>
    <t>13630-0019</t>
  </si>
  <si>
    <t>rhowelldi@yahoo.co.jp</t>
  </si>
  <si>
    <t>55154-6956</t>
  </si>
  <si>
    <t>jharveydh@techcrunch.com</t>
  </si>
  <si>
    <t>0025-1525</t>
  </si>
  <si>
    <t>dlawsondg@salon.com</t>
  </si>
  <si>
    <t>16590-339</t>
  </si>
  <si>
    <t>mhawkinsdf@usgs.gov</t>
  </si>
  <si>
    <t>49035-823</t>
  </si>
  <si>
    <t>rmatthewsde@ezinearticles.com</t>
  </si>
  <si>
    <t>63323-026</t>
  </si>
  <si>
    <t>kwooddd@ning.com</t>
  </si>
  <si>
    <t>55910-708</t>
  </si>
  <si>
    <t>cperezdc@toplist.cz</t>
  </si>
  <si>
    <t>55319-026</t>
  </si>
  <si>
    <t>slopezdb@bloomberg.com</t>
  </si>
  <si>
    <t>21695-102</t>
  </si>
  <si>
    <t>jpayneda@msn.com</t>
  </si>
  <si>
    <t>0472-1736</t>
  </si>
  <si>
    <t>mhansond9@mozilla.org</t>
  </si>
  <si>
    <t>53808-0878</t>
  </si>
  <si>
    <t>awelchd8@bbc.co.uk</t>
  </si>
  <si>
    <t>68084-361</t>
  </si>
  <si>
    <t>ctuckerd7@dailymotion.com</t>
  </si>
  <si>
    <t>Kazio</t>
  </si>
  <si>
    <t>59535-3801</t>
  </si>
  <si>
    <t>bwestd6@comcast.net</t>
  </si>
  <si>
    <t>61619-717</t>
  </si>
  <si>
    <t>gcarrd5@auda.org.au</t>
  </si>
  <si>
    <t>Carr</t>
  </si>
  <si>
    <t>0143-1260</t>
  </si>
  <si>
    <t>rbakerd4@sciencedirect.com</t>
  </si>
  <si>
    <t>43742-0004</t>
  </si>
  <si>
    <t>lcollinsd3@surveymonkey.com</t>
  </si>
  <si>
    <t>55301-253</t>
  </si>
  <si>
    <t>rkimd2@abc.net.au</t>
  </si>
  <si>
    <t>54868-5756</t>
  </si>
  <si>
    <t>twoodd1@boston.com</t>
  </si>
  <si>
    <t>60760-302</t>
  </si>
  <si>
    <t>llawsond0@unesco.org</t>
  </si>
  <si>
    <t>63459-910</t>
  </si>
  <si>
    <t>achapmancz@weather.com</t>
  </si>
  <si>
    <t>50945-002</t>
  </si>
  <si>
    <t>mmcdonaldcy@sun.com</t>
  </si>
  <si>
    <t>Jabbersphere</t>
  </si>
  <si>
    <t>52019-001</t>
  </si>
  <si>
    <t>rricecx@fema.gov</t>
  </si>
  <si>
    <t>41250-565</t>
  </si>
  <si>
    <t>jcrawfordcw@newsvine.com</t>
  </si>
  <si>
    <t>76058-100</t>
  </si>
  <si>
    <t>kbutlercv@tiny.cc</t>
  </si>
  <si>
    <t>0245-0710</t>
  </si>
  <si>
    <t>fbellcu@google.it</t>
  </si>
  <si>
    <t>11822-0374</t>
  </si>
  <si>
    <t>bgonzalezct@tuttocitta.it</t>
  </si>
  <si>
    <t>Gonzalez</t>
  </si>
  <si>
    <t>0832-0710</t>
  </si>
  <si>
    <t>dmeyercs@biblegateway.com</t>
  </si>
  <si>
    <t>76234-002</t>
  </si>
  <si>
    <t>ggraycr@toplist.cz</t>
  </si>
  <si>
    <t>34460-6004</t>
  </si>
  <si>
    <t>clewiscq@nba.com</t>
  </si>
  <si>
    <t>51514-0330</t>
  </si>
  <si>
    <t>jmurraycp@purevolume.com</t>
  </si>
  <si>
    <t>68828-136</t>
  </si>
  <si>
    <t>mjohnstonco@utexas.edu</t>
  </si>
  <si>
    <t>50845-0019</t>
  </si>
  <si>
    <t>akellycn@mlb.com</t>
  </si>
  <si>
    <t>Kelly</t>
  </si>
  <si>
    <t>Thoughtbridge</t>
  </si>
  <si>
    <t>11822-0337</t>
  </si>
  <si>
    <t>bcastillocm@pen.io</t>
  </si>
  <si>
    <t>Dabjam</t>
  </si>
  <si>
    <t>50181-0032</t>
  </si>
  <si>
    <t>areidcl@huffingtonpost.com</t>
  </si>
  <si>
    <t>52083-289</t>
  </si>
  <si>
    <t>jstanleyck@squidoo.com</t>
  </si>
  <si>
    <t>Stanley</t>
  </si>
  <si>
    <t>68151-2781</t>
  </si>
  <si>
    <t>ealexandercj@ezinearticles.com</t>
  </si>
  <si>
    <t>0904-1088</t>
  </si>
  <si>
    <t>sfordci@goo.gl</t>
  </si>
  <si>
    <t>43742-0012</t>
  </si>
  <si>
    <t>mfloresch@home.pl</t>
  </si>
  <si>
    <t>42248-101</t>
  </si>
  <si>
    <t>ejenkinscg@ow.ly</t>
  </si>
  <si>
    <t>Avamm</t>
  </si>
  <si>
    <t>0065-0411</t>
  </si>
  <si>
    <t>shendersoncf@washington.edu</t>
  </si>
  <si>
    <t>0713-0280</t>
  </si>
  <si>
    <t>sgonzalezce@time.com</t>
  </si>
  <si>
    <t>49967-627</t>
  </si>
  <si>
    <t>jbradleycd@drupal.org</t>
  </si>
  <si>
    <t>63824-196</t>
  </si>
  <si>
    <t>cwatkinscc@networksolutions.com</t>
  </si>
  <si>
    <t>63304-789</t>
  </si>
  <si>
    <t>mturnercb@histats.com</t>
  </si>
  <si>
    <t>68645-150</t>
  </si>
  <si>
    <t>barnoldca@dyndns.org</t>
  </si>
  <si>
    <t>54569-1556</t>
  </si>
  <si>
    <t>ppalmerc9@narod.ru</t>
  </si>
  <si>
    <t>Eare</t>
  </si>
  <si>
    <t>11523-7155</t>
  </si>
  <si>
    <t>llewisc8@washington.edu</t>
  </si>
  <si>
    <t>23155-104</t>
  </si>
  <si>
    <t>dadamsc7@rediff.com</t>
  </si>
  <si>
    <t>0591-3208</t>
  </si>
  <si>
    <t>rburkec6@scribd.com</t>
  </si>
  <si>
    <t>Meezzy</t>
  </si>
  <si>
    <t>49349-799</t>
  </si>
  <si>
    <t>jbakerc5@tinyurl.com</t>
  </si>
  <si>
    <t>Jaxworks</t>
  </si>
  <si>
    <t>33261-907</t>
  </si>
  <si>
    <t>jschmidtc4@soup.io</t>
  </si>
  <si>
    <t>Schmidt</t>
  </si>
  <si>
    <t>62072-456</t>
  </si>
  <si>
    <t>jjacobsc3@infoseek.co.jp</t>
  </si>
  <si>
    <t>0378-0027</t>
  </si>
  <si>
    <t>bcollinsc2@paginegialle.it</t>
  </si>
  <si>
    <t>17518-026</t>
  </si>
  <si>
    <t>jharveyc1@apple.com</t>
  </si>
  <si>
    <t>61442-142</t>
  </si>
  <si>
    <t>hwatkinsc0@yellowpages.com</t>
  </si>
  <si>
    <t>55154-4853</t>
  </si>
  <si>
    <t>jjordanbz@blogtalkradio.com</t>
  </si>
  <si>
    <t>68382-204</t>
  </si>
  <si>
    <t>rwestby@mapquest.com</t>
  </si>
  <si>
    <t>48951-4015</t>
  </si>
  <si>
    <t>cholmesbx@tripod.com</t>
  </si>
  <si>
    <t>68737-231</t>
  </si>
  <si>
    <t>cpowellbw@chronoengine.com</t>
  </si>
  <si>
    <t>Powell</t>
  </si>
  <si>
    <t>Aivee</t>
  </si>
  <si>
    <t>0378-5210</t>
  </si>
  <si>
    <t>jwebbbv@merriam-webster.com</t>
  </si>
  <si>
    <t>Webb</t>
  </si>
  <si>
    <t>49288-0585</t>
  </si>
  <si>
    <t>jmillsbu@guardian.co.uk</t>
  </si>
  <si>
    <t>67046-113</t>
  </si>
  <si>
    <t>ladamsbt@furl.net</t>
  </si>
  <si>
    <t>43857-0258</t>
  </si>
  <si>
    <t>framirezbs@utexas.edu</t>
  </si>
  <si>
    <t>36987-2568</t>
  </si>
  <si>
    <t>crobinsonbr@timesonline.co.uk</t>
  </si>
  <si>
    <t>cevansbq@imdb.com</t>
  </si>
  <si>
    <t>42808-201</t>
  </si>
  <si>
    <t>rcruzbp@oakley.com</t>
  </si>
  <si>
    <t>35000-003</t>
  </si>
  <si>
    <t>cmasonbo@usgs.gov</t>
  </si>
  <si>
    <t>21695-453</t>
  </si>
  <si>
    <t>anicholsbn@engadget.com</t>
  </si>
  <si>
    <t>24842-132</t>
  </si>
  <si>
    <t>carmstrongbm@cisco.com</t>
  </si>
  <si>
    <t>Armstrong</t>
  </si>
  <si>
    <t>41163-337</t>
  </si>
  <si>
    <t>jhamiltonbl@amazon.de</t>
  </si>
  <si>
    <t>Lajo</t>
  </si>
  <si>
    <t>55714-2211</t>
  </si>
  <si>
    <t>blopezbk@youtube.com</t>
  </si>
  <si>
    <t>Flashpoint</t>
  </si>
  <si>
    <t>44924-018</t>
  </si>
  <si>
    <t>gellisbj@wikimedia.org</t>
  </si>
  <si>
    <t>51346-173</t>
  </si>
  <si>
    <t>mruizbi@telegraph.co.uk</t>
  </si>
  <si>
    <t>Ruiz</t>
  </si>
  <si>
    <t>48951-3136</t>
  </si>
  <si>
    <t>mrichardsbh@epa.gov</t>
  </si>
  <si>
    <t>Richards</t>
  </si>
  <si>
    <t>54575-362</t>
  </si>
  <si>
    <t>sstonebg@posterous.com</t>
  </si>
  <si>
    <t>62171-030</t>
  </si>
  <si>
    <t>kramirezbf@home.pl</t>
  </si>
  <si>
    <t>54868-4593</t>
  </si>
  <si>
    <t>lraybe@xrea.com</t>
  </si>
  <si>
    <t>Tekfly</t>
  </si>
  <si>
    <t>10736-010</t>
  </si>
  <si>
    <t>jtorresbd@webs.com</t>
  </si>
  <si>
    <t>61919-149</t>
  </si>
  <si>
    <t>draybc@delicious.com</t>
  </si>
  <si>
    <t>49643-334</t>
  </si>
  <si>
    <t>vkennedybb@etsy.com</t>
  </si>
  <si>
    <t>Kennedy</t>
  </si>
  <si>
    <t>37012-602</t>
  </si>
  <si>
    <t>poliverba@opensource.org</t>
  </si>
  <si>
    <t>Fiveclub</t>
  </si>
  <si>
    <t>65121-003</t>
  </si>
  <si>
    <t>mcarrb9@multiply.com</t>
  </si>
  <si>
    <t>24658-110</t>
  </si>
  <si>
    <t>cfreemanb8@bbb.org</t>
  </si>
  <si>
    <t>55566-6500</t>
  </si>
  <si>
    <t>lturnerb7@studiopress.com</t>
  </si>
  <si>
    <t>24385-356</t>
  </si>
  <si>
    <t>jharrisonb6@army.mil</t>
  </si>
  <si>
    <t>68016-116</t>
  </si>
  <si>
    <t>jelliottb5@stumbleupon.com</t>
  </si>
  <si>
    <t>Elliott</t>
  </si>
  <si>
    <t>0037-8110</t>
  </si>
  <si>
    <t>shendersonb4@washington.edu</t>
  </si>
  <si>
    <t>Fanoodle</t>
  </si>
  <si>
    <t>21749-700</t>
  </si>
  <si>
    <t>aperezb3@apache.org</t>
  </si>
  <si>
    <t>42783-601</t>
  </si>
  <si>
    <t>apowellb2@sourceforge.net</t>
  </si>
  <si>
    <t>10019-634</t>
  </si>
  <si>
    <t>cnguyenb1@state.tx.us</t>
  </si>
  <si>
    <t>48951-1069</t>
  </si>
  <si>
    <t>sperezb0@ox.ac.uk</t>
  </si>
  <si>
    <t>Photojam</t>
  </si>
  <si>
    <t>49580-0122</t>
  </si>
  <si>
    <t>pscottaz@tiny.cc</t>
  </si>
  <si>
    <t>53462-926</t>
  </si>
  <si>
    <t>egreeneay@home.pl</t>
  </si>
  <si>
    <t>LiveZ</t>
  </si>
  <si>
    <t>24385-152</t>
  </si>
  <si>
    <t>drobinsonax@so-net.ne.jp</t>
  </si>
  <si>
    <t>69020-204</t>
  </si>
  <si>
    <t>mwestaw@columbia.edu</t>
  </si>
  <si>
    <t>57520-0097</t>
  </si>
  <si>
    <t>bryanav@usnews.com</t>
  </si>
  <si>
    <t>mpriceau@statcounter.com</t>
  </si>
  <si>
    <t>Ooba</t>
  </si>
  <si>
    <t>52584-019</t>
  </si>
  <si>
    <t>jromeroat@statcounter.com</t>
  </si>
  <si>
    <t>54569-0936</t>
  </si>
  <si>
    <t>cmedinaas@reference.com</t>
  </si>
  <si>
    <t>60840-0100</t>
  </si>
  <si>
    <t>chuntar@newsvine.com</t>
  </si>
  <si>
    <t>Hunt</t>
  </si>
  <si>
    <t>Twiyo</t>
  </si>
  <si>
    <t>60429-057</t>
  </si>
  <si>
    <t>eoliveraq@ibm.com</t>
  </si>
  <si>
    <t>Shuffledrive</t>
  </si>
  <si>
    <t>15127-210</t>
  </si>
  <si>
    <t>arayap@guardian.co.uk</t>
  </si>
  <si>
    <t>Shufflebeat</t>
  </si>
  <si>
    <t>10157-8013</t>
  </si>
  <si>
    <t>mcolemanao@github.io</t>
  </si>
  <si>
    <t>68180-413</t>
  </si>
  <si>
    <t>akelleyan@boston.com</t>
  </si>
  <si>
    <t>50390-111</t>
  </si>
  <si>
    <t>mknightam@twitter.com</t>
  </si>
  <si>
    <t>33992-0159</t>
  </si>
  <si>
    <t>bjordanal@digg.com</t>
  </si>
  <si>
    <t>0591-2067</t>
  </si>
  <si>
    <t>wlarsonak@webnode.com</t>
  </si>
  <si>
    <t>51672-4030</t>
  </si>
  <si>
    <t>alongaj@europa.eu</t>
  </si>
  <si>
    <t>41520-236</t>
  </si>
  <si>
    <t>pwestai@barnesandnoble.com</t>
  </si>
  <si>
    <t>57520-0838</t>
  </si>
  <si>
    <t>ldunnah@hud.gov</t>
  </si>
  <si>
    <t>68428-115</t>
  </si>
  <si>
    <t>msandersag@goo.ne.jp</t>
  </si>
  <si>
    <t>63057-0001</t>
  </si>
  <si>
    <t>nhernandezaf@alexa.com</t>
  </si>
  <si>
    <t>49884-124</t>
  </si>
  <si>
    <t>gstanleyae@fema.gov</t>
  </si>
  <si>
    <t>53746-957</t>
  </si>
  <si>
    <t>jaustinad@cafepress.com</t>
  </si>
  <si>
    <t>Flashdog</t>
  </si>
  <si>
    <t>49349-311</t>
  </si>
  <si>
    <t>pmoralesac@huffingtonpost.com</t>
  </si>
  <si>
    <t>Chatterbridge</t>
  </si>
  <si>
    <t>55289-107</t>
  </si>
  <si>
    <t>jmontgomeryab@unc.edu</t>
  </si>
  <si>
    <t>60681-0123</t>
  </si>
  <si>
    <t>nbrooksaa@army.mil</t>
  </si>
  <si>
    <t>0409-7372</t>
  </si>
  <si>
    <t>jmasona9@tripod.com</t>
  </si>
  <si>
    <t>76237-291</t>
  </si>
  <si>
    <t>shansona8@bravesites.com</t>
  </si>
  <si>
    <t>76074-122</t>
  </si>
  <si>
    <t>wmendozaa7@comcast.net</t>
  </si>
  <si>
    <t>0065-0431</t>
  </si>
  <si>
    <t>kmillsa6@nytimes.com</t>
  </si>
  <si>
    <t>51224-203</t>
  </si>
  <si>
    <t>cgreena5@instagram.com</t>
  </si>
  <si>
    <t>36987-2848</t>
  </si>
  <si>
    <t>nryana4@sogou.com</t>
  </si>
  <si>
    <t>Npath</t>
  </si>
  <si>
    <t>17518-056</t>
  </si>
  <si>
    <t>jvasqueza3@google.cn</t>
  </si>
  <si>
    <t>67475-123</t>
  </si>
  <si>
    <t>jgraya2@amazon.co.jp</t>
  </si>
  <si>
    <t>36987-2324</t>
  </si>
  <si>
    <t>rsimmonsa1@weather.com</t>
  </si>
  <si>
    <t>76237-210</t>
  </si>
  <si>
    <t>rholmesa0@cbsnews.com</t>
  </si>
  <si>
    <t>59924-001</t>
  </si>
  <si>
    <t>redwards9z@ebay.com</t>
  </si>
  <si>
    <t>53808-0237</t>
  </si>
  <si>
    <t>bevans9y@over-blog.com</t>
  </si>
  <si>
    <t>0469-0607</t>
  </si>
  <si>
    <t>jmontgomery9x@twitpic.com</t>
  </si>
  <si>
    <t>63323-424</t>
  </si>
  <si>
    <t>acarroll9w@cnn.com</t>
  </si>
  <si>
    <t>48951-1174</t>
  </si>
  <si>
    <t>cfuller9v@oracle.com</t>
  </si>
  <si>
    <t>58167-112</t>
  </si>
  <si>
    <t>pnelson9u@mashable.com</t>
  </si>
  <si>
    <t>Youtags</t>
  </si>
  <si>
    <t>68169-0049</t>
  </si>
  <si>
    <t>arivera9t@sciencedirect.com</t>
  </si>
  <si>
    <t>43857-0136</t>
  </si>
  <si>
    <t>nporter9s@harvard.edu</t>
  </si>
  <si>
    <t>57664-203</t>
  </si>
  <si>
    <t>jfreeman9r@mysql.com</t>
  </si>
  <si>
    <t>0781-5780</t>
  </si>
  <si>
    <t>mcook9q@cnn.com</t>
  </si>
  <si>
    <t>43269-672</t>
  </si>
  <si>
    <t>lrichards9p@blinklist.com</t>
  </si>
  <si>
    <t>Minyx</t>
  </si>
  <si>
    <t>55910-604</t>
  </si>
  <si>
    <t>smorales9o@admin.ch</t>
  </si>
  <si>
    <t>Blogpad</t>
  </si>
  <si>
    <t>60846-806</t>
  </si>
  <si>
    <t>wwillis9n@hostgator.com</t>
  </si>
  <si>
    <t>49288-0281</t>
  </si>
  <si>
    <t>barnold9m@google.nl</t>
  </si>
  <si>
    <t>0527-1349</t>
  </si>
  <si>
    <t>wfernandez9l@google.com.hk</t>
  </si>
  <si>
    <t>Fernandez</t>
  </si>
  <si>
    <t>49967-671</t>
  </si>
  <si>
    <t>mhughes9k@techcrunch.com</t>
  </si>
  <si>
    <t>49999-844</t>
  </si>
  <si>
    <t>bcook9j@php.net</t>
  </si>
  <si>
    <t>Linkbuzz</t>
  </si>
  <si>
    <t>68462-127</t>
  </si>
  <si>
    <t>sgreene9i@dailymotion.com</t>
  </si>
  <si>
    <t>Kimia</t>
  </si>
  <si>
    <t>10096-0251</t>
  </si>
  <si>
    <t>jjordan9h@sitemeter.com</t>
  </si>
  <si>
    <t>76173-1001</t>
  </si>
  <si>
    <t>rcooper9g@patch.com</t>
  </si>
  <si>
    <t>Cooper</t>
  </si>
  <si>
    <t>Buzzbean</t>
  </si>
  <si>
    <t>0573-1945</t>
  </si>
  <si>
    <t>ckelley9f@fotki.com</t>
  </si>
  <si>
    <t>Yodo</t>
  </si>
  <si>
    <t>54868-5217</t>
  </si>
  <si>
    <t>prose9e@sohu.com</t>
  </si>
  <si>
    <t>Rose</t>
  </si>
  <si>
    <t>65923-008</t>
  </si>
  <si>
    <t>bfrazier9d@clickbank.net</t>
  </si>
  <si>
    <t>Frazier</t>
  </si>
  <si>
    <t>58118-0020</t>
  </si>
  <si>
    <t>swebb9c@yandex.ru</t>
  </si>
  <si>
    <t>41520-312</t>
  </si>
  <si>
    <t>lkim9b@si.edu</t>
  </si>
  <si>
    <t>Wordpedia</t>
  </si>
  <si>
    <t>52125-725</t>
  </si>
  <si>
    <t>kspencer9a@github.com</t>
  </si>
  <si>
    <t>14783-473</t>
  </si>
  <si>
    <t>tbryant99@uiuc.edu</t>
  </si>
  <si>
    <t>Bryant</t>
  </si>
  <si>
    <t>35356-753</t>
  </si>
  <si>
    <t>sreyes98@adobe.com</t>
  </si>
  <si>
    <t>Yakijo</t>
  </si>
  <si>
    <t>51523-003</t>
  </si>
  <si>
    <t>tmatthews97@simplemachines.org</t>
  </si>
  <si>
    <t>10927-103</t>
  </si>
  <si>
    <t>rfoster96@constantcontact.com</t>
  </si>
  <si>
    <t>Foster</t>
  </si>
  <si>
    <t>24208-299</t>
  </si>
  <si>
    <t>cjohnston95@jigsy.com</t>
  </si>
  <si>
    <t>52584-504</t>
  </si>
  <si>
    <t>hedwards94@macromedia.com</t>
  </si>
  <si>
    <t>Kayveo</t>
  </si>
  <si>
    <t>54973-0229</t>
  </si>
  <si>
    <t>cbrooks93@discovery.com</t>
  </si>
  <si>
    <t>Flashset</t>
  </si>
  <si>
    <t>63776-270</t>
  </si>
  <si>
    <t>jcooper92@free.fr</t>
  </si>
  <si>
    <t>63138-120</t>
  </si>
  <si>
    <t>hlittle91@wikia.com</t>
  </si>
  <si>
    <t>56062-602</t>
  </si>
  <si>
    <t>rprice90@dmoz.org</t>
  </si>
  <si>
    <t>42291-120</t>
  </si>
  <si>
    <t>vsmith8z@stumbleupon.com</t>
  </si>
  <si>
    <t>63736-027</t>
  </si>
  <si>
    <t>nfox8y@booking.com</t>
  </si>
  <si>
    <t>54868-2539</t>
  </si>
  <si>
    <t>fharper8x@accuweather.com</t>
  </si>
  <si>
    <t>49781-080</t>
  </si>
  <si>
    <t>kellis8w@joomla.org</t>
  </si>
  <si>
    <t>49358-549</t>
  </si>
  <si>
    <t>agraham8v@bloglines.com</t>
  </si>
  <si>
    <t>10812-098</t>
  </si>
  <si>
    <t>cruiz8u@alibaba.com</t>
  </si>
  <si>
    <t>50436-0122</t>
  </si>
  <si>
    <t>dmiller8t@ocn.ne.jp</t>
  </si>
  <si>
    <t>63139-001</t>
  </si>
  <si>
    <t>adunn8s@dagondesign.com</t>
  </si>
  <si>
    <t>16714-024</t>
  </si>
  <si>
    <t>gjones8r@infoseek.co.jp</t>
  </si>
  <si>
    <t>13537-285</t>
  </si>
  <si>
    <t>kcook8q@yale.edu</t>
  </si>
  <si>
    <t>0904-5609</t>
  </si>
  <si>
    <t>dhawkins8p@addthis.com</t>
  </si>
  <si>
    <t>43857-0108</t>
  </si>
  <si>
    <t>jmontgomery8o@admin.ch</t>
  </si>
  <si>
    <t>37205-119</t>
  </si>
  <si>
    <t>vmeyer8n@bbc.co.uk</t>
  </si>
  <si>
    <t>Layo</t>
  </si>
  <si>
    <t>16729-182</t>
  </si>
  <si>
    <t>aweaver8m@jimdo.com</t>
  </si>
  <si>
    <t>21130-403</t>
  </si>
  <si>
    <t>dgriffin8l@rakuten.co.jp</t>
  </si>
  <si>
    <t>59970-177</t>
  </si>
  <si>
    <t>mhawkins8k@cisco.com</t>
  </si>
  <si>
    <t>Babbleblab</t>
  </si>
  <si>
    <t>53808-0396</t>
  </si>
  <si>
    <t>cburton8j@netvibes.com</t>
  </si>
  <si>
    <t>46122-188</t>
  </si>
  <si>
    <t>agonzales8i@china.com.cn</t>
  </si>
  <si>
    <t>54569-1231</t>
  </si>
  <si>
    <t>jbradley8h@merriam-webster.com</t>
  </si>
  <si>
    <t>Reallinks</t>
  </si>
  <si>
    <t>21695-832</t>
  </si>
  <si>
    <t>pwells8g@comcast.net</t>
  </si>
  <si>
    <t>Wells</t>
  </si>
  <si>
    <t>52429-124</t>
  </si>
  <si>
    <t>dhamilton8f@ustream.tv</t>
  </si>
  <si>
    <t>16590-177</t>
  </si>
  <si>
    <t>gsimmons8e@php.net</t>
  </si>
  <si>
    <t>52125-214</t>
  </si>
  <si>
    <t>amartin8d@ehow.com</t>
  </si>
  <si>
    <t>54868-6260</t>
  </si>
  <si>
    <t>hward8c@wired.com</t>
  </si>
  <si>
    <t>36987-2322</t>
  </si>
  <si>
    <t>sarnold8b@cornell.edu</t>
  </si>
  <si>
    <t>51079-932</t>
  </si>
  <si>
    <t>swarren8a@vkontakte.ru</t>
  </si>
  <si>
    <t>Warren</t>
  </si>
  <si>
    <t>53104-0100</t>
  </si>
  <si>
    <t>agreene89@github.com</t>
  </si>
  <si>
    <t>49944-001</t>
  </si>
  <si>
    <t>clittle88@auda.org.au</t>
  </si>
  <si>
    <t>43269-733</t>
  </si>
  <si>
    <t>hwilson87@nsw.gov.au</t>
  </si>
  <si>
    <t>68276-005</t>
  </si>
  <si>
    <t>kallen86@japanpost.jp</t>
  </si>
  <si>
    <t>41499-124</t>
  </si>
  <si>
    <t>tmendoza85@naver.com</t>
  </si>
  <si>
    <t>67138-533</t>
  </si>
  <si>
    <t>gschmidt84@bandcamp.com</t>
  </si>
  <si>
    <t>52568-001</t>
  </si>
  <si>
    <t>jlynch83@hubpages.com</t>
  </si>
  <si>
    <t>Lynch</t>
  </si>
  <si>
    <t>68828-103</t>
  </si>
  <si>
    <t>hpierce82@hp.com</t>
  </si>
  <si>
    <t>0135-0469</t>
  </si>
  <si>
    <t>jbutler81@canalblog.com</t>
  </si>
  <si>
    <t>0093-4821</t>
  </si>
  <si>
    <t>kburton80@goo.gl</t>
  </si>
  <si>
    <t>Yamia</t>
  </si>
  <si>
    <t>75902-2001</t>
  </si>
  <si>
    <t>fcarroll7z@trellian.com</t>
  </si>
  <si>
    <t>Tanoodle</t>
  </si>
  <si>
    <t>10812-301</t>
  </si>
  <si>
    <t>bcastillo7y@chronoengine.com</t>
  </si>
  <si>
    <t>68258-3024</t>
  </si>
  <si>
    <t>earmstrong7x@tripod.com</t>
  </si>
  <si>
    <t>54859-603</t>
  </si>
  <si>
    <t>kwilliams7w@clickbank.net</t>
  </si>
  <si>
    <t>76369-1001</t>
  </si>
  <si>
    <t>jsims7v@unblog.fr</t>
  </si>
  <si>
    <t>49349-362</t>
  </si>
  <si>
    <t>rshaw7u@blinklist.com</t>
  </si>
  <si>
    <t>55289-453</t>
  </si>
  <si>
    <t>mmoore7t@census.gov</t>
  </si>
  <si>
    <t>Moore</t>
  </si>
  <si>
    <t>Wikivu</t>
  </si>
  <si>
    <t>49999-636</t>
  </si>
  <si>
    <t>afoster7s@cbc.ca</t>
  </si>
  <si>
    <t>Bubblebox</t>
  </si>
  <si>
    <t>52380-0026</t>
  </si>
  <si>
    <t>clee7r@sciencedirect.com</t>
  </si>
  <si>
    <t>30142-008</t>
  </si>
  <si>
    <t>ewest7q@163.com</t>
  </si>
  <si>
    <t>59535-1071</t>
  </si>
  <si>
    <t>kcook7p@si.edu</t>
  </si>
  <si>
    <t>25543-200</t>
  </si>
  <si>
    <t>mhenry7o@aol.com</t>
  </si>
  <si>
    <t>49967-699</t>
  </si>
  <si>
    <t>sperez7n@spiegel.de</t>
  </si>
  <si>
    <t>61957-1046</t>
  </si>
  <si>
    <t>jhoward7m@4shared.com</t>
  </si>
  <si>
    <t>Howard</t>
  </si>
  <si>
    <t>Zoombox</t>
  </si>
  <si>
    <t>64679-177</t>
  </si>
  <si>
    <t>pduncan7l@google.es</t>
  </si>
  <si>
    <t>62559-138</t>
  </si>
  <si>
    <t>smorrison7k@networksolutions.com</t>
  </si>
  <si>
    <t>Jatri</t>
  </si>
  <si>
    <t>15127-735</t>
  </si>
  <si>
    <t>bwoods7j@guardian.co.uk</t>
  </si>
  <si>
    <t>Woods</t>
  </si>
  <si>
    <t>33342-087</t>
  </si>
  <si>
    <t>jharper7i@cornell.edu</t>
  </si>
  <si>
    <t>11822-4141</t>
  </si>
  <si>
    <t>iburton7h@goo.gl</t>
  </si>
  <si>
    <t>62011-0081</t>
  </si>
  <si>
    <t>jwest7g@privacy.gov.au</t>
  </si>
  <si>
    <t>55111-644</t>
  </si>
  <si>
    <t>klee7f@wiley.com</t>
  </si>
  <si>
    <t>59779-556</t>
  </si>
  <si>
    <t>ereid7e@upenn.edu</t>
  </si>
  <si>
    <t>Kwinu</t>
  </si>
  <si>
    <t>cberry7d@slideshare.net</t>
  </si>
  <si>
    <t>0172-4096</t>
  </si>
  <si>
    <t>jstewart7c@eventbrite.com</t>
  </si>
  <si>
    <t>Stewart</t>
  </si>
  <si>
    <t>56062-121</t>
  </si>
  <si>
    <t>caustin7b@amazon.co.uk</t>
  </si>
  <si>
    <t>0409-2028</t>
  </si>
  <si>
    <t>halexander7a@squidoo.com</t>
  </si>
  <si>
    <t>49349-246</t>
  </si>
  <si>
    <t>jgreene79@topsy.com</t>
  </si>
  <si>
    <t>49288-0183</t>
  </si>
  <si>
    <t>jhudson78@joomla.org</t>
  </si>
  <si>
    <t>57955-5130</t>
  </si>
  <si>
    <t>banderson77@free.fr</t>
  </si>
  <si>
    <t>53401-301</t>
  </si>
  <si>
    <t>eroberts76@cisco.com</t>
  </si>
  <si>
    <t>10424-143</t>
  </si>
  <si>
    <t>tmorris75@tiny.cc</t>
  </si>
  <si>
    <t>54868-3335</t>
  </si>
  <si>
    <t>bhayes74@youtu.be</t>
  </si>
  <si>
    <t>64117-953</t>
  </si>
  <si>
    <t>jscott73@taobao.com</t>
  </si>
  <si>
    <t>0264-7885</t>
  </si>
  <si>
    <t>jowens72@shutterfly.com</t>
  </si>
  <si>
    <t>Owens</t>
  </si>
  <si>
    <t>63874-301</t>
  </si>
  <si>
    <t>jscott71@japanpost.jp</t>
  </si>
  <si>
    <t>10812-404</t>
  </si>
  <si>
    <t>lcampbell70@dmoz.org</t>
  </si>
  <si>
    <t>0472-0370</t>
  </si>
  <si>
    <t>breid6z@huffingtonpost.com</t>
  </si>
  <si>
    <t>63739-532</t>
  </si>
  <si>
    <t>tgarcia6y@google.com.au</t>
  </si>
  <si>
    <t>59246-0001</t>
  </si>
  <si>
    <t>ageorge6x@chronoengine.com</t>
  </si>
  <si>
    <t>0187-0844</t>
  </si>
  <si>
    <t>dmendoza6w@instagram.com</t>
  </si>
  <si>
    <t>68180-361</t>
  </si>
  <si>
    <t>swillis6v@etsy.com</t>
  </si>
  <si>
    <t>50242-051</t>
  </si>
  <si>
    <t>jevans6u@woothemes.com</t>
  </si>
  <si>
    <t>49614-439</t>
  </si>
  <si>
    <t>bwright6t@reference.com</t>
  </si>
  <si>
    <t>0185-0170</t>
  </si>
  <si>
    <t>dmendoza6s@utexas.edu</t>
  </si>
  <si>
    <t>36800-143</t>
  </si>
  <si>
    <t>rbanks6r@godaddy.com</t>
  </si>
  <si>
    <t>21695-700</t>
  </si>
  <si>
    <t>fgomez6q@opera.com</t>
  </si>
  <si>
    <t>Abatz</t>
  </si>
  <si>
    <t>68462-103</t>
  </si>
  <si>
    <t>pwarren6p@google.co.uk</t>
  </si>
  <si>
    <t>37000-181</t>
  </si>
  <si>
    <t>jclark6o@ca.gov</t>
  </si>
  <si>
    <t>Clark</t>
  </si>
  <si>
    <t>0781-5325</t>
  </si>
  <si>
    <t>chowell6n@newsvine.com</t>
  </si>
  <si>
    <t>43419-002</t>
  </si>
  <si>
    <t>mbaker6m@amazon.co.uk</t>
  </si>
  <si>
    <t>42254-067</t>
  </si>
  <si>
    <t>colson6l@myspace.com</t>
  </si>
  <si>
    <t>Olson</t>
  </si>
  <si>
    <t>59427-701</t>
  </si>
  <si>
    <t>cwalker6k@weebly.com</t>
  </si>
  <si>
    <t>0179-0109</t>
  </si>
  <si>
    <t>breyes6j@chicagotribune.com</t>
  </si>
  <si>
    <t>49288-0170</t>
  </si>
  <si>
    <t>crichards6i@rambler.ru</t>
  </si>
  <si>
    <t>10019-955</t>
  </si>
  <si>
    <t>canderson6h@google.ca</t>
  </si>
  <si>
    <t>Pixope</t>
  </si>
  <si>
    <t>53329-945</t>
  </si>
  <si>
    <t>devans6g@youtube.com</t>
  </si>
  <si>
    <t>42023-137</t>
  </si>
  <si>
    <t>jhenry6f@discuz.net</t>
  </si>
  <si>
    <t>InnoZ</t>
  </si>
  <si>
    <t>16590-071</t>
  </si>
  <si>
    <t>achavez6e@t-online.de</t>
  </si>
  <si>
    <t>63304-772</t>
  </si>
  <si>
    <t>dwebb6d@ucoz.ru</t>
  </si>
  <si>
    <t>61919-056</t>
  </si>
  <si>
    <t>jturner6c@google.ru</t>
  </si>
  <si>
    <t>67544-883</t>
  </si>
  <si>
    <t>vclark6b@blinklist.com</t>
  </si>
  <si>
    <t>0024-0590</t>
  </si>
  <si>
    <t>pspencer6a@nifty.com</t>
  </si>
  <si>
    <t>0067-2055</t>
  </si>
  <si>
    <t>hkim69@addtoany.com</t>
  </si>
  <si>
    <t>63941-088</t>
  </si>
  <si>
    <t>pmorgan68@google.nl</t>
  </si>
  <si>
    <t>36987-2176</t>
  </si>
  <si>
    <t>charrison67@adobe.com</t>
  </si>
  <si>
    <t>49580-0024</t>
  </si>
  <si>
    <t>jmorrison66@un.org</t>
  </si>
  <si>
    <t>36987-1135</t>
  </si>
  <si>
    <t>cwatkins65@reuters.com</t>
  </si>
  <si>
    <t>49288-0751</t>
  </si>
  <si>
    <t>gray64@census.gov</t>
  </si>
  <si>
    <t>0378-2012</t>
  </si>
  <si>
    <t>aboyd63@surveymonkey.com</t>
  </si>
  <si>
    <t>45802-910</t>
  </si>
  <si>
    <t>bcampbell62@live.com</t>
  </si>
  <si>
    <t>63187-119</t>
  </si>
  <si>
    <t>tjordan61@mysql.com</t>
  </si>
  <si>
    <t>53808-0397</t>
  </si>
  <si>
    <t>jgeorge60@ca.gov</t>
  </si>
  <si>
    <t>50845-0138</t>
  </si>
  <si>
    <t>jsanders5z@hibu.com</t>
  </si>
  <si>
    <t>0615-1333</t>
  </si>
  <si>
    <t>tlynch5y@google.es</t>
  </si>
  <si>
    <t>62742-4030</t>
  </si>
  <si>
    <t>sryan5x@chronoengine.com</t>
  </si>
  <si>
    <t>42847-106</t>
  </si>
  <si>
    <t>malexander5w@comcast.net</t>
  </si>
  <si>
    <t>21695-751</t>
  </si>
  <si>
    <t>lgardner5v@whitehouse.gov</t>
  </si>
  <si>
    <t>76237-286</t>
  </si>
  <si>
    <t>kreid5u@msn.com</t>
  </si>
  <si>
    <t>49404-108</t>
  </si>
  <si>
    <t>vharris5t@jigsy.com</t>
  </si>
  <si>
    <t>50181-0026</t>
  </si>
  <si>
    <t>cwhite5s@europa.eu</t>
  </si>
  <si>
    <t>67296-0804</t>
  </si>
  <si>
    <t>sjones5r@who.int</t>
  </si>
  <si>
    <t>48951-1145</t>
  </si>
  <si>
    <t>kpalmer5q@stumbleupon.com</t>
  </si>
  <si>
    <t>60258-189</t>
  </si>
  <si>
    <t>wdaniels5p@ameblo.jp</t>
  </si>
  <si>
    <t>61941-0111</t>
  </si>
  <si>
    <t>dhanson5o@pagesperso-orange.fr</t>
  </si>
  <si>
    <t>65044-3564</t>
  </si>
  <si>
    <t>sreyes5n@howstuffworks.com</t>
  </si>
  <si>
    <t>Tazzy</t>
  </si>
  <si>
    <t>51201-202</t>
  </si>
  <si>
    <t>jyoung5m@shop-pro.jp</t>
  </si>
  <si>
    <t>54973-1157</t>
  </si>
  <si>
    <t>ealexander5l@chronoengine.com</t>
  </si>
  <si>
    <t>44911-0005</t>
  </si>
  <si>
    <t>cjames5k@yahoo.co.jp</t>
  </si>
  <si>
    <t>James</t>
  </si>
  <si>
    <t>59779-962</t>
  </si>
  <si>
    <t>gromero5j@google.it</t>
  </si>
  <si>
    <t>0053-8134</t>
  </si>
  <si>
    <t>jcoleman5i@bravesites.com</t>
  </si>
  <si>
    <t>41520-046</t>
  </si>
  <si>
    <t>charvey5h@google.com.au</t>
  </si>
  <si>
    <t>0781-3408</t>
  </si>
  <si>
    <t>jhawkins5g@walmart.com</t>
  </si>
  <si>
    <t>12027-100</t>
  </si>
  <si>
    <t>jstevens5f@instagram.com</t>
  </si>
  <si>
    <t>Devify</t>
  </si>
  <si>
    <t>52533-006</t>
  </si>
  <si>
    <t>ameyer5e@vistaprint.com</t>
  </si>
  <si>
    <t>13537-559</t>
  </si>
  <si>
    <t>cwelch5d@paypal.com</t>
  </si>
  <si>
    <t>55289-138</t>
  </si>
  <si>
    <t>jroberts5c@bizjournals.com</t>
  </si>
  <si>
    <t>Mydeo</t>
  </si>
  <si>
    <t>43857-0067</t>
  </si>
  <si>
    <t>jfreeman5b@about.com</t>
  </si>
  <si>
    <t>43419-901</t>
  </si>
  <si>
    <t>erobertson5a@themeforest.net</t>
  </si>
  <si>
    <t>52083-625</t>
  </si>
  <si>
    <t>charrison59@exblog.jp</t>
  </si>
  <si>
    <t>Zooxo</t>
  </si>
  <si>
    <t>59899-003</t>
  </si>
  <si>
    <t>cjohnson58@theglobeandmail.com</t>
  </si>
  <si>
    <t>Bluezoom</t>
  </si>
  <si>
    <t>52544-497</t>
  </si>
  <si>
    <t>naustin57@twitter.com</t>
  </si>
  <si>
    <t>52862-306</t>
  </si>
  <si>
    <t>kcole56@sun.com</t>
  </si>
  <si>
    <t>54868-6348</t>
  </si>
  <si>
    <t>ethomas55@chron.com</t>
  </si>
  <si>
    <t>64092-150</t>
  </si>
  <si>
    <t>asimpson54@furl.net</t>
  </si>
  <si>
    <t>0168-0273</t>
  </si>
  <si>
    <t>hhughes53@illinois.edu</t>
  </si>
  <si>
    <t>43538-140</t>
  </si>
  <si>
    <t>dweaver52@ftc.gov</t>
  </si>
  <si>
    <t>62756-556</t>
  </si>
  <si>
    <t>cwoods51@spotify.com</t>
  </si>
  <si>
    <t>55154-8255</t>
  </si>
  <si>
    <t>jrichardson50@google.cn</t>
  </si>
  <si>
    <t>62756-131</t>
  </si>
  <si>
    <t>hgomez4z@technorati.com</t>
  </si>
  <si>
    <t>14051-221</t>
  </si>
  <si>
    <t>wjordan4y@icio.us</t>
  </si>
  <si>
    <t>55289-930</t>
  </si>
  <si>
    <t>arichards4x@4shared.com</t>
  </si>
  <si>
    <t>Brightdog</t>
  </si>
  <si>
    <t>48404-037</t>
  </si>
  <si>
    <t>bjacobs4w@hugedomains.com</t>
  </si>
  <si>
    <t>49349-980</t>
  </si>
  <si>
    <t>kburton4v@topsy.com</t>
  </si>
  <si>
    <t>98132-2132</t>
  </si>
  <si>
    <t>mandrews4u@cpanel.net</t>
  </si>
  <si>
    <t>58118-5771</t>
  </si>
  <si>
    <t>jduncan4t@adobe.com</t>
  </si>
  <si>
    <t>67510-0160</t>
  </si>
  <si>
    <t>bnguyen4s@google.pl</t>
  </si>
  <si>
    <t>52959-757</t>
  </si>
  <si>
    <t>jbaker4r@hao123.com</t>
  </si>
  <si>
    <t>Demizz</t>
  </si>
  <si>
    <t>52125-478</t>
  </si>
  <si>
    <t>hhenderson4q@booking.com</t>
  </si>
  <si>
    <t>67544-273</t>
  </si>
  <si>
    <t>vanderson4p@pbs.org</t>
  </si>
  <si>
    <t>16477-136</t>
  </si>
  <si>
    <t>cperry4o@etsy.com</t>
  </si>
  <si>
    <t>54569-6044</t>
  </si>
  <si>
    <t>brivera4n@w3.org</t>
  </si>
  <si>
    <t>52389-639</t>
  </si>
  <si>
    <t>bgreene4m@ezinearticles.com</t>
  </si>
  <si>
    <t>Livefish</t>
  </si>
  <si>
    <t>64942-1122</t>
  </si>
  <si>
    <t>dlee4l@twitter.com</t>
  </si>
  <si>
    <t>15054-1040</t>
  </si>
  <si>
    <t>wfranklin4k@japanpost.jp</t>
  </si>
  <si>
    <t>Franklin</t>
  </si>
  <si>
    <t>68788-0149</t>
  </si>
  <si>
    <t>amason4j@booking.com</t>
  </si>
  <si>
    <t>49288-0442</t>
  </si>
  <si>
    <t>jreynolds4i@wp.com</t>
  </si>
  <si>
    <t>36987-3261</t>
  </si>
  <si>
    <t>mross4h@si.edu</t>
  </si>
  <si>
    <t>Meeveo</t>
  </si>
  <si>
    <t>58411-110</t>
  </si>
  <si>
    <t>marnold4g@scientificamerican.com</t>
  </si>
  <si>
    <t>54458-888</t>
  </si>
  <si>
    <t>kgarrett4f@samsung.com</t>
  </si>
  <si>
    <t>59779-544</t>
  </si>
  <si>
    <t>twheeler4e@myspace.com</t>
  </si>
  <si>
    <t>49304-0004</t>
  </si>
  <si>
    <t>wcunningham4d@1688.com</t>
  </si>
  <si>
    <t>58443-0032</t>
  </si>
  <si>
    <t>bpeters4c@jalbum.net</t>
  </si>
  <si>
    <t>50436-6951</t>
  </si>
  <si>
    <t>jhudson4b@ucoz.com</t>
  </si>
  <si>
    <t>60505-2609</t>
  </si>
  <si>
    <t>kford4a@washingtonpost.com</t>
  </si>
  <si>
    <t>Roodel</t>
  </si>
  <si>
    <t>63459-205</t>
  </si>
  <si>
    <t>bcooper49@phoca.cz</t>
  </si>
  <si>
    <t>Livepath</t>
  </si>
  <si>
    <t>0178-0460</t>
  </si>
  <si>
    <t>gcoleman48@mtv.com</t>
  </si>
  <si>
    <t>59779-076</t>
  </si>
  <si>
    <t>pevans47@myspace.com</t>
  </si>
  <si>
    <t>52544-484</t>
  </si>
  <si>
    <t>jrogers46@netlog.com</t>
  </si>
  <si>
    <t>63629-1394</t>
  </si>
  <si>
    <t>sblack45@prlog.org</t>
  </si>
  <si>
    <t>35356-171</t>
  </si>
  <si>
    <t>jkennedy44@wikia.com</t>
  </si>
  <si>
    <t>68875-0103</t>
  </si>
  <si>
    <t>hwebb43@usgs.gov</t>
  </si>
  <si>
    <t>eberry42@geocities.com</t>
  </si>
  <si>
    <t>50441-0001</t>
  </si>
  <si>
    <t>preynolds41@usa.gov</t>
  </si>
  <si>
    <t>0172-2083</t>
  </si>
  <si>
    <t>abennett40@bigcartel.com</t>
  </si>
  <si>
    <t>0591-3248</t>
  </si>
  <si>
    <t>jbradley3z@liveinternet.ru</t>
  </si>
  <si>
    <t>59623-005</t>
  </si>
  <si>
    <t>fkennedy3y@digg.com</t>
  </si>
  <si>
    <t>13925-166</t>
  </si>
  <si>
    <t>rgreen3x@privacy.gov.au</t>
  </si>
  <si>
    <t>63304-580</t>
  </si>
  <si>
    <t>bjames3w@europa.eu</t>
  </si>
  <si>
    <t>37012-407</t>
  </si>
  <si>
    <t>ltorres3v@dailymail.co.uk</t>
  </si>
  <si>
    <t>Dablist</t>
  </si>
  <si>
    <t>54868-5711</t>
  </si>
  <si>
    <t>dking3u@msu.edu</t>
  </si>
  <si>
    <t>King</t>
  </si>
  <si>
    <t>59762-3060</t>
  </si>
  <si>
    <t>cparker3t@last.fm</t>
  </si>
  <si>
    <t>50844-733</t>
  </si>
  <si>
    <t>schapman3s@amazonaws.com</t>
  </si>
  <si>
    <t>55154-0837</t>
  </si>
  <si>
    <t>hphillips3r@4shared.com</t>
  </si>
  <si>
    <t>68382-224</t>
  </si>
  <si>
    <t>sbennett3q@theglobeandmail.com</t>
  </si>
  <si>
    <t>58232-0805</t>
  </si>
  <si>
    <t>gshaw3p@disqus.com</t>
  </si>
  <si>
    <t>52533-116</t>
  </si>
  <si>
    <t>aalexander3o@163.com</t>
  </si>
  <si>
    <t>68788-0225</t>
  </si>
  <si>
    <t>pgeorge3n@nasa.gov</t>
  </si>
  <si>
    <t>Mydo</t>
  </si>
  <si>
    <t>63629-4089</t>
  </si>
  <si>
    <t>tfields3m@cloudflare.com</t>
  </si>
  <si>
    <t>54868-4342</t>
  </si>
  <si>
    <t>anichols3l@geocities.jp</t>
  </si>
  <si>
    <t>59667-0011</t>
  </si>
  <si>
    <t>hedwards3k@amazonaws.com</t>
  </si>
  <si>
    <t>0395-0400</t>
  </si>
  <si>
    <t>gwilliams3j@google.pl</t>
  </si>
  <si>
    <t>65862-046</t>
  </si>
  <si>
    <t>dlong3i@mayoclinic.com</t>
  </si>
  <si>
    <t>0517-4901</t>
  </si>
  <si>
    <t>pporter3h@ed.gov</t>
  </si>
  <si>
    <t>Mybuzz</t>
  </si>
  <si>
    <t>0283-0679</t>
  </si>
  <si>
    <t>ifowler3g@ft.com</t>
  </si>
  <si>
    <t>60781-1001</t>
  </si>
  <si>
    <t>rmorales3f@eventbrite.com</t>
  </si>
  <si>
    <t>0555-9034</t>
  </si>
  <si>
    <t>ecoleman3e@hatena.ne.jp</t>
  </si>
  <si>
    <t>0555-0344</t>
  </si>
  <si>
    <t>lmitchell3d@samsung.com</t>
  </si>
  <si>
    <t>33342-033</t>
  </si>
  <si>
    <t>sruiz3c@csmonitor.com</t>
  </si>
  <si>
    <t>60512-8022</t>
  </si>
  <si>
    <t>sgilbert3b@yolasite.com</t>
  </si>
  <si>
    <t>68745-1026</t>
  </si>
  <si>
    <t>cstevens3a@gravatar.com</t>
  </si>
  <si>
    <t>61715-076</t>
  </si>
  <si>
    <t>garnold39@newyorker.com</t>
  </si>
  <si>
    <t>67046-115</t>
  </si>
  <si>
    <t>ccarter38@squarespace.com</t>
  </si>
  <si>
    <t>0378-3612</t>
  </si>
  <si>
    <t>aolson37@webmd.com</t>
  </si>
  <si>
    <t>55154-9573</t>
  </si>
  <si>
    <t>dromero36@ocn.ne.jp</t>
  </si>
  <si>
    <t>60760-488</t>
  </si>
  <si>
    <t>larmstrong35@gov.uk</t>
  </si>
  <si>
    <t>59779-392</t>
  </si>
  <si>
    <t>esullivan34@ca.gov</t>
  </si>
  <si>
    <t>61919-139</t>
  </si>
  <si>
    <t>lpayne33@sun.com</t>
  </si>
  <si>
    <t>64942-1247</t>
  </si>
  <si>
    <t>skennedy32@geocities.jp</t>
  </si>
  <si>
    <t>0093-7254</t>
  </si>
  <si>
    <t>jwelch31@smh.com.au</t>
  </si>
  <si>
    <t>55715-002</t>
  </si>
  <si>
    <t>jsims30@eventbrite.com</t>
  </si>
  <si>
    <t>63868-202</t>
  </si>
  <si>
    <t>jnichols2z@umich.edu</t>
  </si>
  <si>
    <t>50114-1286</t>
  </si>
  <si>
    <t>jwhite2y@printfriendly.com</t>
  </si>
  <si>
    <t>57896-638</t>
  </si>
  <si>
    <t>cking2x@wiley.com</t>
  </si>
  <si>
    <t>52257-1003</t>
  </si>
  <si>
    <t>mgilbert2w@hibu.com</t>
  </si>
  <si>
    <t>13537-538</t>
  </si>
  <si>
    <t>bspencer2v@tuttocitta.it</t>
  </si>
  <si>
    <t>Gabcube</t>
  </si>
  <si>
    <t>53808-0925</t>
  </si>
  <si>
    <t>shart2u@army.mil</t>
  </si>
  <si>
    <t>49348-802</t>
  </si>
  <si>
    <t>cfreeman2t@netscape.com</t>
  </si>
  <si>
    <t>0591-3498</t>
  </si>
  <si>
    <t>mdavis2s@netlog.com</t>
  </si>
  <si>
    <t>59779-262</t>
  </si>
  <si>
    <t>jstone2r@ucoz.com</t>
  </si>
  <si>
    <t>0078-0472</t>
  </si>
  <si>
    <t>dpeterson2q@earthlink.net</t>
  </si>
  <si>
    <t>Peterson</t>
  </si>
  <si>
    <t>50436-0132</t>
  </si>
  <si>
    <t>jlynch2p@e-recht24.de</t>
  </si>
  <si>
    <t>10210-0004</t>
  </si>
  <si>
    <t>aallen2o@java.com</t>
  </si>
  <si>
    <t>49288-0814</t>
  </si>
  <si>
    <t>pspencer2n@desdev.cn</t>
  </si>
  <si>
    <t>0093-0053</t>
  </si>
  <si>
    <t>bthompson2m@zimbio.com</t>
  </si>
  <si>
    <t>66621-0150</t>
  </si>
  <si>
    <t>jkennedy2l@bing.com</t>
  </si>
  <si>
    <t>75908-017</t>
  </si>
  <si>
    <t>ldean2k@sourceforge.net</t>
  </si>
  <si>
    <t>58411-177</t>
  </si>
  <si>
    <t>mparker2j@hao123.com</t>
  </si>
  <si>
    <t>63323-265</t>
  </si>
  <si>
    <t>crice2i@jiathis.com</t>
  </si>
  <si>
    <t>50804-107</t>
  </si>
  <si>
    <t>agreen2h@imageshack.us</t>
  </si>
  <si>
    <t>36987-2320</t>
  </si>
  <si>
    <t>rweaver2g@salon.com</t>
  </si>
  <si>
    <t>36987-2004</t>
  </si>
  <si>
    <t>ghunt2f@4shared.com</t>
  </si>
  <si>
    <t>60505-0833</t>
  </si>
  <si>
    <t>tchapman2e@wordpress.org</t>
  </si>
  <si>
    <t>0406-0362</t>
  </si>
  <si>
    <t>dwells2d@bigcartel.com</t>
  </si>
  <si>
    <t>68151-1471</t>
  </si>
  <si>
    <t>ngreene2c@techcrunch.com</t>
  </si>
  <si>
    <t>0378-3131</t>
  </si>
  <si>
    <t>mbaker2b@statcounter.com</t>
  </si>
  <si>
    <t>Twitternation</t>
  </si>
  <si>
    <t>60432-831</t>
  </si>
  <si>
    <t>rsmith2a@hatena.ne.jp</t>
  </si>
  <si>
    <t>55670-473</t>
  </si>
  <si>
    <t>scarroll29@wix.com</t>
  </si>
  <si>
    <t>69176-025</t>
  </si>
  <si>
    <t>lwheeler28@hud.gov</t>
  </si>
  <si>
    <t>55154-4522</t>
  </si>
  <si>
    <t>thart27@unc.edu</t>
  </si>
  <si>
    <t>0093-7121</t>
  </si>
  <si>
    <t>jwright26@home.pl</t>
  </si>
  <si>
    <t>98132-156</t>
  </si>
  <si>
    <t>jpalmer25@about.me</t>
  </si>
  <si>
    <t>60505-2539</t>
  </si>
  <si>
    <t>mturner24@reuters.com</t>
  </si>
  <si>
    <t>43353-724</t>
  </si>
  <si>
    <t>cgilbert23@e-recht24.de</t>
  </si>
  <si>
    <t>55312-184</t>
  </si>
  <si>
    <t>jfisher22@nymag.com</t>
  </si>
  <si>
    <t>49349-892</t>
  </si>
  <si>
    <t>mmurray21@google.pl</t>
  </si>
  <si>
    <t>64942-1297</t>
  </si>
  <si>
    <t>llee20@boston.com</t>
  </si>
  <si>
    <t>37000-822</t>
  </si>
  <si>
    <t>hbrooks1z@weibo.com</t>
  </si>
  <si>
    <t>58232-9907</t>
  </si>
  <si>
    <t>shughes1y@cargocollective.com</t>
  </si>
  <si>
    <t>54868-4920</t>
  </si>
  <si>
    <t>dmarshall1x@hud.gov</t>
  </si>
  <si>
    <t>0904-6187</t>
  </si>
  <si>
    <t>jburns1w@go.com</t>
  </si>
  <si>
    <t>Riffwire</t>
  </si>
  <si>
    <t>21695-359</t>
  </si>
  <si>
    <t>tkim1v@nbcnews.com</t>
  </si>
  <si>
    <t>49738-471</t>
  </si>
  <si>
    <t>gschmidt1u@youtube.com</t>
  </si>
  <si>
    <t>11509-0011</t>
  </si>
  <si>
    <t>khanson1t@mozilla.com</t>
  </si>
  <si>
    <t>50232-001</t>
  </si>
  <si>
    <t>phamilton1s@independent.co.uk</t>
  </si>
  <si>
    <t>63323-712</t>
  </si>
  <si>
    <t>kpayne1r@dailymotion.com</t>
  </si>
  <si>
    <t>57337-003</t>
  </si>
  <si>
    <t>jreed1q@smugmug.com</t>
  </si>
  <si>
    <t>36987-2462</t>
  </si>
  <si>
    <t>sgardner1p@facebook.com</t>
  </si>
  <si>
    <t>Buzzster</t>
  </si>
  <si>
    <t>13537-062</t>
  </si>
  <si>
    <t>crobinson1o@redcross.org</t>
  </si>
  <si>
    <t>50474-921</t>
  </si>
  <si>
    <t>jcunningham1n@goo.gl</t>
  </si>
  <si>
    <t>57627-167</t>
  </si>
  <si>
    <t>jbishop1m@businessweek.com</t>
  </si>
  <si>
    <t>0904-7727</t>
  </si>
  <si>
    <t>pwarren1l@digg.com</t>
  </si>
  <si>
    <t>62175-136</t>
  </si>
  <si>
    <t>jlong1k@jugem.jp</t>
  </si>
  <si>
    <t>Yombu</t>
  </si>
  <si>
    <t>33261-408</t>
  </si>
  <si>
    <t>jmarshall1j@webnode.com</t>
  </si>
  <si>
    <t>43063-392</t>
  </si>
  <si>
    <t>aknight1i@goodreads.com</t>
  </si>
  <si>
    <t>14783-093</t>
  </si>
  <si>
    <t>msnyder1h@seesaa.net</t>
  </si>
  <si>
    <t>Snyder</t>
  </si>
  <si>
    <t>63323-924</t>
  </si>
  <si>
    <t>ccrawford1g@bravesites.com</t>
  </si>
  <si>
    <t>62839-1102</t>
  </si>
  <si>
    <t>rbailey1f@reference.com</t>
  </si>
  <si>
    <t>46994-500</t>
  </si>
  <si>
    <t>nwebb1e@ft.com</t>
  </si>
  <si>
    <t>11822-9007</t>
  </si>
  <si>
    <t>delliott1d@sciencedaily.com</t>
  </si>
  <si>
    <t>51879-110</t>
  </si>
  <si>
    <t>ewillis1c@cbslocal.com</t>
  </si>
  <si>
    <t>0078-0234</t>
  </si>
  <si>
    <t>lmartin1b@mysql.com</t>
  </si>
  <si>
    <t>50474-598</t>
  </si>
  <si>
    <t>jcole1a@dagondesign.com</t>
  </si>
  <si>
    <t>50458-592</t>
  </si>
  <si>
    <t>cschmidt19@squarespace.com</t>
  </si>
  <si>
    <t>35356-963</t>
  </si>
  <si>
    <t>rwashington18@tiny.cc</t>
  </si>
  <si>
    <t>50964-110</t>
  </si>
  <si>
    <t>dreid17@wikia.com</t>
  </si>
  <si>
    <t>63629-5138</t>
  </si>
  <si>
    <t>epowell16@dion.ne.jp</t>
  </si>
  <si>
    <t>60809-166</t>
  </si>
  <si>
    <t>bfields15@wix.com</t>
  </si>
  <si>
    <t>68308-145</t>
  </si>
  <si>
    <t>bsnyder14@thetimes.co.uk</t>
  </si>
  <si>
    <t>50436-3800</t>
  </si>
  <si>
    <t>jbanks13@nps.gov</t>
  </si>
  <si>
    <t>49371-022</t>
  </si>
  <si>
    <t>mstone12@nhs.uk</t>
  </si>
  <si>
    <t>54868-6394</t>
  </si>
  <si>
    <t>eortiz11@icio.us</t>
  </si>
  <si>
    <t>0904-5229</t>
  </si>
  <si>
    <t>bperry10@imgur.com</t>
  </si>
  <si>
    <t>54868-5327</t>
  </si>
  <si>
    <t>bbarnesz@a8.net</t>
  </si>
  <si>
    <t>16729-094</t>
  </si>
  <si>
    <t>pcampbelly@who.int</t>
  </si>
  <si>
    <t>55319-450</t>
  </si>
  <si>
    <t>dwatkinsx@barnesandnoble.com</t>
  </si>
  <si>
    <t>17238-610</t>
  </si>
  <si>
    <t>dmartinw@unicef.org</t>
  </si>
  <si>
    <t>0472-0380</t>
  </si>
  <si>
    <t>lhartv@seesaa.net</t>
  </si>
  <si>
    <t>42291-219</t>
  </si>
  <si>
    <t>fholmesu@stanford.edu</t>
  </si>
  <si>
    <t>49035-548</t>
  </si>
  <si>
    <t>pfostert@microsoft.com</t>
  </si>
  <si>
    <t>Zoomdog</t>
  </si>
  <si>
    <t>64942-0832</t>
  </si>
  <si>
    <t>jkings@themeforest.net</t>
  </si>
  <si>
    <t>49999-053</t>
  </si>
  <si>
    <t>rowensr@google.cn</t>
  </si>
  <si>
    <t>43742-0191</t>
  </si>
  <si>
    <t>mgarciaq@sitemeter.com</t>
  </si>
  <si>
    <t>16590-364</t>
  </si>
  <si>
    <t>sbrooksp@wiley.com</t>
  </si>
  <si>
    <t>Zoovu</t>
  </si>
  <si>
    <t>54868-4638</t>
  </si>
  <si>
    <t>tsullivano@behance.net</t>
  </si>
  <si>
    <t>55289-997</t>
  </si>
  <si>
    <t>drossn@prlog.org</t>
  </si>
  <si>
    <t>66213-115</t>
  </si>
  <si>
    <t>ablackm@bbb.org</t>
  </si>
  <si>
    <t>65966-016</t>
  </si>
  <si>
    <t>cpowelll@technorati.com</t>
  </si>
  <si>
    <t>24385-170</t>
  </si>
  <si>
    <t>jevansk@boston.com</t>
  </si>
  <si>
    <t>59779-583</t>
  </si>
  <si>
    <t>mburnsj@yolasite.com</t>
  </si>
  <si>
    <t>51672-4054</t>
  </si>
  <si>
    <t>jwatkinsi@home.pl</t>
  </si>
  <si>
    <t>37012-668</t>
  </si>
  <si>
    <t>bgilberth@naver.com</t>
  </si>
  <si>
    <t>49288-0069</t>
  </si>
  <si>
    <t>rblackg@google.nl</t>
  </si>
  <si>
    <t>36987-1746</t>
  </si>
  <si>
    <t>shawkinsf@guardian.co.uk</t>
  </si>
  <si>
    <t>54868-5461</t>
  </si>
  <si>
    <t>bmitchelle@123-reg.co.uk</t>
  </si>
  <si>
    <t>Thoughtblab</t>
  </si>
  <si>
    <t>0031-8712</t>
  </si>
  <si>
    <t>bgardnerd@reuters.com</t>
  </si>
  <si>
    <t>50486-616</t>
  </si>
  <si>
    <t>jgeorgec@psu.edu</t>
  </si>
  <si>
    <t>63629-2981</t>
  </si>
  <si>
    <t>dcrawfordb@usatoday.com</t>
  </si>
  <si>
    <t>33992-1403</t>
  </si>
  <si>
    <t>jsullivana@weebly.com</t>
  </si>
  <si>
    <t>51079-782</t>
  </si>
  <si>
    <t>jjordan9@bravesites.com</t>
  </si>
  <si>
    <t>0409-2066</t>
  </si>
  <si>
    <t>cperez8@wix.com</t>
  </si>
  <si>
    <t>41520-193</t>
  </si>
  <si>
    <t>ebailey7@oaic.gov.au</t>
  </si>
  <si>
    <t>53808-0661</t>
  </si>
  <si>
    <t>amyers6@ustream.tv</t>
  </si>
  <si>
    <t>41250-380</t>
  </si>
  <si>
    <t>devans5@technorati.com</t>
  </si>
  <si>
    <t>63187-023</t>
  </si>
  <si>
    <t>amarshall4@hp.com</t>
  </si>
  <si>
    <t>53489-149</t>
  </si>
  <si>
    <t>sbaker3@cornell.edu</t>
  </si>
  <si>
    <t>0179-0083</t>
  </si>
  <si>
    <t>cholmes2@imageshack.us</t>
  </si>
  <si>
    <t>52125-087</t>
  </si>
  <si>
    <t>emorrison1@amazon.de</t>
  </si>
  <si>
    <t>76439-122</t>
  </si>
  <si>
    <t>kcrawford0@wired.com</t>
  </si>
  <si>
    <t>FDA Code</t>
  </si>
  <si>
    <t>Email</t>
  </si>
  <si>
    <t>Last Name</t>
  </si>
  <si>
    <t>Credit card</t>
  </si>
  <si>
    <t>Enter company name:</t>
  </si>
  <si>
    <t>Pretax profit</t>
  </si>
  <si>
    <t>Tax</t>
  </si>
  <si>
    <t>Net income</t>
  </si>
  <si>
    <t>Override</t>
  </si>
  <si>
    <t>Model-derived value (5x pretax profit):</t>
  </si>
  <si>
    <t>Historicals</t>
  </si>
  <si>
    <t>Negative number in parenthesis, aligned with positive number format</t>
  </si>
  <si>
    <t>Format</t>
  </si>
  <si>
    <t>Positive number</t>
  </si>
  <si>
    <t>Negative number aligned with positive</t>
  </si>
  <si>
    <t xml:space="preserve">Zero </t>
  </si>
  <si>
    <t>Text</t>
  </si>
  <si>
    <t>#,##0.00_);(#,##0.00)</t>
  </si>
  <si>
    <t>This is also standard number format for most versions of Excel</t>
  </si>
  <si>
    <t>text</t>
  </si>
  <si>
    <t>Since the third custom format field is empty, zeros are treated using positive format</t>
  </si>
  <si>
    <t>Since the fourth custom format field is empty, zeros are treated as plain text</t>
  </si>
  <si>
    <t>Positive - Multiple</t>
  </si>
  <si>
    <t>Negative - Multiple</t>
  </si>
  <si>
    <t>_(#,###0.0x_);(##,##0.0x)</t>
  </si>
  <si>
    <t>Negative number in parenthesis, aligned with positive number format and multiple "x" format</t>
  </si>
  <si>
    <t>_(#,###0.0_x_);(##,##0.0)_x</t>
  </si>
  <si>
    <t>Multiple "x" format. Negative numbers in parenthesis, aligned with positive number format</t>
  </si>
  <si>
    <t>Negative number in parenthesis, aligned with positive number format, "Balance" when result is 0</t>
  </si>
  <si>
    <t xml:space="preserve">Positive </t>
  </si>
  <si>
    <t>Zero</t>
  </si>
  <si>
    <t>#,##0.00_);(#,##0.00);"Balance"</t>
  </si>
  <si>
    <t>Other formats</t>
  </si>
  <si>
    <t>0 "days"</t>
  </si>
  <si>
    <t>L + 0 "bps"</t>
  </si>
  <si>
    <t>Company CC last_name email country</t>
  </si>
  <si>
    <t>Rooxo 6.38151E+15 Crawford kcrawford0@wired.com Tokelau</t>
  </si>
  <si>
    <t>Demizz 3.55627E+15 Morrison emorrison1@amazon.de Tajikistan</t>
  </si>
  <si>
    <t>Zoomdog 4.91189E+15 Holmes cholmes2@imageshack.us Sudan</t>
  </si>
  <si>
    <t>Brightbean 3.04693E+13 Baker sbaker3@cornell.edu Mauritius</t>
  </si>
  <si>
    <t>Oyondu 5.10018E+15 Marshall amarshall4@hp.com Kuwait</t>
  </si>
  <si>
    <t>Eidel 4.50874E+15 Evans devans5@technorati.com Malta</t>
  </si>
  <si>
    <t>Zoonoodle 2.01751E+14 Myers amyers6@ustream.tv Bahrain</t>
  </si>
  <si>
    <t>Devcast 5.36343E+15 Bailey ebailey7@oaic.gov.au Romania</t>
  </si>
  <si>
    <t>Rhyzio 5.00236E+15 Perez cperez8@wix.com Slovenia</t>
  </si>
  <si>
    <t>Riffpedia 5.60222E+15 Jordan jjordan9@bravesites.com Rwanda</t>
  </si>
  <si>
    <t>Jaxworks 2.01755E+14 Sullivan jsullivana@weebly.com Swaziland</t>
  </si>
  <si>
    <t>Realblab 3.58912E+15 Crawford dcrawfordb@usatoday.com Cameroon</t>
  </si>
  <si>
    <t>Eamia 3.56627E+15 George jgeorgec@psu.edu Cocos (Keeling) Island</t>
  </si>
  <si>
    <t>Yodoo 4.04138E+12 Gardner bgardnerd@reuters.com Saint Barthelemy</t>
  </si>
  <si>
    <t>Thoughtblab 5.17901E+15 Mitchell bmitchelle@123-reg.co.uk Hong Kong</t>
  </si>
  <si>
    <t>Thoughtworks 6.76251E+15 Hawkins shawkinsf@guardian.co.uk Reunion</t>
  </si>
  <si>
    <t>Edgepulse 3.74288E+14 Black rblackg@google.nl Vietnam</t>
  </si>
  <si>
    <t>Babblestorm 3.54352E+15 Gilbert bgilberth@naver.com Netherlands</t>
  </si>
  <si>
    <t>Thoughtstorm 5.60226E+15 Watkins jwatkinsi@home.pl Anguilla</t>
  </si>
  <si>
    <t>Eidel 2.01507E+14 Burns mburnsj@yolasite.com Fiji</t>
  </si>
  <si>
    <t>Browsetype 2.01893E+14 Evans jevansk@boston.com Guinea</t>
  </si>
  <si>
    <t>Zoozzy 6.37388E+15 Powell cpowelll@technorati.com Sri Lanka</t>
  </si>
  <si>
    <t>Thoughtbridge 3.58209E+15 Black ablackm@bbb.org Faroe Islands</t>
  </si>
  <si>
    <t>Devbug 6.39341E+15 Ross drossn@prlog.org Haiti</t>
  </si>
  <si>
    <t>Bluezoom 3.78907E+14 Sullivan tsullivano@behance.net Costa Rica</t>
  </si>
  <si>
    <t>Zoovu 6.75985E+15 Brooks sbrooksp@wiley.com Jersey</t>
  </si>
  <si>
    <t>Devbug 6.33407E+18 Garcia mgarciaq@sitemeter.com Malawi</t>
  </si>
  <si>
    <t>Zoomzone 3.57032E+15 Owens rowensr@google.cn French Southern Territories</t>
  </si>
  <si>
    <t>Linkbridge 3.5763E+15 King jkings@themeforest.net Liechtenstein</t>
  </si>
  <si>
    <t>Zoomdog 6.30448E+16 Foster pfostert@microsoft.com Poland</t>
  </si>
  <si>
    <t>Dabvine 5.50046E+15 Holmes fholmesu@stanford.edu Nauru</t>
  </si>
  <si>
    <t>Zoonder 5.16831E+15 Hart lhartv@seesaa.net Oman</t>
  </si>
  <si>
    <t>Jaxworks 3.56539E+15 Martin dmartinw@unicef.org Indonesia</t>
  </si>
  <si>
    <t>LiveZ 3.05498E+13 Watkins dwatkinsx@barnesandnoble.com Greenland</t>
  </si>
  <si>
    <t>Tagcat 3.55714E+15 Campbell pcampbelly@who.int Indonesia</t>
  </si>
  <si>
    <t>Feedfish 6.3311E+15 Barnes bbarnesz@a8.net Panama</t>
  </si>
  <si>
    <t>Dynazzy 3.74623E+14 Perry bperry10@imgur.com Greece</t>
  </si>
  <si>
    <t>Gabtune 3.54553E+15 Ortiz eortiz11@icio.us Sao Tome and Principe</t>
  </si>
  <si>
    <t>Devpoint 3.55059E+15 Stone mstone12@nhs.uk Fiji</t>
  </si>
  <si>
    <t>Bubbletube 3.53649E+15 Banks jbanks13@nps.gov Hong Kong</t>
  </si>
  <si>
    <t>Jabbersphere 5.59342E+15 Snyder bsnyder14@thetimes.co.uk French Guiana</t>
  </si>
  <si>
    <t>Linkbuzz 3.37942E+14 Fields bfields15@wix.com Armenia</t>
  </si>
  <si>
    <t>Meezzy 5.60222E+17 Powell epowell16@dion.ne.jp Panama</t>
  </si>
  <si>
    <t>Wordtune 3.74623E+14 Reid dreid17@wikia.com Angola</t>
  </si>
  <si>
    <t>Muxo 5.60223E+15 Washington rwashington18@tiny.cc Ireland</t>
  </si>
  <si>
    <t>Mydeo 3.53544E+15 Schmidt cschmidt19@squarespace.com Sri Lanka</t>
  </si>
  <si>
    <t>Skyndu 4.91348E+15 Cole jcole1a@dagondesign.com Yugoslavia</t>
  </si>
  <si>
    <t>Gabtune 5.21627E+15 Martin lmartin1b@mysql.com Trinidad and Tobago</t>
  </si>
  <si>
    <t>Realpoint 5.59825E+15 Willis ewillis1c@cbslocal.com Mexico</t>
  </si>
  <si>
    <t>Twitternation 4.91168E+15 Elliott delliott1d@sciencedaily.com Kiribati</t>
  </si>
  <si>
    <t>Jabberstorm 5.61029E+17 Webb nwebb1e@ft.com Faroe Islands</t>
  </si>
  <si>
    <t>Thoughtsphere 3.58933E+15 Bailey rbailey1f@reference.com Austria</t>
  </si>
  <si>
    <t>Gabtype 5.10014E+15 Crawford ccrawford1g@bravesites.com Ecuador</t>
  </si>
  <si>
    <t>Skinte 5.56937E+15 Snyder msnyder1h@seesaa.net Georgia</t>
  </si>
  <si>
    <t>Buzzshare 6.3311E+15 Knight aknight1i@goodreads.com Israel</t>
  </si>
  <si>
    <t>Wordware 6.75969E+17 Marshall jmarshall1j@webnode.com Slovenia</t>
  </si>
  <si>
    <t>Yombu 5.89371E+15 Long jlong1k@jugem.jp Malta</t>
  </si>
  <si>
    <t>Thoughtworks 3.04483E+13 Warren pwarren1l@digg.com Seychelles</t>
  </si>
  <si>
    <t>Feedbug 4.50823E+15 Bishop jbishop1m@businessweek.com Canada</t>
  </si>
  <si>
    <t>Riffpedia 3.58103E+15 Cunningham jcunningham1n@goo.gl Faroe Islands</t>
  </si>
  <si>
    <t>Skimia 5.39287E+15 Robinson crobinson1o@redcross.org Spain</t>
  </si>
  <si>
    <t>Buzzster 5.14999E+15 Gardner sgardner1p@facebook.com Cocos (Keeling) Island</t>
  </si>
  <si>
    <t>Livetube 6.37427E+15 Reed jreed1q@smugmug.com Bangladesh</t>
  </si>
  <si>
    <t>Dabshots 6.33111E+17 Payne kpayne1r@dailymotion.com Mali</t>
  </si>
  <si>
    <t>Kamba 3.01628E+13 Hamilton phamilton1s@independent.co.uk Guadeloupe</t>
  </si>
  <si>
    <t>Devshare 3.56903E+15 Hanson khanson1t@mozilla.com Czech Republic</t>
  </si>
  <si>
    <t>Ntags 3.57626E+15 Schmidt gschmidt1u@youtube.com Monaco</t>
  </si>
  <si>
    <t>Yamia 5.10018E+15 Kim tkim1v@nbcnews.com Monaco</t>
  </si>
  <si>
    <t>Riffwire 5.61054E+15 Burns jburns1w@go.com Denmark</t>
  </si>
  <si>
    <t>Topiclounge 3.54582E+15 Marshall dmarshall1x@hud.gov United States of America</t>
  </si>
  <si>
    <t>Youbridge 6.04494E+17 Hughes shughes1y@cargocollective.com United Arab Emirates</t>
  </si>
  <si>
    <t>Demivee 3.57793E+15 Brooks hbrooks1z@weibo.com Singapore</t>
  </si>
  <si>
    <t>Innotype 5.57136E+15 Lee llee20@boston.com Turkmenistan</t>
  </si>
  <si>
    <t>Twimbo 3.55772E+15 Murray mmurray21@google.pl Greece</t>
  </si>
  <si>
    <t>Voonte 5.60225E+16 Fisher jfisher22@nymag.com Croatia</t>
  </si>
  <si>
    <t>Devshare 6.75913E+17 Gilbert cgilbert23@e-recht24.de Aruba</t>
  </si>
  <si>
    <t>Realbuzz 5.59911E+15 Turner mturner24@reuters.com Martinique</t>
  </si>
  <si>
    <t>Katz 3.58996E+15 Palmer jpalmer25@about.me Guatemala</t>
  </si>
  <si>
    <t>Tagtune 5.04837E+15 Wright jwright26@home.pl Niue</t>
  </si>
  <si>
    <t>Mita 6.70605E+16 Hart thart27@unc.edu Singapore</t>
  </si>
  <si>
    <t>Meevee 3.52984E+15 Wheeler lwheeler28@hud.gov Mexico</t>
  </si>
  <si>
    <t>Jatri 5.24892E+15 Carroll scarroll29@wix.com Tonga</t>
  </si>
  <si>
    <t>Tanoodle 3.74623E+14 Smith rsmith2a@hatena.ne.jp Iraq</t>
  </si>
  <si>
    <t>Twitternation 3.00017E+13 Baker mbaker2b@statcounter.com Taiwan</t>
  </si>
  <si>
    <t>Flashdog 5.10014E+15 Greene ngreene2c@techcrunch.com Belize</t>
  </si>
  <si>
    <t>Pixope 2.01698E+14 Wells dwells2d@bigcartel.com Guadeloupe</t>
  </si>
  <si>
    <t>Trudeo 3.55579E+15 Chapman tchapman2e@wordpress.org Lithuania</t>
  </si>
  <si>
    <t>Gabvine 4.508E+15 Hunt ghunt2f@4shared.com Slovakia</t>
  </si>
  <si>
    <t>Mycat 5.61079E+18 Weaver rweaver2g@salon.com Luxembourg</t>
  </si>
  <si>
    <t>Topicblab 5.61047E+18 Green agreen2h@imageshack.us Belgium</t>
  </si>
  <si>
    <t>Rhybox 3.54084E+15 Rice crice2i@jiathis.com Cambodia</t>
  </si>
  <si>
    <t>Blogpad 3.54286E+15 Parker mparker2j@hao123.com Sri Lanka</t>
  </si>
  <si>
    <t>Dabvine 3.54062E+15 Dean ldean2k@sourceforge.net Paraguay</t>
  </si>
  <si>
    <t>InnoZ 3.5696E+15 Kennedy jkennedy2l@bing.com Gabon</t>
  </si>
  <si>
    <t>Riffpath 3.56368E+15 Thompson bthompson2m@zimbio.com Jamaica</t>
  </si>
  <si>
    <t>Centizu 3.5728E+15 Spencer pspencer2n@desdev.cn Congo, Democratic Republic of</t>
  </si>
  <si>
    <t>Devshare 3.55844E+15 Allen aallen2o@java.com Israel</t>
  </si>
  <si>
    <t>Kimia 5.60225E+15 Lynch jlynch2p@e-recht24.de Nicaragua</t>
  </si>
  <si>
    <t>Divanoodle 3.5645E+15 Peterson dpeterson2q@earthlink.net Slovenia</t>
  </si>
  <si>
    <t>Janyx 3.55581E+15 Stone jstone2r@ucoz.com Belgium</t>
  </si>
  <si>
    <t>Fivebridge 3.53002E+15 Davis mdavis2s@netlog.com Marshall Islands</t>
  </si>
  <si>
    <t>Eamia 3.53116E+15 Freeman cfreeman2t@netscape.com Philippines</t>
  </si>
  <si>
    <t>Lazz 3.54898E+15 Hart shart2u@army.mil Barbados</t>
  </si>
  <si>
    <t>Gabcube 3.53042E+15 Spencer bspencer2v@tuttocitta.it Comoros</t>
  </si>
  <si>
    <t>Janyx 4.40543E+15 Gilbert mgilbert2w@hibu.com Albania</t>
  </si>
  <si>
    <t>Ozu 5.03834E+16 King cking2x@wiley.com Netherlands Antilles</t>
  </si>
  <si>
    <t>Innojam 5.60221E+15 White jwhite2y@printfriendly.com Myanmar</t>
  </si>
  <si>
    <t>Roomm 3.53814E+15 Nichols jnichols2z@umich.edu Australia</t>
  </si>
  <si>
    <t>Leenti 3.54203E+15 Sims jsims30@eventbrite.com Falkland Islands (Malvinas)</t>
  </si>
  <si>
    <t>Wordtune 4.90523E+17 Welch jwelch31@smh.com.au Faroe Islands</t>
  </si>
  <si>
    <t>Voomm 3.57948E+15 Kennedy skennedy32@geocities.jp Malawi</t>
  </si>
  <si>
    <t>Mynte 5.04837E+15 Payne lpayne33@sun.com Benin</t>
  </si>
  <si>
    <t>Linkbuzz 5.02089E+15 Sullivan esullivan34@ca.gov New Zealand</t>
  </si>
  <si>
    <t>Dabvine 3.5602E+15 Armstrong larmstrong35@gov.uk Austria</t>
  </si>
  <si>
    <t>Divavu 4.26156E+15 Romero dromero36@ocn.ne.jp New Zealand</t>
  </si>
  <si>
    <t>Aivee 3.58394E+15 Olson aolson37@webmd.com Tunisia</t>
  </si>
  <si>
    <t>Skiba 2.01509E+14 Carter ccarter38@squarespace.com Barbados</t>
  </si>
  <si>
    <t>Talane 4.90352E+18 Arnold garnold39@newyorker.com Cayman Islands</t>
  </si>
  <si>
    <t>Ozu 6.76271E+17 Stevens cstevens3a@gravatar.com Azerbaijan</t>
  </si>
  <si>
    <t>Oyonder 5.10014E+15 Gilbert sgilbert3b@yolasite.com Kenya</t>
  </si>
  <si>
    <t>Yamia 3.57532E+15 Ruiz sruiz3c@csmonitor.com Bouvet Island</t>
  </si>
  <si>
    <t>Shufflester 3.55488E+15 Mitchell lmitchell3d@samsung.com Serbia</t>
  </si>
  <si>
    <t>Trudeo 2.01866E+14 Coleman ecoleman3e@hatena.ne.jp Zambia</t>
  </si>
  <si>
    <t>Youopia 5.61022E+15 Morales rmorales3f@eventbrite.com Vanuatu</t>
  </si>
  <si>
    <t>Devshare 5.00235E+15 Fowler ifowler3g@ft.com Mauritius</t>
  </si>
  <si>
    <t>Mybuzz 6.39704E+15 Porter pporter3h@ed.gov El Salvador</t>
  </si>
  <si>
    <t>Kanoodle 4.40502E+15 Long dlong3i@mayoclinic.com Ghana</t>
  </si>
  <si>
    <t>Quamba 3.54482E+15 Williams gwilliams3j@google.pl Czech Republic</t>
  </si>
  <si>
    <t>Skipfire 4.91188E+17 Edwards hedwards3k@amazonaws.com Montenegro</t>
  </si>
  <si>
    <t>Eazzy 3.53741E+15 Nichols anichols3l@geocities.jp French Polynesia</t>
  </si>
  <si>
    <t>Camimbo 5.60222E+15 Fields tfields3m@cloudflare.com Iceland</t>
  </si>
  <si>
    <t>Mydo 5.60225E+15 George pgeorge3n@nasa.gov Jersey</t>
  </si>
  <si>
    <t>Skiba 3.543E+15 Alexander aalexander3o@163.com Aruba</t>
  </si>
  <si>
    <t>Feedfish 3.54546E+15 Shaw gshaw3p@disqus.com Isle of Man</t>
  </si>
  <si>
    <t>Podcat 4.0416E+15 Bennett sbennett3q@theglobeandmail.com Senegal</t>
  </si>
  <si>
    <t>Twitterlist 5.02082E+18 Phillips hphillips3r@4shared.com Montenegro</t>
  </si>
  <si>
    <t>Livefish 3.56715E+15 Chapman schapman3s@amazonaws.com Haiti</t>
  </si>
  <si>
    <t>Ailane 3.58028E+15 Parker cparker3t@last.fm Iran</t>
  </si>
  <si>
    <t>Babbleblab 4.40542E+15 King dking3u@msu.edu Saint Martin</t>
  </si>
  <si>
    <t>Dablist 4.90533E+17 Torres ltorres3v@dailymail.co.uk Antigua and Barbuda</t>
  </si>
  <si>
    <t>Fanoodle 5.61049E+16 James bjames3w@europa.eu Lithuania</t>
  </si>
  <si>
    <t>Jaxnation 3.54401E+15 Green rgreen3x@privacy.gov.au Indonesia</t>
  </si>
  <si>
    <t>Brightbean 3.74289E+14 Kennedy fkennedy3y@digg.com Poland</t>
  </si>
  <si>
    <t>Tagfeed 3.52962E+15 Bradley jbradley3z@liveinternet.ru Andorra</t>
  </si>
  <si>
    <t>Trunyx 4.7363E+15 Bennett abennett40@bigcartel.com Namibia</t>
  </si>
  <si>
    <t>Skimia 4.20508E+12 Reynolds preynolds41@usa.gov Andorra</t>
  </si>
  <si>
    <t>Flipbug 3.56507E+15 Berry eberry42@geocities.com Pitcairn Island</t>
  </si>
  <si>
    <t>Dabshots 3.54933E+15 Webb hwebb43@usgs.gov Singapore</t>
  </si>
  <si>
    <t>Yacero 6.70991E+16 Kennedy jkennedy44@wikia.com Croatia</t>
  </si>
  <si>
    <t>Fiveclub 4.84471E+15 Black sblack45@prlog.org Iran</t>
  </si>
  <si>
    <t>Gabtype 2.01779E+14 Rogers jrogers46@netlog.com Mongolia</t>
  </si>
  <si>
    <t>Topdrive 5.60221E+17 Evans pevans47@myspace.com Czech Republic</t>
  </si>
  <si>
    <t>Edgewire 4.39119E+12 Coleman gcoleman48@mtv.com United States of America</t>
  </si>
  <si>
    <t>Livepath 4.02698E+15 Cooper bcooper49@phoca.cz Sao Tome and Principe</t>
  </si>
  <si>
    <t>Roodel 5.60221E+16 Ford kford4a@washingtonpost.com Togo</t>
  </si>
  <si>
    <t>Edgepulse 5.10876E+15 Hudson jhudson4b@ucoz.com Taiwan</t>
  </si>
  <si>
    <t>DabZ 5.60222E+15 Peters bpeters4c@jalbum.net Anguilla</t>
  </si>
  <si>
    <t>Vimbo 4.79845E+12 Cunningham wcunningham4d@1688.com Cameroon</t>
  </si>
  <si>
    <t>Zooveo 3.53086E+15 Wheeler twheeler4e@myspace.com Dominica</t>
  </si>
  <si>
    <t>Abatz 6.30402E+15 Garrett kgarrett4f@samsung.com Marshall Islands</t>
  </si>
  <si>
    <t>Yata 2.01692E+14 Arnold marnold4g@scientificamerican.com Vatican City State (Holy See)</t>
  </si>
  <si>
    <t>Meeveo 5.10875E+15 Ross mross4h@si.edu Tanzania</t>
  </si>
  <si>
    <t>Layo 4.90507E+15 Reynolds jreynolds4i@wp.com India</t>
  </si>
  <si>
    <t>Divanoodle 5.03891E+17 Mason amason4j@booking.com Fiji</t>
  </si>
  <si>
    <t>Yata 5.60221E+17 Franklin wfranklin4k@japanpost.jp French Southern Territories</t>
  </si>
  <si>
    <t>Skibox 5.00767E+15 Lee dlee4l@twitter.com Svalbard and Jan Mayen Islands</t>
  </si>
  <si>
    <t>Livefish 3.52801E+15 Greene bgreene4m@ezinearticles.com Northern Mariana Islands</t>
  </si>
  <si>
    <t>Camido 3.54047E+15 Rivera brivera4n@w3.org Tokelau</t>
  </si>
  <si>
    <t>Camimbo 3.55419E+15 Perry cperry4o@etsy.com Afghanistan</t>
  </si>
  <si>
    <t>Skinix 3.55692E+15 Anderson vanderson4p@pbs.org Comoros</t>
  </si>
  <si>
    <t>Vimbo 3.56118E+15 Henderson hhenderson4q@booking.com Chad</t>
  </si>
  <si>
    <t>Demizz 3.53226E+15 Baker jbaker4r@hao123.com Serbia</t>
  </si>
  <si>
    <t>Browsecat 3.55941E+15 Nguyen bnguyen4s@google.pl Tanzania</t>
  </si>
  <si>
    <t>Voonix 3.55076E+15 Duncan jduncan4t@adobe.com Jamaica</t>
  </si>
  <si>
    <t>Cogilith 3.03441E+13 Andrews mandrews4u@cpanel.net Tonga</t>
  </si>
  <si>
    <t>Jabbersphere 3.57072E+15 Burton kburton4v@topsy.com Finland</t>
  </si>
  <si>
    <t>Yadel 4.91181E+18 Jacobs bjacobs4w@hugedomains.com Turkmenistan</t>
  </si>
  <si>
    <t>Brightdog 5.8937E+18 Richards arichards4x@4shared.com Saint Barthelemy</t>
  </si>
  <si>
    <t>Realblab 5.60225E+15 Jordan wjordan4y@icio.us United Kingdom</t>
  </si>
  <si>
    <t>Fanoodle 3.58955E+15 Gomez hgomez4z@technorati.com Comoros</t>
  </si>
  <si>
    <t>Innotype 6.33454E+18 Richardson jrichardson50@google.cn Suriname</t>
  </si>
  <si>
    <t>Tekfly 3.5319E+15 Woods cwoods51@spotify.com Luxembourg</t>
  </si>
  <si>
    <t>Yakijo 3.57498E+15 Weaver dweaver52@ftc.gov Tanzania</t>
  </si>
  <si>
    <t>Photobean 5.64182E+15 Hughes hhughes53@illinois.edu Malaysia</t>
  </si>
  <si>
    <t>Kazio 2.01912E+14 Simpson asimpson54@furl.net Congo, Republic of</t>
  </si>
  <si>
    <t>Rhynyx 6.3311E+18 Thomas ethomas55@chron.com Palestinian Territory, Occupied</t>
  </si>
  <si>
    <t>Cogidoo 3.54649E+15 Cole kcole56@sun.com Taiwan</t>
  </si>
  <si>
    <t>Voolia 3.58355E+15 Austin naustin57@twitter.com Japan</t>
  </si>
  <si>
    <t>Bluezoom 3.54025E+15 Johnson cjohnson58@theglobeandmail.com Angola</t>
  </si>
  <si>
    <t>Zooxo 3.54364E+15 Harrison charrison59@exblog.jp Congo, Democratic Republic of</t>
  </si>
  <si>
    <t>Quimba 5.60224E+15 Robertson erobertson5a@themeforest.net Taiwan</t>
  </si>
  <si>
    <t>Skidoo 4.02692E+15 Freeman jfreeman5b@about.com Somalia</t>
  </si>
  <si>
    <t>Mydeo 3.53456E+15 Roberts jroberts5c@bizjournals.com Romania</t>
  </si>
  <si>
    <t>Dynava 3.5461E+15 Welch cwelch5d@paypal.com South Africa</t>
  </si>
  <si>
    <t>Midel 5.60225E+17 Meyer ameyer5e@vistaprint.com Jordan</t>
  </si>
  <si>
    <t>Devify 3.53534E+15 Stevens jstevens5f@instagram.com Netherlands</t>
  </si>
  <si>
    <t>DabZ 6.3311E+15 Hawkins jhawkins5g@walmart.com Suriname</t>
  </si>
  <si>
    <t>Youspan 3.57707E+15 Harvey charvey5h@google.com.au Ukraine</t>
  </si>
  <si>
    <t>Oyondu 2.01523E+14 Coleman jcoleman5i@bravesites.com Paraguay</t>
  </si>
  <si>
    <t>Zoomlounge 3.53998E+15 Romero gromero5j@google.it British Indian Ocean Territory</t>
  </si>
  <si>
    <t>Gabtune 4.91725E+15 James cjames5k@yahoo.co.jp Tokelau</t>
  </si>
  <si>
    <t>Mycat 3.54468E+15 Alexander ealexander5l@chronoengine.com Tajikistan</t>
  </si>
  <si>
    <t>Wordify 3.55388E+15 Young jyoung5m@shop-pro.jp Sudan</t>
  </si>
  <si>
    <t>Tazzy 2.01665E+14 Reyes sreyes5n@howstuffworks.com Mauritius</t>
  </si>
  <si>
    <t>Centizu 5.42854E+15 Hanson dhanson5o@pagesperso-orange.fr Kuwait</t>
  </si>
  <si>
    <t>Jatri 3.5578E+15 Daniels wdaniels5p@ameblo.jp Malta</t>
  </si>
  <si>
    <t>Youspan 4.90537E+15 Palmer kpalmer5q@stumbleupon.com Bahrain</t>
  </si>
  <si>
    <t>Jaxbean 6.76348E+17 Jones sjones5r@who.int Romania</t>
  </si>
  <si>
    <t>Shuffletag 3.54443E+15 White cwhite5s@europa.eu Slovenia</t>
  </si>
  <si>
    <t>Zoonder 6.33421E+15 Harris vharris5t@jigsy.com Rwanda</t>
  </si>
  <si>
    <t>Brainlounge 3.56707E+15 Reid kreid5u@msn.com Swaziland</t>
  </si>
  <si>
    <t>Mynte 3.58303E+15 Gardner lgardner5v@whitehouse.gov Cameroon</t>
  </si>
  <si>
    <t>Browsetype 4.90396E+17 Alexander malexander5w@comcast.net Cocos (Keeling) Island</t>
  </si>
  <si>
    <t>Wordtune 4.40585E+15 Ryan sryan5x@chronoengine.com Saint Barthelemy</t>
  </si>
  <si>
    <t>Fivechat 2.01543E+14 Lynch tlynch5y@google.es Hong Kong</t>
  </si>
  <si>
    <t>Snaptags 3.58236E+15 Sanders jsanders5z@hibu.com Reunion</t>
  </si>
  <si>
    <t>Tagcat 5.60225E+16 George jgeorge60@ca.gov Vietnam</t>
  </si>
  <si>
    <t>Linkbuzz 3.58733E+15 Jordan tjordan61@mysql.com Netherlands</t>
  </si>
  <si>
    <t>Realbuzz 3.5494E+15 Campbell bcampbell62@live.com Anguilla</t>
  </si>
  <si>
    <t>Dabvine 3.55621E+15 Boyd aboyd63@surveymonkey.com Fiji</t>
  </si>
  <si>
    <t>Babbleblab 6.77136E+16 Ray gray64@census.gov Guinea</t>
  </si>
  <si>
    <t>Topicblab 3.55323E+15 Watkins cwatkins65@reuters.com Sri Lanka</t>
  </si>
  <si>
    <t>Tagtune 5.51372E+15 Morrison jmorrison66@un.org Faroe Islands</t>
  </si>
  <si>
    <t>Skipfire 3.56867E+15 Harrison charrison67@adobe.com Haiti</t>
  </si>
  <si>
    <t>Avamba 3.57636E+15 Morgan pmorgan68@google.nl Costa Rica</t>
  </si>
  <si>
    <t>Trudoo 3.55684E+15 Kim hkim69@addtoany.com Jersey</t>
  </si>
  <si>
    <t>Vidoo 3.56971E+15 Spencer pspencer6a@nifty.com Malawi</t>
  </si>
  <si>
    <t>Eimbee 6.76715E+15 Clark vclark6b@blinklist.com French Southern Territories</t>
  </si>
  <si>
    <t>Yodel 4.04137E+12 Turner jturner6c@google.ru Liechtenstein</t>
  </si>
  <si>
    <t>Realbuzz 3.01253E+13 Webb dwebb6d@ucoz.ru Poland</t>
  </si>
  <si>
    <t>Brainverse 5.12893E+15 Chavez achavez6e@t-online.de Nauru</t>
  </si>
  <si>
    <t>InnoZ 3.56828E+15 Henry jhenry6f@discuz.net Oman</t>
  </si>
  <si>
    <t>Edgeify 5.51664E+15 Evans devans6g@youtube.com Indonesia</t>
  </si>
  <si>
    <t>Pixope 5.10015E+15 Anderson canderson6h@google.ca Greenland</t>
  </si>
  <si>
    <t>Fivebridge 3.54939E+15 Richards crichards6i@rambler.ru Indonesia</t>
  </si>
  <si>
    <t>Skinix 3.56443E+15 Reyes breyes6j@chicagotribune.com Panama</t>
  </si>
  <si>
    <t>Demimbu 3.58759E+15 Walker cwalker6k@weebly.com Greece</t>
  </si>
  <si>
    <t>Gigashots 5.01826E+16 Olson colson6l@myspace.com Sao Tome and Principe</t>
  </si>
  <si>
    <t>Quatz 4.50803E+15 Baker mbaker6m@amazon.co.uk Fiji</t>
  </si>
  <si>
    <t>Centizu 3.02197E+13 Howell chowell6n@newsvine.com Hong Kong</t>
  </si>
  <si>
    <t>Feedspan 6.37056E+15 Clark jclark6o@ca.gov French Guiana</t>
  </si>
  <si>
    <t>Zoonoodle 3.56473E+15 Warren pwarren6p@google.co.uk Armenia</t>
  </si>
  <si>
    <t>Abatz 3.58387E+15 Gomez fgomez6q@opera.com Panama</t>
  </si>
  <si>
    <t>Shuffledrive 4.40562E+15 Banks rbanks6r@godaddy.com Angola</t>
  </si>
  <si>
    <t>Flipstorm 4.91355E+15 Mendoza dmendoza6s@utexas.edu Ireland</t>
  </si>
  <si>
    <t>Devcast 3.56916E+15 Wright bwright6t@reference.com Sri Lanka</t>
  </si>
  <si>
    <t>Rhybox 2.01757E+14 Evans jevans6u@woothemes.com Yugoslavia</t>
  </si>
  <si>
    <t>Skajo 5.60226E+18 Willis swillis6v@etsy.com Trinidad and Tobago</t>
  </si>
  <si>
    <t>Youbridge 3.55948E+15 Mendoza dmendoza6w@instagram.com Mexico</t>
  </si>
  <si>
    <t>Voomm 5.60225E+17 George ageorge6x@chronoengine.com Kiribati</t>
  </si>
  <si>
    <t>Realfire 4.91711E+15 Garcia tgarcia6y@google.com.au Faroe Islands</t>
  </si>
  <si>
    <t>Tagchat 3.55784E+15 Reid breid6z@huffingtonpost.com Austria</t>
  </si>
  <si>
    <t>Fadeo 3.58966E+15 Campbell lcampbell70@dmoz.org Ecuador</t>
  </si>
  <si>
    <t>Twitterworks 3.56946E+15 Scott jscott71@japanpost.jp Georgia</t>
  </si>
  <si>
    <t>Jetwire 3.57617E+15 Owens jowens72@shutterfly.com Israel</t>
  </si>
  <si>
    <t>Twitterbridge 3.74623E+14 Scott jscott73@taobao.com Slovenia</t>
  </si>
  <si>
    <t>Quaxo 3.56127E+15 Hayes bhayes74@youtu.be Malta</t>
  </si>
  <si>
    <t>Meevee 3.54762E+15 Morris tmorris75@tiny.cc Seychelles</t>
  </si>
  <si>
    <t>Skinix 3.53874E+15 Roberts eroberts76@cisco.com Canada</t>
  </si>
  <si>
    <t>Edgetag 4.50814E+15 Anderson banderson77@free.fr Faroe Islands</t>
  </si>
  <si>
    <t>Thoughtstorm 5.0182E+17 Hudson jhudson78@joomla.org Spain</t>
  </si>
  <si>
    <t>Edgeclub 3.57733E+15 Greene jgreene79@topsy.com Cocos (Keeling) Island</t>
  </si>
  <si>
    <t>Feedspan 6.04236E+15 Alexander halexander7a@squidoo.com Bangladesh</t>
  </si>
  <si>
    <t>Skinder 6.04583E+14 Austin caustin7b@amazon.co.uk Mali</t>
  </si>
  <si>
    <t>Einti 4.90377E+18 Stewart jstewart7c@eventbrite.com Guadeloupe</t>
  </si>
  <si>
    <t>Zoombox 5.49404E+15 Berry cberry7d@slideshare.net Czech Republic</t>
  </si>
  <si>
    <t>Kwinu 5.28335E+15 Reid ereid7e@upenn.edu Monaco</t>
  </si>
  <si>
    <t>Twitterworks 3.58571E+15 Lee klee7f@wiley.com Monaco</t>
  </si>
  <si>
    <t>Blogspan 3.5686E+15 West jwest7g@privacy.gov.au Denmark</t>
  </si>
  <si>
    <t>Myworks 3.55859E+15 Burton iburton7h@goo.gl United States of America</t>
  </si>
  <si>
    <t>Avaveo 4.02687E+15 Harper jharper7i@cornell.edu United Arab Emirates</t>
  </si>
  <si>
    <t>Meevee 6.33111E+17 Woods bwoods7j@guardian.co.uk Singapore</t>
  </si>
  <si>
    <t>Jatri 5.60225E+15 Morrison smorrison7k@networksolutions.com Turkmenistan</t>
  </si>
  <si>
    <t>Browsebug 5.00236E+15 Duncan pduncan7l@google.es Greece</t>
  </si>
  <si>
    <t>Zoombox 3.03305E+13 Howard jhoward7m@4shared.com Croatia</t>
  </si>
  <si>
    <t>Devcast 5.44037E+15 Perez sperez7n@spiegel.de Aruba</t>
  </si>
  <si>
    <t>Vipe 3.05797E+13 Henry mhenry7o@aol.com Martinique</t>
  </si>
  <si>
    <t>JumpXS 3.02766E+13 Cook kcook7p@si.edu Guatemala</t>
  </si>
  <si>
    <t>Tagchat 3.52967E+15 West ewest7q@163.com Niue</t>
  </si>
  <si>
    <t>Youbridge 3.00216E+13 Lee clee7r@sciencedirect.com Singapore</t>
  </si>
  <si>
    <t>Bubblebox 6.33412E+17 Foster afoster7s@cbc.ca Mexico</t>
  </si>
  <si>
    <t>Wikivu 3.57245E+15 Moore mmoore7t@census.gov Tonga</t>
  </si>
  <si>
    <t>Vinder 3.54335E+15 Shaw rshaw7u@blinklist.com Iraq</t>
  </si>
  <si>
    <t>Trilia 3.57144E+15 Sims jsims7v@unblog.fr Taiwan</t>
  </si>
  <si>
    <t>Kanoodle 4.9053E+18 Williams kwilliams7w@clickbank.net Belize</t>
  </si>
  <si>
    <t>Oyonder 4.91707E+15 Armstrong earmstrong7x@tripod.com Guadeloupe</t>
  </si>
  <si>
    <t>Ainyx 3.54174E+15 Castillo bcastillo7y@chronoengine.com Lithuania</t>
  </si>
  <si>
    <t>Tanoodle 6.75981E+17 Carroll fcarroll7z@trellian.com Slovakia</t>
  </si>
  <si>
    <t>Yamia 3.56657E+15 Burton kburton80@goo.gl Luxembourg</t>
  </si>
  <si>
    <t>Miboo 6.38976E+15 Butler jbutler81@canalblog.com Belgium</t>
  </si>
  <si>
    <t>Meembee 3.55753E+15 Pierce hpierce82@hp.com Cambodia</t>
  </si>
  <si>
    <t>Oloo 3.55363E+15 Lynch jlynch83@hubpages.com Sri Lanka</t>
  </si>
  <si>
    <t>Dabfeed 3.02496E+13 Schmidt gschmidt84@bandcamp.com Paraguay</t>
  </si>
  <si>
    <t>Tazz 3.5751E+15 Mendoza tmendoza85@naver.com Gabon</t>
  </si>
  <si>
    <t>Zoomlounge 5.04837E+15 Allen kallen86@japanpost.jp Jamaica</t>
  </si>
  <si>
    <t>Youbridge 5.61011E+17 Wilson hwilson87@nsw.gov.au Congo, Democratic Republic of</t>
  </si>
  <si>
    <t>Trunyx 5.13601E+15 Little clittle88@auda.org.au Israel</t>
  </si>
  <si>
    <t>Rhyzio 6.30427E+16 Greene agreene89@github.com Nicaragua</t>
  </si>
  <si>
    <t>Quimm 4.40542E+15 Warren swarren8a@vkontakte.ru Slovenia</t>
  </si>
  <si>
    <t>Gigabox 3.58033E+15 Arnold sarnold8b@cornell.edu Belgium</t>
  </si>
  <si>
    <t>Shufflester 5.60224E+18 Ward hward8c@wired.com Marshall Islands</t>
  </si>
  <si>
    <t>Topicstorm 4.40539E+15 Martin amartin8d@ehow.com Philippines</t>
  </si>
  <si>
    <t>Skinder 3.53994E+15 Simmons gsimmons8e@php.net Barbados</t>
  </si>
  <si>
    <t>Gabvine 5.89334E+18 Hamilton dhamilton8f@ustream.tv Comoros</t>
  </si>
  <si>
    <t>Ooba 3.53145E+15 Wells pwells8g@comcast.net Albania</t>
  </si>
  <si>
    <t>Reallinks 3.57213E+15 Bradley jbradley8h@merriam-webster.com Netherlands Antilles</t>
  </si>
  <si>
    <t>Skiba 6.76111E+16 Gonzales agonzales8i@china.com.cn Myanmar</t>
  </si>
  <si>
    <t>Meembee 3.56346E+15 Burton cburton8j@netvibes.com Australia</t>
  </si>
  <si>
    <t>Babbleblab 4.01796E+12 Hawkins mhawkins8k@cisco.com Falkland Islands (Malvinas)</t>
  </si>
  <si>
    <t>Tagtune 3.55488E+15 Griffin dgriffin8l@rakuten.co.jp Faroe Islands</t>
  </si>
  <si>
    <t>Meezzy 6.76117E+16 Weaver aweaver8m@jimdo.com Malawi</t>
  </si>
  <si>
    <t>Layo 2.01964E+14 Meyer vmeyer8n@bbc.co.uk Benin</t>
  </si>
  <si>
    <t>Ozu 4.33341E+15 Montgomery jmontgomery8o@admin.ch New Zealand</t>
  </si>
  <si>
    <t>Realcube 3.5406E+15 Hawkins dhawkins8p@addthis.com Austria</t>
  </si>
  <si>
    <t>Meemm 3.58834E+15 Cook kcook8q@yale.edu New Zealand</t>
  </si>
  <si>
    <t>Linkbuzz 2.01463E+14 Jones gjones8r@infoseek.co.jp Tunisia</t>
  </si>
  <si>
    <t>Bubbletube 6.39772E+15 Dunn adunn8s@dagondesign.com Barbados</t>
  </si>
  <si>
    <t>Agimba 5.01885E+16 Miller dmiller8t@ocn.ne.jp Cayman Islands</t>
  </si>
  <si>
    <t>Skibox 3.72301E+14 Ruiz cruiz8u@alibaba.com Azerbaijan</t>
  </si>
  <si>
    <t>Cogidoo 5.10481E+15 Graham agraham8v@bloglines.com Kenya</t>
  </si>
  <si>
    <t>Twiyo 3.57486E+15 Ellis kellis8w@joomla.org Bouvet Island</t>
  </si>
  <si>
    <t>Jaxbean 5.60226E+15 Harper fharper8x@accuweather.com Serbia</t>
  </si>
  <si>
    <t>Blognation 3.55554E+15 Fox nfox8y@booking.com Zambia</t>
  </si>
  <si>
    <t>Pixonyx 3.57164E+15 Smith vsmith8z@stumbleupon.com Vanuatu</t>
  </si>
  <si>
    <t>Flashset 5.21614E+15 Price rprice90@dmoz.org Mauritius</t>
  </si>
  <si>
    <t>Dynava 3.5374E+15 Little hlittle91@wikia.com El Salvador</t>
  </si>
  <si>
    <t>Npath 3.53537E+15 Cooper jcooper92@free.fr Ghana</t>
  </si>
  <si>
    <t>Flashset 2.01791E+14 Brooks cbrooks93@discovery.com Czech Republic</t>
  </si>
  <si>
    <t>Kayveo 3.53026E+15 Edwards hedwards94@macromedia.com Montenegro</t>
  </si>
  <si>
    <t>Browsedrive 2.01421E+14 Johnston cjohnston95@jigsy.com French Polynesia</t>
  </si>
  <si>
    <t>Skinix 6.76748E+18 Foster rfoster96@constantcontact.com Iceland</t>
  </si>
  <si>
    <t>Avamm 6.77129E+15 Matthews tmatthews97@simplemachines.org Jersey</t>
  </si>
  <si>
    <t>Yakijo 3.5383E+15 Reyes sreyes98@adobe.com Aruba</t>
  </si>
  <si>
    <t>Thoughtstorm 5.61098E+17 Bryant tbryant99@uiuc.edu Isle of Man</t>
  </si>
  <si>
    <t>Tambee 5.44677E+15 Spencer kspencer9a@github.com Senegal</t>
  </si>
  <si>
    <t>Wordpedia 3.57645E+15 Kim lkim9b@si.edu Montenegro</t>
  </si>
  <si>
    <t>Thoughtbeat 4.90567E+17 Webb swebb9c@yandex.ru Haiti</t>
  </si>
  <si>
    <t>Fivechat 6.37787E+15 Frazier bfrazier9d@clickbank.net Iran</t>
  </si>
  <si>
    <t>Thoughtstorm 3.5895E+15 Rose prose9e@sohu.com Saint Martin</t>
  </si>
  <si>
    <t>Yodo 3.54197E+15 Kelley ckelley9f@fotki.com Antigua and Barbuda</t>
  </si>
  <si>
    <t>Buzzbean 3.53142E+15 Cooper rcooper9g@patch.com Lithuania</t>
  </si>
  <si>
    <t>Dabshots 3.53566E+15 Jordan jjordan9h@sitemeter.com Indonesia</t>
  </si>
  <si>
    <t>Kimia 6.76388E+18 Greene sgreene9i@dailymotion.com Poland</t>
  </si>
  <si>
    <t>Linkbuzz 5.60222E+16 Cook bcook9j@php.net Andorra</t>
  </si>
  <si>
    <t>Eazzy 5.00235E+15 Hughes mhughes9k@techcrunch.com Namibia</t>
  </si>
  <si>
    <t>Twitterwire 2.01617E+14 Fernandez wfernandez9l@google.com.hk Andorra</t>
  </si>
  <si>
    <t>Topicshots 3.56912E+15 Arnold barnold9m@google.nl Pitcairn Island</t>
  </si>
  <si>
    <t>Blogtags 6.04097E+14 Willis wwillis9n@hostgator.com Singapore</t>
  </si>
  <si>
    <t>Blogpad 3.57785E+15 Morales smorales9o@admin.ch Croatia</t>
  </si>
  <si>
    <t>Minyx 3.58009E+15 Richards lrichards9p@blinklist.com Iran</t>
  </si>
  <si>
    <t>Bubblemix 3.52887E+15 Cook mcook9q@cnn.com Mongolia</t>
  </si>
  <si>
    <t>Oyondu 2.01984E+14 Freeman jfreeman9r@mysql.com Czech Republic</t>
  </si>
  <si>
    <t>Shufflebeat 3.57955E+15 Porter nporter9s@harvard.edu United States of America</t>
  </si>
  <si>
    <t>Eidel 3.57675E+15 Rivera arivera9t@sciencedirect.com Sao Tome and Principe</t>
  </si>
  <si>
    <t>Youtags 3.57596E+15 Nelson pnelson9u@mashable.com Togo</t>
  </si>
  <si>
    <t>Edgeify 3.74622E+14 Fuller cfuller9v@oracle.com Taiwan</t>
  </si>
  <si>
    <t>Skimia 5.29006E+15 Carroll acarroll9w@cnn.com Anguilla</t>
  </si>
  <si>
    <t>Yakidoo 3.55967E+15 Montgomery jmontgomery9x@twitpic.com Cameroon</t>
  </si>
  <si>
    <t>Wikido 6.76227E+15 Evans bevans9y@over-blog.com Dominica</t>
  </si>
  <si>
    <t>Yacero 3.54243E+15 Edwards redwards9z@ebay.com Marshall Islands</t>
  </si>
  <si>
    <t>Youspan 6.76127E+16 Holmes rholmesa0@cbsnews.com Vatican City State (Holy See)</t>
  </si>
  <si>
    <t>Vidoo 3.57831E+15 Simmons rsimmonsa1@weather.com Tanzania</t>
  </si>
  <si>
    <t>Thoughtworks 6.3047E+18 Gray jgraya2@amazon.co.jp India</t>
  </si>
  <si>
    <t>Twimm 6.04092E+15 Vasquez jvasqueza3@google.cn Fiji</t>
  </si>
  <si>
    <t>Npath 6.70683E+17 Ryan nryana4@sogou.com French Southern Territories</t>
  </si>
  <si>
    <t>Realbuzz 4.40509E+15 Green cgreena5@instagram.com Svalbard and Jan Mayen Islands</t>
  </si>
  <si>
    <t>Livetube 3.53508E+15 Mills kmillsa6@nytimes.com Northern Mariana Islands</t>
  </si>
  <si>
    <t>Voonix 5.60223E+15 Mendoza wmendozaa7@comcast.net Tokelau</t>
  </si>
  <si>
    <t>Bluejam 4.175E+15 Hanson shansona8@bravesites.com Afghanistan</t>
  </si>
  <si>
    <t>Brightbean 5.60224E+18 Mason jmasona9@tripod.com Comoros</t>
  </si>
  <si>
    <t>Yakitri 3.5868E+15 Brooks nbrooksaa@army.mil Chad</t>
  </si>
  <si>
    <t>Rhynyx 3.02923E+13 Montgomery jmontgomeryab@unc.edu Serbia</t>
  </si>
  <si>
    <t>Chatterbridge 3.5405E+15 Morales pmoralesac@huffingtonpost.com Tanzania</t>
  </si>
  <si>
    <t>Flashdog 3.5841E+15 Austin jaustinad@cafepress.com Jamaica</t>
  </si>
  <si>
    <t>Babbleopia 3.0337E+13 Stanley gstanleyae@fema.gov Tonga</t>
  </si>
  <si>
    <t>Edgewire 5.60226E+18 Hernandez nhernandezaf@alexa.com Finland</t>
  </si>
  <si>
    <t>Pixoboo 3.55833E+15 Sanders msandersag@goo.ne.jp Turkmenistan</t>
  </si>
  <si>
    <t>Abata 5.41287E+15 Dunn ldunnah@hud.gov Saint Barthelemy</t>
  </si>
  <si>
    <t>Quimba 3.02848E+13 West pwestai@barnesandnoble.com United Kingdom</t>
  </si>
  <si>
    <t>Feedspan 3.58982E+15 Long alongaj@europa.eu Comoros</t>
  </si>
  <si>
    <t>Trunyx 4.9138E+15 Larson wlarsonak@webnode.com Suriname</t>
  </si>
  <si>
    <t>Vinte 3.74289E+14 Jordan bjordanal@digg.com Luxembourg</t>
  </si>
  <si>
    <t>Podcat 3.559E+15 Knight mknightam@twitter.com Tanzania</t>
  </si>
  <si>
    <t>Jabberstorm 3.5851E+15 Kelley akelleyan@boston.com Malaysia</t>
  </si>
  <si>
    <t>Feedfish 5.60221E+16 Coleman mcolemanao@github.io Congo, Republic of</t>
  </si>
  <si>
    <t>Shufflebeat 5.10017E+15 Ray arayap@guardian.co.uk Palestinian Territory, Occupied</t>
  </si>
  <si>
    <t>Shuffledrive 3.56998E+15 Oliver eoliveraq@ibm.com Taiwan</t>
  </si>
  <si>
    <t>Twiyo 3.57435E+15 Hunt chuntar@newsvine.com Japan</t>
  </si>
  <si>
    <t>Rhybox 3.00594E+13 Medina cmedinaas@reference.com Angola</t>
  </si>
  <si>
    <t>Voomm 3.01358E+13 Romero jromeroat@statcounter.com Congo, Democratic Republic of</t>
  </si>
  <si>
    <t>Ooba 4.17501E+15 Price mpriceau@statcounter.com Taiwan</t>
  </si>
  <si>
    <t>Browsebug 5.61083E+15 Ryan bryanav@usnews.com Somalia</t>
  </si>
  <si>
    <t>Jabbertype 5.02056E+16 West mwestaw@columbia.edu Romania</t>
  </si>
  <si>
    <t>Eimbee 5.02073E+18 Robinson drobinsonax@so-net.ne.jp South Africa</t>
  </si>
  <si>
    <t>LiveZ 3.55786E+15 Greene egreeneay@home.pl Jordan</t>
  </si>
  <si>
    <t>Gabtune 5.60223E+15 Scott pscottaz@tiny.cc Netherlands</t>
  </si>
  <si>
    <t>Photojam 3.55167E+15 Perez sperezb0@ox.ac.uk Suriname</t>
  </si>
  <si>
    <t>Dabtype 5.61059E+15 Nguyen cnguyenb1@state.tx.us Ukraine</t>
  </si>
  <si>
    <t>Yozio 3.74289E+14 Powell apowellb2@sourceforge.net Paraguay</t>
  </si>
  <si>
    <t>Skyba 3.5561E+15 Perez aperezb3@apache.org British Indian Ocean Territory</t>
  </si>
  <si>
    <t>Fanoodle 2.0186E+14 Henderson shendersonb4@washington.edu Tokelau</t>
  </si>
  <si>
    <t>Wikizz 6.7628E+16 Elliott jelliottb5@stumbleupon.com Tajikistan</t>
  </si>
  <si>
    <t>Trudoo 3.5529E+15 Harrison jharrisonb6@army.mil Sudan</t>
  </si>
  <si>
    <t>Thoughtstorm 3.548E+15 Turner lturnerb7@studiopress.com Mauritius</t>
  </si>
  <si>
    <t>Oyoloo 5.00767E+15 Freeman cfreemanb8@bbb.org Kuwait</t>
  </si>
  <si>
    <t>Jetwire 3.56906E+15 Carr mcarrb9@multiply.com Malta</t>
  </si>
  <si>
    <t>Fiveclub 5.37639E+15 Oliver poliverba@opensource.org Bahrain</t>
  </si>
  <si>
    <t>Quatz 3.74622E+14 Kennedy vkennedybb@etsy.com Romania</t>
  </si>
  <si>
    <t>Youopia 3.58452E+15 Ray draybc@delicious.com Slovenia</t>
  </si>
  <si>
    <t>Devpulse 3.5635E+15 Torres jtorresbd@webs.com Rwanda</t>
  </si>
  <si>
    <t>Tekfly 4.40514E+15 Ray lraybe@xrea.com Swaziland</t>
  </si>
  <si>
    <t>Thoughtstorm 6.75929E+17 Ramirez kramirezbf@home.pl Cameroon</t>
  </si>
  <si>
    <t>Youspan 3.55743E+15 Stone sstonebg@posterous.com Cocos (Keeling) Island</t>
  </si>
  <si>
    <t>Kaymbo 3.03906E+13 Richards mrichardsbh@epa.gov Saint Barthelemy</t>
  </si>
  <si>
    <t>Rooxo 6.30469E+16 Ruiz mruizbi@telegraph.co.uk Hong Kong</t>
  </si>
  <si>
    <t>Jabbersphere 6.75995E+15 Ellis gellisbj@wikimedia.org Reunion</t>
  </si>
  <si>
    <t>Flashpoint 6.04241E+16 Lopez blopezbk@youtube.com Vietnam</t>
  </si>
  <si>
    <t>Lajo 3.5828E+15 Hamilton jhamiltonbl@amazon.de Netherlands</t>
  </si>
  <si>
    <t>Cogidoo 6.30475E+15 Armstrong carmstrongbm@cisco.com Anguilla</t>
  </si>
  <si>
    <t>Oyoba 4.406E+15 Nichols anicholsbn@engadget.com Fiji</t>
  </si>
  <si>
    <t>Divavu 3.56264E+15 Mason cmasonbo@usgs.gov Guinea</t>
  </si>
  <si>
    <t>Camimbo 5.3126E+15 Cruz rcruzbp@oakley.com Sri Lanka</t>
  </si>
  <si>
    <t>Jetwire 3.56578E+15 Evans cevansbq@imdb.com Faroe Islands</t>
  </si>
  <si>
    <t>Thoughtstorm 5.60221E+15 Robinson crobinsonbr@timesonline.co.uk Haiti</t>
  </si>
  <si>
    <t>Feedspan 6.38401E+15 Ramirez framirezbs@utexas.edu Costa Rica</t>
  </si>
  <si>
    <t>Divape 3.53096E+15 Adams ladamsbt@furl.net Jersey</t>
  </si>
  <si>
    <t>Realcube 5.64183E+15 Mills jmillsbu@guardian.co.uk Malawi</t>
  </si>
  <si>
    <t>JumpXS 6.30456E+17 Webb jwebbbv@merriam-webster.com French Southern Territories</t>
  </si>
  <si>
    <t>Aivee 3.55298E+15 Powell cpowellbw@chronoengine.com Liechtenstein</t>
  </si>
  <si>
    <t>Gabspot 5.10017E+15 Holmes cholmesbx@tripod.com Poland</t>
  </si>
  <si>
    <t>Eayo 6.3311E+18 West rwestby@mapquest.com Nauru</t>
  </si>
  <si>
    <t>Realfire 6.33406E+15 Jordan jjordanbz@blogtalkradio.com Oman</t>
  </si>
  <si>
    <t>Feedspan 3.53146E+15 Watkins hwatkinsc0@yellowpages.com Indonesia</t>
  </si>
  <si>
    <t>Twitterwire 5.60221E+15 Harvey jharveyc1@apple.com Greenland</t>
  </si>
  <si>
    <t>Voonte 3.564E+15 Collins bcollinsc2@paginegialle.it Indonesia</t>
  </si>
  <si>
    <t>Realbridge 3.58415E+15 Jacobs jjacobsc3@infoseek.co.jp Panama</t>
  </si>
  <si>
    <t>Katz 3.57742E+15 Schmidt jschmidtc4@soup.io Greece</t>
  </si>
  <si>
    <t>Jaxworks 3.49259E+14 Baker jbakerc5@tinyurl.com Sao Tome and Principe</t>
  </si>
  <si>
    <t>Meezzy 5.10014E+15 Burke rburkec6@scribd.com Fiji</t>
  </si>
  <si>
    <t>Divape 5.60221E+16 Adams dadamsc7@rediff.com Hong Kong</t>
  </si>
  <si>
    <t>Twinder 3.58357E+15 Lewis llewisc8@washington.edu French Guiana</t>
  </si>
  <si>
    <t>Eare 6.38285E+15 Palmer ppalmerc9@narod.ru Armenia</t>
  </si>
  <si>
    <t>Jayo 3.55489E+15 Arnold barnoldca@dyndns.org Panama</t>
  </si>
  <si>
    <t>Yabox 3.53427E+15 Turner mturnercb@histats.com Angola</t>
  </si>
  <si>
    <t>Topicblab 6.76124E+18 Watkins cwatkinscc@networksolutions.com Ireland</t>
  </si>
  <si>
    <t>Meetz 5.61096E+15 Bradley jbradleycd@drupal.org Sri Lanka</t>
  </si>
  <si>
    <t>Devcast 3.57743E+15 Gonzalez sgonzalezce@time.com Yugoslavia</t>
  </si>
  <si>
    <t>Jabberbean 6.7597E+17 Henderson shendersoncf@washington.edu Trinidad and Tobago</t>
  </si>
  <si>
    <t>Avamm 3.58524E+15 Jenkins ejenkinscg@ow.ly Mexico</t>
  </si>
  <si>
    <t>Twitterbridge 3.58835E+15 Flores mfloresch@home.pl Kiribati</t>
  </si>
  <si>
    <t>Jabberbean 3.53764E+15 Ford sfordci@goo.gl Faroe Islands</t>
  </si>
  <si>
    <t>Jamia 3.54796E+15 Alexander ealexandercj@ezinearticles.com Austria</t>
  </si>
  <si>
    <t>Skinder 3.56032E+15 Stanley jstanleyck@squidoo.com Ecuador</t>
  </si>
  <si>
    <t>Riffpath 5.41105E+15 Reid areidcl@huffingtonpost.com Georgia</t>
  </si>
  <si>
    <t>Dabjam 3.56712E+15 Castillo bcastillocm@pen.io Israel</t>
  </si>
  <si>
    <t>Thoughtbridge 3.72302E+14 Kelly akellycn@mlb.com Slovenia</t>
  </si>
  <si>
    <t>Skimia 3.54643E+15 Johnston mjohnstonco@utexas.edu Malta</t>
  </si>
  <si>
    <t>Leenti 3.53085E+15 Murray jmurraycp@purevolume.com Seychelles</t>
  </si>
  <si>
    <t>Voonder 3.55486E+15 Lewis clewiscq@nba.com Canada</t>
  </si>
  <si>
    <t>Wikizz 6.3311E+18 Gray ggraycr@toplist.cz Faroe Islands</t>
  </si>
  <si>
    <t>Blognation 3.54635E+15 Meyer dmeyercs@biblegateway.com Spain</t>
  </si>
  <si>
    <t>Wikizz 3.58703E+15 Gonzalez bgonzalezct@tuttocitta.it Cocos (Keeling) Island</t>
  </si>
  <si>
    <t>Abata 6.7619E+16 Bell fbellcu@google.it Bangladesh</t>
  </si>
  <si>
    <t>Fivespan 4.84458E+15 Butler kbutlercv@tiny.cc Mali</t>
  </si>
  <si>
    <t>Browsecat 3.55781E+15 Crawford jcrawfordcw@newsvine.com Guadeloupe</t>
  </si>
  <si>
    <t>Jaxnation 3.54761E+15 Rice rricecx@fema.gov Czech Republic</t>
  </si>
  <si>
    <t>Jabbersphere 3.03877E+13 Mcdonald mmcdonaldcy@sun.com Monaco</t>
  </si>
  <si>
    <t>Tagtune 5.10018E+15 Chapman achapmancz@weather.com Monaco</t>
  </si>
  <si>
    <t>Jamia 3.57376E+15 Lawson llawsond0@unesco.org Denmark</t>
  </si>
  <si>
    <t>Vitz 3.58586E+15 Wood twoodd1@boston.com United States of America</t>
  </si>
  <si>
    <t>Yacero 6.38791E+15 Kim rkimd2@abc.net.au United Arab Emirates</t>
  </si>
  <si>
    <t>Skipstorm 5.02005E+16 Collins lcollinsd3@surveymonkey.com Singapore</t>
  </si>
  <si>
    <t>Viva 5.60223E+15 Baker rbakerd4@sciencedirect.com Turkmenistan</t>
  </si>
  <si>
    <t>Mymm 3.55721E+15 Carr gcarrd5@auda.org.au Greece</t>
  </si>
  <si>
    <t>Gigashots 4.01796E+15 West bwestd6@comcast.net Croatia</t>
  </si>
  <si>
    <t>Kazio 4.93642E+17 Tucker ctuckerd7@dailymotion.com Aruba</t>
  </si>
  <si>
    <t>Oyope 3.63732E+13 Welch awelchd8@bbc.co.uk Martinique</t>
  </si>
  <si>
    <t>Oyondu 3.00121E+13 Hanson mhansond9@mozilla.org Guatemala</t>
  </si>
  <si>
    <t>Mymm 5.00236E+15 Payne jpayneda@msn.com Niue</t>
  </si>
  <si>
    <t>Realcube 3.57852E+15 Lopez slopezdb@bloomberg.com Singapore</t>
  </si>
  <si>
    <t>Jabbertype 3.58258E+15 Perez cperezdc@toplist.cz Mexico</t>
  </si>
  <si>
    <t>Zoozzy 4.41268E+12 Wood kwooddd@ning.com Tonga</t>
  </si>
  <si>
    <t>Flipopia 5.60222E+18 Matthews rmatthewsde@ezinearticles.com Iraq</t>
  </si>
  <si>
    <t>Brightbean 5.60223E+15 Hawkins mhawkinsdf@usgs.gov Taiwan</t>
  </si>
  <si>
    <t>Realfire 3.53407E+15 Lawson dlawsondg@salon.com Belize</t>
  </si>
  <si>
    <t>Mudo 4.83552E+12 Harvey jharveydh@techcrunch.com Guadeloupe</t>
  </si>
  <si>
    <t>Pixonyx 5.60225E+15 Howell rhowelldi@yahoo.co.jp Lithuania</t>
  </si>
  <si>
    <t>Realcube 3.56323E+15 Weaver kweaverdj@wikipedia.org Slovakia</t>
  </si>
  <si>
    <t>Agivu 5.64182E+15 Weaver sweaverdk@economist.com Luxembourg</t>
  </si>
  <si>
    <t>Oyondu 4.50804E+15 Kim rkimdl@cpanel.net Belgium</t>
  </si>
  <si>
    <t>Oozz 4.01795E+15 Sims hsimsdm@yelp.com Cambodia</t>
  </si>
  <si>
    <t>Oyonder 6.30498E+16 Knight bknightdn@wunderground.com Sri Lanka</t>
  </si>
  <si>
    <t>Quimm 6.76312E+16 Cunningham scunninghamdo@addthis.com Paraguay</t>
  </si>
  <si>
    <t>Eire 3.57733E+15 Graham rgrahamdp@irs.gov Gabon</t>
  </si>
  <si>
    <t>Voomm 3.37941E+14 Andrews jandrewsdq@cloudflare.com Jamaica</t>
  </si>
  <si>
    <t>Agimba 3.57628E+15 Mcdonald imcdonalddr@linkedin.com Congo, Democratic Republic of</t>
  </si>
  <si>
    <t>Talane 2.01687E+14 Lawson rlawsonds@deliciousdays.com Israel</t>
  </si>
  <si>
    <t>Buzzshare 3.55666E+15 Harvey eharveydt@vk.com Nicaragua</t>
  </si>
  <si>
    <t>Topicstorm 5.61072E+18 Robinson drobinsondu@mayoclinic.com Slovenia</t>
  </si>
  <si>
    <t>Dynazzy 3.57732E+15 Washington cwashingtondv@lycos.com Belgium</t>
  </si>
  <si>
    <t>Tagopia 3.57252E+15 Nelson cnelsondw@abc.net.au Marshall Islands</t>
  </si>
  <si>
    <t>Zoombeat 3.55502E+15 Johnson hjohnsondx@va.gov Philippines</t>
  </si>
  <si>
    <t>Zoomlounge 5.60222E+15 Wilson pwilsondy@goo.gl Barbados</t>
  </si>
  <si>
    <t>Feedfish 3.03326E+13 Banks bbanksdz@com.com Comoros</t>
  </si>
  <si>
    <t>Linkbridge 3.58445E+15 Hunter chuntere0@macromedia.com Albania</t>
  </si>
  <si>
    <t>Topiclounge 5.10018E+15 Jordan mjordane1@rakuten.co.jp Netherlands Antilles</t>
  </si>
  <si>
    <t>Trunyx 3.56503E+15 Turner cturnere2@privacy.gov.au Myanmar</t>
  </si>
  <si>
    <t>Realfire 3.55051E+15 Fisher nfishere3@hubpages.com Australia</t>
  </si>
  <si>
    <t>Thoughtbeat 3.54381E+15 Medina rmedinae4@dagondesign.com Falkland Islands (Malvinas)</t>
  </si>
  <si>
    <t>Eadel 3.03917E+13 Perkins cperkinse5@princeton.edu Faroe Islands</t>
  </si>
  <si>
    <t>Twinder 5.04838E+15 Freeman hfreemane6@flickr.com Malawi</t>
  </si>
  <si>
    <t>Brightbean 5.49487E+15 Miller rmillere7@xrea.com Benin</t>
  </si>
  <si>
    <t>Yadel 5.60225E+18 Flores kflorese8@t-online.de New Zealand</t>
  </si>
  <si>
    <t>Fadeo 3.57372E+15 Knight eknighte9@behance.net Austria</t>
  </si>
  <si>
    <t>Aimbo 3.57226E+15 Burke eburkeea@deviantart.com New Zealand</t>
  </si>
  <si>
    <t>Katz 6.38925E+15 Ward kwardeb@tuttocitta.it Tunisia</t>
  </si>
  <si>
    <t>Centimia 4.84495E+15 Hernandez ghernandezec@symantec.com Barbados</t>
  </si>
  <si>
    <t>Quaxo 3.54462E+15 Jackson bjacksoned@gizmodo.com Cayman Islands</t>
  </si>
  <si>
    <t>Fivebridge 5.52315E+15 Graham agrahamee@census.gov Azerbaijan</t>
  </si>
  <si>
    <t>Thoughtsphere 3.58532E+15 Hanson bhansonef@ovh.net Kenya</t>
  </si>
  <si>
    <t>Ozu 3.58331E+15 Price ppriceeg@youtu.be Bouvet Island</t>
  </si>
  <si>
    <t>Skimia 6.39443E+15 Parker jparkereh@godaddy.com Serbia</t>
  </si>
  <si>
    <t>Gabtype 5.60223E+16 Cox dcoxei@yahoo.com Zambia</t>
  </si>
  <si>
    <t>Devcast 3.54153E+15 Sullivan ksullivanej@eepurl.com Vanuatu</t>
  </si>
  <si>
    <t>Linktype 3.54781E+15 Hernandez bhernandezek@ihg.com Mauritius</t>
  </si>
  <si>
    <t>Podcat 6.33334E+17 Perez cperezel@flickr.com El Salvador</t>
  </si>
  <si>
    <t>Wikizz 3.54936E+15 Rogers rrogersem@twitter.com Ghana</t>
  </si>
  <si>
    <t>Wikizz 4.02675E+15 Fowler dfowleren@360.cn Czech Republic</t>
  </si>
  <si>
    <t>Quimba 5.10014E+15 Allen ealleneo@wikispaces.com Montenegro</t>
  </si>
  <si>
    <t>Jetpulse 5.03874E+16 Morris fmorrisep@angelfire.com French Polynesia</t>
  </si>
  <si>
    <t>Realbridge 3.56519E+15 Garrett ggarretteq@bing.com Iceland</t>
  </si>
  <si>
    <t>Einti 5.10013E+15 Ramos eramoser@miibeian.gov.cn Jersey</t>
  </si>
  <si>
    <t>Cogidoo 4.91139E+15 Bowman sbowmanes@ezinearticles.com Aruba</t>
  </si>
  <si>
    <t>Jaxspan 3.57699E+15 Mills amillset@nsw.gov.au Isle of Man</t>
  </si>
  <si>
    <t>Brightbean 3.53608E+15 Perry dperryeu@youtube.com Senegal</t>
  </si>
  <si>
    <t>Jazzy 3.54097E+15 Dunn jdunnev@symantec.com Montenegro</t>
  </si>
  <si>
    <t>Topiczoom 3.54963E+15 Cook acookew@icio.us Haiti</t>
  </si>
  <si>
    <t>Dabfeed 5.60226E+15 Payne jpayneex@uol.com.br Iran</t>
  </si>
  <si>
    <t>JumpXS 3.57757E+15 Robertson arobertsoney@naver.com Saint Martin</t>
  </si>
  <si>
    <t>Meemm 6.3765E+15 Perry jperryez@livejournal.com Antigua and Barbuda</t>
  </si>
  <si>
    <t>Twitterlist 5.10014E+15 Reid freidf0@admin.ch Lithuania</t>
  </si>
  <si>
    <t>Avamba 3.55991E+15 Allen jallenf1@sourceforge.net Indonesia</t>
  </si>
  <si>
    <t>Fivespan 3.56405E+15 Robertson lrobertsonf2@wikispaces.com Poland</t>
  </si>
  <si>
    <t>Livetube 4.40545E+15 Stone tstonef3@toplist.cz Andorra</t>
  </si>
  <si>
    <t>Linkbridge 6.70946E+16 Kim skimf4@indiegogo.com Namibia</t>
  </si>
  <si>
    <t>Katz 3.55202E+15 Palmer jpalmerf5@amazon.co.jp Andorra</t>
  </si>
  <si>
    <t>Twitterwire 5.60223E+15 Robertson trobertsonf6@cnn.com Pitcairn Island</t>
  </si>
  <si>
    <t>Roomm 3.53058E+15 Miller dmillerf7@nifty.com Singapore</t>
  </si>
  <si>
    <t>Tagcat 3.55575E+15 Palmer tpalmerf8@java.com Croatia</t>
  </si>
  <si>
    <t>Mynte 6.38462E+15 Watkins lwatkinsf9@google.ca Iran</t>
  </si>
  <si>
    <t>Aimbo 5.60223E+16 Edwards wedwardsfa@free.fr Mongolia</t>
  </si>
  <si>
    <t>Browseblab 2.01945E+14 Hudson dhudsonfb@indiatimes.com Czech Republic</t>
  </si>
  <si>
    <t>Linkbridge 3.58935E+15 Chapman achapmanfc@php.net United States of America</t>
  </si>
  <si>
    <t>Jetwire 5.61015E+18 Hicks ahicksfd@twitpic.com Sao Tome and Principe</t>
  </si>
  <si>
    <t>Meevee 5.10014E+15 Kelley hkelleyfe@cdbaby.com Togo</t>
  </si>
  <si>
    <t>Yozio 3.55977E+15 Fisher cfisherff@over-blog.com Taiwan</t>
  </si>
  <si>
    <t>Brightbean 3.58582E+15 Adams madamsfg@who.int Anguilla</t>
  </si>
  <si>
    <t>Oyoloo 3.54808E+15 Bradley pbradleyfh@instagram.com Cameroon</t>
  </si>
  <si>
    <t>Shuffletag 3.58489E+15 Ortiz dortizfi@hexun.com Dominica</t>
  </si>
  <si>
    <t>Tagcat 3.56617E+15 Edwards bedwardsfj@printfriendly.com Marshall Islands</t>
  </si>
  <si>
    <t>Quaxo 3.55414E+15 Welch dwelchfk@surveymonkey.com Vatican City State (Holy See)</t>
  </si>
  <si>
    <t>Twitterwire 3.57739E+15 Dixon cdixonfl@live.com Tanzania</t>
  </si>
  <si>
    <t>Kamba 6.7069E+15 Reed breedfm@yolasite.com India</t>
  </si>
  <si>
    <t>Dynava 3.74289E+14 Garcia sgarciafn@slate.com Fiji</t>
  </si>
  <si>
    <t>Babbleopia 3.04748E+13 Young cyoungfo@discovery.com French Southern Territories</t>
  </si>
  <si>
    <t>Edgewire 5.32437E+15 Harper nharperfp@printfriendly.com Svalbard and Jan Mayen Islands</t>
  </si>
  <si>
    <t>Voonyx 3.57281E+15 Reid preidfq@blogger.com Northern Mariana Islands</t>
  </si>
  <si>
    <t>Innotype 5.61093E+15 Simpson wsimpsonfr@cornell.edu Tokelau</t>
  </si>
  <si>
    <t>Vimbo 6.76321E+16 Boyd nboydfs@google.es Afghanistan</t>
  </si>
  <si>
    <t>Skivee 3.74284E+14 Garrett jgarrettft@is.gd Comoros</t>
  </si>
  <si>
    <t>Bubbletube 5.60222E+15 Alexander jalexanderfu@mashable.com Chad</t>
  </si>
  <si>
    <t>Wordware 3.52952E+15 Perry kperryfv@de.vu Serbia</t>
  </si>
  <si>
    <t>Zoomcast 5.60225E+18 Montgomery lmontgomeryfw@tuttocitta.it Tanzania</t>
  </si>
  <si>
    <t>Gigaclub 6.33485E+15 Watkins pwatkinsfx@pagesperso-orange.fr Jamaica</t>
  </si>
  <si>
    <t>Gabspot 6.30401E+15 Carroll scarrollfy@psu.edu Tonga</t>
  </si>
  <si>
    <t>Gigashots 3.58477E+15 Williams rwilliamsfz@yahoo.com Finland</t>
  </si>
  <si>
    <t>Twimm 3.57845E+15 Harvey kharveyg0@seesaa.net Turkmenistan</t>
  </si>
  <si>
    <t>Devshare 6.38863E+15 Wagner wwagnerg1@jigsy.com Saint Barthelemy</t>
  </si>
  <si>
    <t>Innojam 3.53764E+15 Henderson jhendersong2@mysql.com United Kingdom</t>
  </si>
  <si>
    <t>Jamia 3.5697E+15 Bradley cbradleyg3@sourceforge.net Comoros</t>
  </si>
  <si>
    <t>Gigashots 6.75908E+18 Crawford jcrawfordg4@marriott.com Suriname</t>
  </si>
  <si>
    <t>Feedfire 5.56134E+15 Collins vcollinsg5@live.com Luxembourg</t>
  </si>
  <si>
    <t>Realfire 3.01508E+13 Greene pgreeneg6@paypal.com Tanzania</t>
  </si>
  <si>
    <t>Eayo 6.30476E+17 Bishop tbishopg7@nydailynews.com Malaysia</t>
  </si>
  <si>
    <t>Eamia 3.72302E+14 Ward lwardg8@ft.com Congo, Republic of</t>
  </si>
  <si>
    <t>Quatz 5.60224E+15 Price wpriceg9@unc.edu Palestinian Territory, Occupied</t>
  </si>
  <si>
    <t>Wikizz 4.04138E+15 Hicks jhicksga@wufoo.com Taiwan</t>
  </si>
  <si>
    <t>Abata 2.01437E+14 Henry thenrygb@ebay.com Japan</t>
  </si>
  <si>
    <t>Twimbo 5.03892E+15 Cunningham scunninghamgc@state.gov Angola</t>
  </si>
  <si>
    <t>Vimbo 3.57483E+15 Austin eaustingd@shutterfly.com Congo, Democratic Republic of</t>
  </si>
  <si>
    <t>Meejo 5.60225E+17 Wilson jwilsonge@weibo.com Taiwan</t>
  </si>
  <si>
    <t>Trilith 5.46957E+15 Black mblackgf@dagondesign.com Somalia</t>
  </si>
  <si>
    <t>Quimm 2.01757E+14 Davis rdavisgg@geocities.jp Romania</t>
  </si>
  <si>
    <t>Skipfire 5.60223E+15 Dixon ldixongh@ed.gov South Africa</t>
  </si>
  <si>
    <t>Rhycero 6.77145E+15 Moreno dmorenogi@shutterfly.com Jordan</t>
  </si>
  <si>
    <t>Oyoloo 5.60223E+17 Diaz ndiazgj@va.gov Netherlands</t>
  </si>
  <si>
    <t>Linktype 5.01013E+15 Miller lmillergk@wordpress.org Suriname</t>
  </si>
  <si>
    <t>Skipstorm 3.58048E+15 Gonzales cgonzalesgl@goo.gl Ukraine</t>
  </si>
  <si>
    <t>Browsetype 5.51704E+15 Berry aberrygm@wunderground.com Paraguay</t>
  </si>
  <si>
    <t>Kamba 3.56657E+15 Morales hmoralesgn@bizjournals.com British Indian Ocean Territory</t>
  </si>
  <si>
    <t>Youspan 5.60221E+15 Larson dlarsongo@gov.uk Tokelau</t>
  </si>
  <si>
    <t>Skyba 5.60224E+15 Reid freidgp@com.com Tajikistan</t>
  </si>
  <si>
    <t>Oyoloo 5.01852E+16 Carter rcartergq@smugmug.com Sudan</t>
  </si>
  <si>
    <t>Devpoint 6.38673E+15 Brown dbrowngr@oaic.gov.au Mauritius</t>
  </si>
  <si>
    <t>Gigazoom 3.53872E+15 Romero promerogs@nature.com Kuwait</t>
  </si>
  <si>
    <t>Riffpath 3.37941E+14 Andrews wandrewsgt@rediff.com Malta</t>
  </si>
  <si>
    <t>Avavee 2.01554E+14 Rivera jriveragu@pbs.org Bahrain</t>
  </si>
  <si>
    <t>Tagfeed 5.54004E+15 Daniels ldanielsgv@amazon.com Romania</t>
  </si>
  <si>
    <t>Meevee 6.76798E+15 Ellis sellisgw@oakley.com Slovenia</t>
  </si>
  <si>
    <t>Trilith 4.04137E+12 Butler sbutlergx@patch.com Rwanda</t>
  </si>
  <si>
    <t>Innotype 3.54281E+15 Meyer gmeyergy@blogspot.com Swaziland</t>
  </si>
  <si>
    <t>Quaxo 3.53841E+15 Castillo jcastillogz@amazon.de Cameroon</t>
  </si>
  <si>
    <t>Buzzdog 4.17501E+15 Hawkins lhawkinsh0@ning.com Cocos (Keeling) Island</t>
  </si>
  <si>
    <t>Dynabox 4.91773E+15 Knight rknighth1@goo.ne.jp Saint Barthelemy</t>
  </si>
  <si>
    <t>Trudoo 3.72302E+14 Jacobs mjacobsh2@unicef.org Hong Kong</t>
  </si>
  <si>
    <t>Kwilith 3.55025E+15 Perkins eperkinsh3@pen.io Reunion</t>
  </si>
  <si>
    <t>Youfeed 3.54599E+15 Thompson bthompsonh4@issuu.com Vietnam</t>
  </si>
  <si>
    <t>Midel 3.03008E+13 Hayes shayesh5@webnode.com Netherlands</t>
  </si>
  <si>
    <t>Skiptube 3.05008E+13 Mcdonald smcdonaldh6@amazon.de Anguilla</t>
  </si>
  <si>
    <t>Flipstorm 6.30418E+18 Willis vwillish7@topsy.com Fiji</t>
  </si>
  <si>
    <t>Brainverse 3.53269E+15 Bennett mbennetth8@posterous.com Guinea</t>
  </si>
  <si>
    <t>Katz 3.74289E+14 Smith vsmithh9@e-recht24.de Sri Lanka</t>
  </si>
  <si>
    <t>Gigabox 6.3347E+17 Pierce rpierceha@canalblog.com Faroe Islands</t>
  </si>
  <si>
    <t>Topiczoom 3.58684E+15 Wallace jwallacehb@vk.com Haiti</t>
  </si>
  <si>
    <t>Dynabox 4.91323E+15 Chapman tchapmanhc@sakura.ne.jp Costa Rica</t>
  </si>
  <si>
    <t>Livetube 5.60221E+15 Hart hharthd@engadget.com Jersey</t>
  </si>
  <si>
    <t>Quire 3.5588E+15 Freeman rfreemanhe@google.co.uk Malawi</t>
  </si>
  <si>
    <t>Voolia 3.57368E+15 Morrison kmorrisonhf@reference.com French Southern Territories</t>
  </si>
  <si>
    <t>Mita 3.55694E+15 Gray sgrayhg@sfgate.com Liechtenstein</t>
  </si>
  <si>
    <t>Trilith 3.72301E+14 Burns jburnshh@nps.gov Poland</t>
  </si>
  <si>
    <t>Realbuzz 5.60226E+15 Gray agrayhi@ucla.edu Nauru</t>
  </si>
  <si>
    <t>Photobug 4.17501E+15 Simpson jsimpsonhj@rakuten.co.jp Oman</t>
  </si>
  <si>
    <t>Tagopia 3.57265E+15 Willis jwillishk@gmpg.org Indonesia</t>
  </si>
  <si>
    <t>Tagtune 4.02362E+15 Payne hpaynehl@amazon.de Greenland</t>
  </si>
  <si>
    <t>Demivee 3.5723E+15 Long mlonghm@mayoclinic.com Indonesia</t>
  </si>
  <si>
    <t>Skidoo 3.03261E+13 Ellis mellishn@fc2.com Panama</t>
  </si>
  <si>
    <t>Muxo 3.05449E+13 Fowler tfowlerho@constantcontact.com Greece</t>
  </si>
  <si>
    <t>Yacero 5.89327E+17 Duncan jduncanhp@scribd.com Sao Tome and Principe</t>
  </si>
  <si>
    <t>Yabox 3.58602E+15 Alexander ealexanderhq@vimeo.com Fiji</t>
  </si>
  <si>
    <t>Tagchat 3.74283E+14 Tucker btuckerhr@ocn.ne.jp Hong Kong</t>
  </si>
  <si>
    <t>Realbridge 3.44307E+14 Rice aricehs@mlb.com French Guiana</t>
  </si>
  <si>
    <t>Jaxnation 3.55408E+15 George cgeorgeht@google.com.hk Armenia</t>
  </si>
  <si>
    <t>Snaptags 2.01901E+14 Barnes tbarneshu@washington.edu Panama</t>
  </si>
  <si>
    <t>Skinte 5.24E+15 Daniels wdanielshv@wired.com Angola</t>
  </si>
  <si>
    <t>Yodel 3.56953E+15 Shaw tshawhw@google.de Ireland</t>
  </si>
  <si>
    <t>Camido 3.53175E+15 Welch swelchhx@gravatar.com Sri Lanka</t>
  </si>
  <si>
    <t>Oyoba 3.72302E+14 Montgomery emontgomeryhy@abc.net.au Yugoslavia</t>
  </si>
  <si>
    <t>Divanoodle 3.54594E+15 Scott lscotthz@flavors.me Trinidad and Tobago</t>
  </si>
  <si>
    <t>Yotz 3.54212E+15 Mitchell jmitchelli0@google.pl Mexico</t>
  </si>
  <si>
    <t>Cogibox 5.01814E+18 Murray nmurrayi1@infoseek.co.jp Kiribati</t>
  </si>
  <si>
    <t>Zoomzone 3.56944E+15 Jones gjonesi2@studiopress.com Faroe Islands</t>
  </si>
  <si>
    <t>Browsezoom 5.04838E+15 Torres wtorresi3@quantcast.com Austria</t>
  </si>
  <si>
    <t>Skajo 4.02607E+15 Moreno smorenoi4@webs.com Ecuador</t>
  </si>
  <si>
    <t>Oyoloo 5.60225E+15 Hanson chansoni5@shutterfly.com Georgia</t>
  </si>
  <si>
    <t>Skinder 2.01895E+14 Wheeler pwheeleri6@yellowpages.com Israel</t>
  </si>
  <si>
    <t>Ailane 3.55699E+15 Lewis jlewisi7@ebay.co.uk Slovenia</t>
  </si>
  <si>
    <t>Oyoloo 3.54808E+15 Griffin agriffini8@squarespace.com Malta</t>
  </si>
  <si>
    <t>Ntags 3.53782E+15 Wilson awilsoni9@miibeian.gov.cn Seychelles</t>
  </si>
  <si>
    <t>Realcube 5.00236E+15 Hudson jhudsonia@feedburner.com Canada</t>
  </si>
  <si>
    <t>Avaveo 4.91306E+12 Mills amillsib@amazon.co.uk Faroe Islands</t>
  </si>
  <si>
    <t>Trilia 3.79422E+14 Lawrence rlawrenceic@oakley.com Spain</t>
  </si>
  <si>
    <t>Feedbug 4.04159E+12 Johnson cjohnsonid@eepurl.com Cocos (Keeling) Island</t>
  </si>
  <si>
    <t>Muxo 4.02666E+15 Wallace pwallaceie@godaddy.com Bangladesh</t>
  </si>
  <si>
    <t>Jaxbean 3.58492E+15 Murphy rmurphyif@blog.com Mali</t>
  </si>
  <si>
    <t>Skippad 4.0416E+12 Grant egrantig@phoca.cz Guadeloupe</t>
  </si>
  <si>
    <t>Zoombeat 6.76336E+16 Edwards aedwardsih@icio.us Czech Republic</t>
  </si>
  <si>
    <t>Camido 3.54989E+15 Green tgreenii@oaic.gov.au Monaco</t>
  </si>
  <si>
    <t>Innojam 3.01286E+13 Henry ehenryij@senate.gov Monaco</t>
  </si>
  <si>
    <t>Voonyx 5.64183E+15 Fox nfoxik@dion.ne.jp Denmark</t>
  </si>
  <si>
    <t>Fatz 6.39763E+15 Hayes rhayesil@a8.net United States of America</t>
  </si>
  <si>
    <t>Edgeclub 5.00766E+15 Porter jporterim@marriott.com United Arab Emirates</t>
  </si>
  <si>
    <t>Photofeed 3.54433E+15 Boyd mboydin@bing.com Singapore</t>
  </si>
  <si>
    <t>Trunyx 5.57652E+15 Ortiz eortizio@elpais.com Turkmenistan</t>
  </si>
  <si>
    <t>Jetwire 3.55035E+15 Stephens wstephensip@drupal.org Greece</t>
  </si>
  <si>
    <t>Browseblab 2.01573E+14 Harrison jharrisoniq@goo.ne.jp Croatia</t>
  </si>
  <si>
    <t>Rhybox 3.54099E+15 Watkins swatkinsir@list-manage.com Aruba</t>
  </si>
  <si>
    <t>Meevee 4.50873E+15 White bwhiteis@usa.gov Martinique</t>
  </si>
  <si>
    <t>Skiba 4.40551E+15 Morgan jmorganit@ft.com Guatemala</t>
  </si>
  <si>
    <t>Leenti 5.02016E+18 Kelley jkelleyiu@fema.gov Niue</t>
  </si>
  <si>
    <t>Edgeify 6.30435E+18 Allen jalleniv@ycombinator.com Singapore</t>
  </si>
  <si>
    <t>Oloo 5.02062E+16 Burns mburnsiw@vistaprint.com Mexico</t>
  </si>
  <si>
    <t>Muxo 3.53656E+15 Larson clarsonix@etsy.com Tonga</t>
  </si>
  <si>
    <t>Flipopia 3.58366E+15 Boyd dboydiy@cnbc.com Iraq</t>
  </si>
  <si>
    <t>Twimm 3.58019E+15 Austin maustiniz@digg.com Taiwan</t>
  </si>
  <si>
    <t>Muxo 3.54064E+15 Sims jsimsj0@china.com.cn Belize</t>
  </si>
  <si>
    <t>Feedbug 4.84425E+15 Holmes lholmesj1@irs.gov Guadeloupe</t>
  </si>
  <si>
    <t>Rhynyx 5.50031E+15 Payne jpaynej2@booking.com Lithuania</t>
  </si>
  <si>
    <t>Zoonder 6.75903E+18 Bennett pbennettj3@senate.gov Slovakia</t>
  </si>
  <si>
    <t>Twinte 3.43045E+14 Miller wmillerj4@furl.net Luxembourg</t>
  </si>
  <si>
    <t>Jabbertype 3.57384E+15 Hudson ghudsonj5@tinyurl.com Belgium</t>
  </si>
  <si>
    <t>Oyoloo 5.01846E+15 Freeman wfreemanj6@senate.gov Cambodia</t>
  </si>
  <si>
    <t>Meejo 5.60225E+15 Griffin cgriffinj7@cyberchimps.com Sri Lanka</t>
  </si>
  <si>
    <t>Quatz 3.53137E+15 Collins jcollinsj8@digg.com Paraguay</t>
  </si>
  <si>
    <t>Lazzy 3.56833E+15 Martin emartinj9@vistaprint.com Gabon</t>
  </si>
  <si>
    <t>Dabvine 3.57903E+15 Gutierrez bgutierrezja@ucsd.edu Jamaica</t>
  </si>
  <si>
    <t>Eimbee 3.58165E+15 Romero jromerojb@nymag.com Congo, Democratic Republic of</t>
  </si>
  <si>
    <t>Viva 5.89391E+18 Harvey kharveyjc@columbia.edu Israel</t>
  </si>
  <si>
    <t>Skaboo 6.76328E+17 Rodriguez wrodriguezjd@wikimedia.org Nicaragua</t>
  </si>
  <si>
    <t>Photobug 5.61074E+18 Graham sgrahamje@google.ca Slovenia</t>
  </si>
  <si>
    <t>Zoomlounge 4.04159E+12 Williams rwilliamsjf@reddit.com Belgium</t>
  </si>
  <si>
    <t>Zazio 4.40548E+15 Bradley kbradleyjg@wunderground.com Marshall Islands</t>
  </si>
  <si>
    <t>Devpulse 4.02684E+15 Vasquez pvasquezjh@hc360.com Philippines</t>
  </si>
  <si>
    <t>Zoomlounge 6.3311E+15 Fisher mfisherji@nbcnews.com Barbados</t>
  </si>
  <si>
    <t>Youopia 5.61033E+18 Peters hpetersjj@statcounter.com Comoros</t>
  </si>
  <si>
    <t>Kwilith 3.5618E+15 Wright lwrightjk@apache.org Albania</t>
  </si>
  <si>
    <t>Voomm 5.01893E+15 Wilson bwilsonjl@upenn.edu Netherlands Antilles</t>
  </si>
  <si>
    <t>Izio 3.02429E+13 Miller smillerjm@apple.com Myanmar</t>
  </si>
  <si>
    <t>Wikizz 6.37312E+15 Murray bmurrayjn@mit.edu Australia</t>
  </si>
  <si>
    <t>Jabbercube 2.01459E+14 Palmer hpalmerjo@homestead.com Falkland Islands (Malvinas)</t>
  </si>
  <si>
    <t>Kanoodle 2.01763E+14 Andrews sandrewsjp@sun.com Faroe Islands</t>
  </si>
  <si>
    <t>Skyble 5.10014E+15 Tucker atuckerjq@jugem.jp Malawi</t>
  </si>
  <si>
    <t>Camido 5.61051E+16 Gilbert dgilbertjr@canalblog.com Benin</t>
  </si>
  <si>
    <t>Yodoo 3.74973E+14 Boyd jboydjs@opera.com New Zealand</t>
  </si>
  <si>
    <t>Zoozzy 4.91468E+12 Little clittlejt@msn.com Austria</t>
  </si>
  <si>
    <t>Realbuzz 5.02047E+18 Ortiz jortizju@illinois.edu New Zealand</t>
  </si>
  <si>
    <t>Gabvine 4.02693E+15 Gilbert jgilbertjv@quantcast.com Tunisia</t>
  </si>
  <si>
    <t>Jabberbean 5.00767E+15 Torres jtorresjw@adobe.com Barbados</t>
  </si>
  <si>
    <t>Tagpad 3.55671E+15 Mills bmillsjx@lycos.com Cayman Islands</t>
  </si>
  <si>
    <t>Lazzy 3.57165E+15 Stephens wstephensjy@ning.com Azerbaijan</t>
  </si>
  <si>
    <t>Meedoo 3.37941E+14 Welch vwelchjz@friendfeed.com Kenya</t>
  </si>
  <si>
    <t>Kamba 3.5372E+15 Robinson srobinsonk0@goodreads.com Bouvet Island</t>
  </si>
  <si>
    <t>Meetz 3.58912E+15 Reyes breyesk1@netvibes.com Serbia</t>
  </si>
  <si>
    <t>Tazz 3.53058E+15 Day jdayk2@xinhuanet.com Zambia</t>
  </si>
  <si>
    <t>Jetwire 3.52993E+15 Medina tmedinak3@dedecms.com Vanuatu</t>
  </si>
  <si>
    <t>Eabox 6.75901E+17 Martin jmartink4@oaic.gov.au Mauritius</t>
  </si>
  <si>
    <t>Blognation 3.56107E+15 Banks nbanksk5@wordpress.org El Salvador</t>
  </si>
  <si>
    <t>Roombo 5.15585E+15 Stephens astephensk6@arstechnica.com Ghana</t>
  </si>
  <si>
    <t>Jetpulse 5.10015E+15 Garcia tgarciak7@ucoz.com Czech Republic</t>
  </si>
  <si>
    <t>Skivee 4.40557E+15 Allen callenk8@google.com Montenegro</t>
  </si>
  <si>
    <t>Photobean 3.53647E+15 Allen rallenk9@jalbum.net French Polynesia</t>
  </si>
  <si>
    <t>Snaptags 6.76208E+16 Lawrence jlawrenceka@seattletimes.com Iceland</t>
  </si>
  <si>
    <t>Babblestorm 5.03876E+18 Green agreenkb@qq.com Jersey</t>
  </si>
  <si>
    <t>Divape 2.01502E+14 Chavez gchavezkc@google.ca Aruba</t>
  </si>
  <si>
    <t>Leenti 3.53473E+15 Harper jharperkd@bluehost.com Isle of Man</t>
  </si>
  <si>
    <t>Kaymbo 4.90518E+17 Oliver roliverke@irs.gov Senegal</t>
  </si>
  <si>
    <t>Oyope 5.10876E+15 White jwhitekf@mac.com Montenegro</t>
  </si>
  <si>
    <t>Feedfish 2.01501E+14 Gutierrez rgutierrezkg@google.fr Haiti</t>
  </si>
  <si>
    <t>Realblab 5.60225E+15 Dixon cdixonkh@skyrock.com Iran</t>
  </si>
  <si>
    <t>Kaymbo 5.61039E+18 Bailey bbaileyki@canalblog.com Saint Martin</t>
  </si>
  <si>
    <t>Fadeo 3.56542E+15 Dixon adixonkj@ibm.com Antigua and Barbuda</t>
  </si>
  <si>
    <t>Kanoodle 3.78136E+14 Cox fcoxkk@canalblog.com Lithuania</t>
  </si>
  <si>
    <t>Flipbug 5.15426E+15 Hansen jhansenkl@msn.com Indonesia</t>
  </si>
  <si>
    <t>Rooxo 5.53583E+15 Harvey rharveykm@comsenz.com Poland</t>
  </si>
  <si>
    <t>Quaxo 3.55831E+15 Russell mrussellkn@ning.com Andorra</t>
  </si>
  <si>
    <t>Wordtune 3.7292E+14 Burns eburnsko@msn.com Namibia</t>
  </si>
  <si>
    <t>Midel 5.60224E+17 Morales jmoraleskp@oaic.gov.au Andorra</t>
  </si>
  <si>
    <t>Kare 3.55769E+15 Johnston mjohnstonkq@paypal.com Pitcairn Island</t>
  </si>
  <si>
    <t>Brainlounge 4.0268E+15 Cole acolekr@miibeian.gov.cn Singapore</t>
  </si>
  <si>
    <t>Topicstorm 3.57534E+15 Marshall pmarshallks@weather.com Croatia</t>
  </si>
  <si>
    <t>Digitube 5.60224E+15 Morgan dmorgankt@dailymail.co.uk Iran</t>
  </si>
  <si>
    <t>Twinte 4.93611E+15 Ramos jramosku@sciencedirect.com Mongolia</t>
  </si>
  <si>
    <t>Centizu 3.53145E+15 Howell jhowellkv@sphinn.com Czech Republic</t>
  </si>
  <si>
    <t>Talane 3.58704E+15 Shaw kshawkw@dot.gov United States of America</t>
  </si>
  <si>
    <t>Riffpath 3.53293E+15 Dunn edunnkx@pagesperso-orange.fr Sao Tome and Principe</t>
  </si>
  <si>
    <t>Skiba 3.52984E+15 Romero promeroky@github.io Togo</t>
  </si>
  <si>
    <t>Feedfish 3.56014E+15 Jenkins bjenkinskz@yellowbook.com Taiwan</t>
  </si>
  <si>
    <t>Skiptube 4.91185E+17 Phillips mphillipsl0@macromedia.com Anguilla</t>
  </si>
  <si>
    <t>Twitterworks 6.30438E+18 Johnston cjohnstonl1@artisteer.com Cameroon</t>
  </si>
  <si>
    <t>Oyonder 3.57955E+15 Garza fgarzal2@furl.net Dominica</t>
  </si>
  <si>
    <t>Brightbean 3.5847E+15 Lawrence jlawrencel3@woothemes.com Marshall Islands</t>
  </si>
  <si>
    <t>Roomm 2.0175E+14 Simmons tsimmonsl4@dailymotion.com Vatican City State (Holy See)</t>
  </si>
  <si>
    <t>Teklist 3.54625E+15 Turner cturnerl5@soup.io Tanzania</t>
  </si>
  <si>
    <t>Youopia 3.57958E+15 Nichols pnicholsl6@typepad.com India</t>
  </si>
  <si>
    <t>Tambee 3.57882E+15 Hunter bhunterl7@bigcartel.com Fiji</t>
  </si>
  <si>
    <t>Podcat 3.5693E+15 Welch bwelchl8@archive.org French Southern Territories</t>
  </si>
  <si>
    <t>Babblestorm 5.10018E+15 Gonzales sgonzalesl9@t.co Svalbard and Jan Mayen Islands</t>
  </si>
  <si>
    <t>Ainyx 6.76263E+17 Bailey lbaileyla@soup.io Northern Mariana Islands</t>
  </si>
  <si>
    <t>Skibox 3.56478E+15 Myers rmyerslb@squarespace.com Tokelau</t>
  </si>
  <si>
    <t>Meetz 3.58031E+15 Bennett ebennettlc@sphinn.com Afghanistan</t>
  </si>
  <si>
    <t>Chatterpoint 5.14195E+15 Carpenter lcarpenterld@narod.ru Comoros</t>
  </si>
  <si>
    <t>Jabbercube 3.57693E+15 Harper wharperle@pcworld.com Chad</t>
  </si>
  <si>
    <t>Viva 3.58979E+15 Price rpricelf@google.fr Serbia</t>
  </si>
  <si>
    <t>Edgeblab 3.56604E+15 Henry chenrylg@comcast.net Tanzania</t>
  </si>
  <si>
    <t>Bubblemix 5.01012E+15 Dixon rdixonlh@comsenz.com Jamaica</t>
  </si>
  <si>
    <t>Dabvine 5.64183E+17 Greene ggreeneli@wired.com Tonga</t>
  </si>
  <si>
    <t>Thoughtworks 3.54486E+15 Harris rharrislj@scientificamerican.com Finland</t>
  </si>
  <si>
    <t>Avavee 3.53804E+15 Hawkins dhawkinslk@xing.com Turkmenistan</t>
  </si>
  <si>
    <t>Avamba 3.57088E+15 Watson jwatsonll@1und1.de Saint Barthelemy</t>
  </si>
  <si>
    <t>Gevee 3.01628E+13 Nichols bnicholslm@clickbank.net United Kingdom</t>
  </si>
  <si>
    <t>Youbridge 4.04138E+12 Turner hturnerln@google.com Comoros</t>
  </si>
  <si>
    <t>Realpoint 3.74289E+14 Jacobs ajacobslo@linkedin.com Suriname</t>
  </si>
  <si>
    <t>Zoonder 4.02667E+15 Walker swalkerlp@ted.com Luxembourg</t>
  </si>
  <si>
    <t>Skilith 3.53812E+15 Duncan bduncanlq@businessweek.com Tanzania</t>
  </si>
  <si>
    <t>Flipstorm 3.53527E+15 Sullivan csullivanlr@people.com.cn Malaysia</t>
  </si>
  <si>
    <t>Tagcat 3.54884E+15 Cunningham mcunninghamls@cam.ac.uk Congo, Republic of</t>
  </si>
  <si>
    <t>Zooveo 3.68914E+13 Sanders rsanderslt@yellowpages.com Palestinian Territory, Occupied</t>
  </si>
  <si>
    <t>Camido 4.84499E+15 Rodriguez drodriguezlu@zdnet.com Taiwan</t>
  </si>
  <si>
    <t>Zoonoodle 3.52828E+15 Crawford jcrawfordlv@rakuten.co.jp Japan</t>
  </si>
  <si>
    <t>Zava 4.50887E+15 Dixon ddixonlw@tinyurl.com Angola</t>
  </si>
  <si>
    <t>Fivespan 3.5722E+15 Peters apeterslx@wsj.com Congo, Democratic Republic of</t>
  </si>
  <si>
    <t>Browsebug 5.48611E+15 Sims msimsly@nsw.gov.au Taiwan</t>
  </si>
  <si>
    <t>Jabberbean 3.54583E+15 Alvarez lalvarezlz@cnn.com Somalia</t>
  </si>
  <si>
    <t>Wordware 3.55992E+15 Lane vlanem0@cyberchimps.com Romania</t>
  </si>
  <si>
    <t>Dabvine 3.74289E+14 Garcia jgarciam1@discovery.com South Africa</t>
  </si>
  <si>
    <t>Twinte 3.54892E+15 Welch mwelchm2@redcross.org Jordan</t>
  </si>
  <si>
    <t>Katz 5.61098E+15 Ferguson jfergusonm3@freewebs.com Netherlands</t>
  </si>
  <si>
    <t>Zoomcast 6.33111E+17 Smith msmithm4@unicef.org Suriname</t>
  </si>
  <si>
    <t>Katz 4.17501E+15 Fields efieldsm5@rambler.ru Ukraine</t>
  </si>
  <si>
    <t>Quinu 3.53401E+15 Miller jmillerm6@bbc.co.uk Paraguay</t>
  </si>
  <si>
    <t>Brainverse 5.10013E+15 Robinson arobinsonm7@bing.com British Indian Ocean Territory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</si>
</sst>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0">
    <numFmt numFmtId="5" formatCode="&quot;$&quot;#,##0_);\(&quot;$&quot;#,##0\)"/>
    <numFmt numFmtId="6" formatCode="&quot;$&quot;#,##0_);[Red]\(&quot;$&quot;#,##0\)"/>
    <numFmt numFmtId="7" formatCode="&quot;$&quot;#,##0.00_);\(&quot;$&quot;#,##0.00\)"/>
    <numFmt numFmtId="8" formatCode="&quot;$&quot;#,##0.00_);[Red]\(&quot;$&quot;#,##0.00\)"/>
    <numFmt numFmtId="43" formatCode="_(* #,##0.00_);_(* \(#,##0.00\);_(* &quot;-&quot;??_);_(@_)"/>
    <numFmt numFmtId="164" formatCode="#,##0.0_);\(#,##0.0\)"/>
    <numFmt numFmtId="165" formatCode="&quot;$&quot;#,##0.0_);\(&quot;$&quot;#,##0.0\)"/>
    <numFmt numFmtId="166" formatCode="0.0%"/>
    <numFmt numFmtId="167" formatCode="m/d/yy;@"/>
    <numFmt numFmtId="168" formatCode="mm/dd/yy;@"/>
    <numFmt numFmtId="169" formatCode="#,##0_);\(#,##0\);@_)"/>
    <numFmt numFmtId="170" formatCode="&quot;$&quot;#,##0.00_);\(&quot;$&quot;#,##0.00\);@_)"/>
    <numFmt numFmtId="171" formatCode="0.0%_);\(0.0%\);@_)"/>
    <numFmt numFmtId="172" formatCode="#,##0.00_);\(#,##0\)"/>
    <numFmt numFmtId="173" formatCode="#,##0.0%_);\(#,##0.0%\)"/>
    <numFmt numFmtId="174" formatCode="0.0\ \x"/>
    <numFmt numFmtId="175" formatCode="#,##0.00\ ;\(#,##0.00\)"/>
    <numFmt numFmtId="176" formatCode="&quot;$&quot;#,##0.00\ ;\(&quot;$&quot;#,##0.00\)"/>
    <numFmt numFmtId="177" formatCode="0.0%_);\(0.0%\)"/>
    <numFmt numFmtId="178" formatCode="0.000\ \x&quot;rate&quot;"/>
    <numFmt numFmtId="179" formatCode="#,##0.000_);[Red]\(#,##0.000\)"/>
    <numFmt numFmtId="180" formatCode="0.00_);\(0.00\);0.00"/>
    <numFmt numFmtId="181" formatCode="\C&quot;$&quot;#,##0.00_);[Red]\(&quot;$&quot;#,##0.00\)"/>
    <numFmt numFmtId="182" formatCode="#,##0%_);\(#,##0.0%\)"/>
    <numFmt numFmtId="183" formatCode="_(* #,##0.00000000_);_(* \(#,##0.00000000\);_(* &quot;-&quot;?_);_(@_)"/>
    <numFmt numFmtId="184" formatCode="mmm\-d\-yyyy"/>
    <numFmt numFmtId="185" formatCode="mmm\-yyyy"/>
    <numFmt numFmtId="186" formatCode="yyyy"/>
    <numFmt numFmtId="187" formatCode="0.00\x&quot;rate&quot;"/>
    <numFmt numFmtId="188" formatCode="0.0&quot;  &quot;"/>
    <numFmt numFmtId="189" formatCode="&quot;$&quot;#,##0.0\ ;[Red]\(&quot;$&quot;#,##0\)"/>
    <numFmt numFmtId="190" formatCode="&quot;$&quot;#,##0.000_);[Red]\(&quot;$&quot;#,##0.000\)"/>
    <numFmt numFmtId="191" formatCode="&quot;$&quot;#,##0.00&quot;A&quot;;[Red]\(&quot;$&quot;#,##0.00\)&quot;A&quot;"/>
    <numFmt numFmtId="192" formatCode="#,##0.0\ ;[Red]\(&quot;$&quot;#,##0\)"/>
    <numFmt numFmtId="193" formatCode="&quot;$&quot;#,##0.00&quot;E&quot;;[Red]\(&quot;$&quot;#,##0.00\)&quot;E&quot;"/>
    <numFmt numFmtId="194" formatCode="_([$€-2]* #,##0.00_);_([$€-2]* \(#,##0.00\);_([$€-2]* &quot;-&quot;??_)"/>
    <numFmt numFmtId="195" formatCode="#,##0.00;\(#,##0.00\)"/>
    <numFmt numFmtId="196" formatCode=".%\,\(0.0%%;\t"/>
    <numFmt numFmtId="197" formatCode="#,##0.0_);[Red]\(#,##0.0\)"/>
    <numFmt numFmtId="198" formatCode="0.0%_);[Red]\(0.0%\)"/>
    <numFmt numFmtId="199" formatCode="0.00_);\(0.00\);0.00_)"/>
    <numFmt numFmtId="200" formatCode="#,##0\x"/>
    <numFmt numFmtId="201" formatCode="&quot;TKR&quot;\ 0"/>
    <numFmt numFmtId="202" formatCode=".%\,\(0.%%;\t"/>
    <numFmt numFmtId="203" formatCode="&quot;$&quot;#,###.0\ \ "/>
    <numFmt numFmtId="204" formatCode="#,##0.00\x_);[Red]\(#,##0.00\x\)"/>
    <numFmt numFmtId="205" formatCode="#,##0.000_);\(#,##0.000\)"/>
    <numFmt numFmtId="206" formatCode="#,##0.00\x_);[Red]\(#,##0.00\x\);&quot;--  &quot;"/>
    <numFmt numFmtId="207" formatCode="_(* #,##0.0_);_(* \(#,##0.0\);_(* &quot;-&quot;??_);_(@_)"/>
    <numFmt numFmtId="208" formatCode="0.0\x_);[Red]\(0.0\x\)"/>
    <numFmt numFmtId="209" formatCode="0.0\ "/>
    <numFmt numFmtId="210" formatCode="&quot;$&quot;#,##0.0;\(&quot;$&quot;#,##0.00\)"/>
    <numFmt numFmtId="211" formatCode="#,##0.00%_);\(#,##0.00%\)"/>
    <numFmt numFmtId="212" formatCode="0.00\%;\-0.00\%;0.00\%"/>
    <numFmt numFmtId="213" formatCode="0.0%\ ;\(0.0%\)"/>
    <numFmt numFmtId="214" formatCode="_(&quot;$&quot;* #,##0_);_(&quot;$&quot;* \(#,##0\);_(&quot;$&quot;* &quot;-&quot;??_);_(@_)"/>
    <numFmt numFmtId="215" formatCode="&quot;$&quot;0.00\ "/>
    <numFmt numFmtId="216" formatCode="0.0\ \ \ \ \ "/>
    <numFmt numFmtId="217" formatCode="0.00\x;\-0.00\x;0.00\x"/>
    <numFmt numFmtId="218" formatCode="&quot;$&quot;#,##0.000_);\(&quot;$&quot;#,##0.000\)"/>
    <numFmt numFmtId="219" formatCode="#,##0.0_);\(#,##0.0\);_(* &quot;-&quot;_)"/>
    <numFmt numFmtId="220" formatCode="_(&quot;$&quot;* #,##0.00_);_(&quot;$&quot;* \(#,##0.00\);_(* &quot;-&quot;_);_(@_)"/>
    <numFmt numFmtId="221" formatCode="0.00%_);[Red]\(0.00%\)"/>
    <numFmt numFmtId="222" formatCode="#,##0.0\x_);\(#,##0.0\x\)"/>
    <numFmt numFmtId="223" formatCode="#,##0.00\x_);\(#,##0.00\x\)"/>
    <numFmt numFmtId="224" formatCode="###0&quot;E&quot;_)"/>
    <numFmt numFmtId="225" formatCode="#,##0.0_);\(#,##0.0\);@_)"/>
    <numFmt numFmtId="226" formatCode="0.0\x_);\(0.0\x\);@_)"/>
    <numFmt numFmtId="227" formatCode="&quot;$&quot;#,##0.000000_);\(&quot;$&quot;#,##0.000000\)"/>
    <numFmt numFmtId="228" formatCode="#,##0.0000_);\(#,##0.0000\)"/>
    <numFmt numFmtId="229" formatCode="0\ &quot;years&quot;"/>
    <numFmt numFmtId="230" formatCode="&quot;1.&quot;\ @"/>
    <numFmt numFmtId="231" formatCode="&quot;2.&quot;\ @"/>
    <numFmt numFmtId="232" formatCode="&quot;3.&quot;\ @"/>
    <numFmt numFmtId="233" formatCode="&quot;4.&quot;\ @"/>
    <numFmt numFmtId="234" formatCode="&quot;5.&quot;\ @"/>
    <numFmt numFmtId="235" formatCode="&quot;6.&quot;\ @"/>
    <numFmt numFmtId="236" formatCode="&quot;7.&quot;\ @"/>
    <numFmt numFmtId="237" formatCode="&quot;8.&quot;\ @"/>
    <numFmt numFmtId="238" formatCode="&quot;9.&quot;\ @"/>
    <numFmt numFmtId="239" formatCode="&quot;10.&quot;\ @"/>
    <numFmt numFmtId="240" formatCode="0.000;\-0.0;0\x"/>
    <numFmt numFmtId="241" formatCode="0%_);\(0%\);@_)"/>
    <numFmt numFmtId="242" formatCode="0.00%_);\(0.00%\);@_)"/>
    <numFmt numFmtId="243" formatCode="&quot;Event &quot;\ 0"/>
    <numFmt numFmtId="244" formatCode="_(##,##0.0\x_);\(##,##0.0\x\)"/>
    <numFmt numFmtId="245" formatCode="_(##,##0.0_x_);\(##,##0.0\)_x"/>
    <numFmt numFmtId="246" formatCode="#,##0.00_);\(#,##0.00\);&quot;Balance&quot;"/>
    <numFmt numFmtId="247" formatCode="0\ &quot;days&quot;"/>
    <numFmt numFmtId="248" formatCode="\L\ \+\ 0\ &quot;bps&quot;"/>
  </numFmts>
  <fonts count="90">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rgb="FF1D08FF"/>
      <name val="Calibri"/>
      <family val="2"/>
      <scheme val="minor"/>
    </font>
    <font>
      <b/>
      <sz val="11"/>
      <color indexed="8"/>
      <name val="Calibri"/>
      <family val="2"/>
      <scheme val="minor"/>
    </font>
    <font>
      <sz val="11"/>
      <color indexed="8"/>
      <name val="Calibri"/>
      <family val="2"/>
      <scheme val="minor"/>
    </font>
    <font>
      <u/>
      <sz val="11"/>
      <color theme="1"/>
      <name val="Calibri"/>
      <family val="2"/>
      <scheme val="minor"/>
    </font>
    <font>
      <i/>
      <sz val="11"/>
      <color theme="1"/>
      <name val="Calibri"/>
      <family val="2"/>
      <scheme val="minor"/>
    </font>
    <font>
      <b/>
      <u/>
      <sz val="11"/>
      <color theme="1"/>
      <name val="Calibri"/>
      <family val="2"/>
      <scheme val="minor"/>
    </font>
    <font>
      <sz val="11"/>
      <color rgb="FF0000FF"/>
      <name val="Calibri"/>
      <family val="2"/>
      <scheme val="minor"/>
    </font>
    <font>
      <b/>
      <sz val="14"/>
      <color theme="1"/>
      <name val="Calibri"/>
      <family val="2"/>
      <scheme val="minor"/>
    </font>
    <font>
      <sz val="11"/>
      <name val="Calibri"/>
      <family val="2"/>
      <scheme val="minor"/>
    </font>
    <font>
      <b/>
      <sz val="11"/>
      <color rgb="FF0000FF"/>
      <name val="Calibri"/>
      <family val="2"/>
      <scheme val="minor"/>
    </font>
    <font>
      <sz val="11"/>
      <color rgb="FF000000"/>
      <name val="Calibri"/>
      <family val="2"/>
      <scheme val="minor"/>
    </font>
    <font>
      <sz val="17"/>
      <color theme="1"/>
      <name val="Calibri"/>
      <family val="2"/>
      <scheme val="minor"/>
    </font>
    <font>
      <i/>
      <sz val="11"/>
      <color rgb="FF0000FF"/>
      <name val="Calibri"/>
      <family val="2"/>
      <scheme val="minor"/>
    </font>
    <font>
      <i/>
      <sz val="11"/>
      <color rgb="FF000000"/>
      <name val="Calibri"/>
      <family val="2"/>
      <scheme val="minor"/>
    </font>
    <font>
      <b/>
      <i/>
      <sz val="11"/>
      <color theme="1"/>
      <name val="Calibri"/>
      <family val="2"/>
      <scheme val="minor"/>
    </font>
    <font>
      <sz val="10"/>
      <name val="GillSans"/>
    </font>
    <font>
      <sz val="8"/>
      <color indexed="49"/>
      <name val="Times New Roman"/>
      <family val="1"/>
    </font>
    <font>
      <sz val="10"/>
      <name val="Arial"/>
      <family val="2"/>
    </font>
    <font>
      <sz val="10"/>
      <name val="Trebuchet MS"/>
      <family val="2"/>
    </font>
    <font>
      <sz val="11"/>
      <color indexed="8"/>
      <name val="Calibri"/>
      <family val="2"/>
    </font>
    <font>
      <sz val="11"/>
      <color indexed="9"/>
      <name val="Calibri"/>
      <family val="2"/>
    </font>
    <font>
      <sz val="11"/>
      <color indexed="20"/>
      <name val="Calibri"/>
      <family val="2"/>
    </font>
    <font>
      <sz val="8"/>
      <name val="Times New Roman"/>
      <family val="1"/>
    </font>
    <font>
      <sz val="10"/>
      <name val="Times New Roman"/>
      <family val="1"/>
    </font>
    <font>
      <b/>
      <sz val="18"/>
      <name val="Tms Rmn"/>
    </font>
    <font>
      <b/>
      <sz val="11"/>
      <color indexed="52"/>
      <name val="Calibri"/>
      <family val="2"/>
    </font>
    <font>
      <b/>
      <sz val="11"/>
      <color indexed="9"/>
      <name val="Calibri"/>
      <family val="2"/>
    </font>
    <font>
      <b/>
      <sz val="7"/>
      <name val="GillSans"/>
    </font>
    <font>
      <sz val="10"/>
      <name val="Geneva"/>
    </font>
    <font>
      <sz val="24"/>
      <name val="Arial"/>
      <family val="2"/>
    </font>
    <font>
      <sz val="8"/>
      <name val="Arial"/>
      <family val="2"/>
    </font>
    <font>
      <sz val="10"/>
      <name val="Helvetica"/>
      <family val="2"/>
    </font>
    <font>
      <b/>
      <sz val="8"/>
      <name val="Arial"/>
      <family val="2"/>
    </font>
    <font>
      <b/>
      <sz val="8"/>
      <name val="Times New Roman"/>
      <family val="1"/>
    </font>
    <font>
      <i/>
      <sz val="11"/>
      <color indexed="23"/>
      <name val="Calibri"/>
      <family val="2"/>
    </font>
    <font>
      <sz val="11"/>
      <color indexed="17"/>
      <name val="Calibri"/>
      <family val="2"/>
    </font>
    <font>
      <i/>
      <sz val="8"/>
      <color indexed="17"/>
      <name val="Times New Roman"/>
      <family val="1"/>
    </font>
    <font>
      <sz val="8"/>
      <color indexed="21"/>
      <name val="Arial"/>
      <family val="2"/>
    </font>
    <font>
      <b/>
      <sz val="15"/>
      <color indexed="56"/>
      <name val="Calibri"/>
      <family val="2"/>
    </font>
    <font>
      <b/>
      <sz val="13"/>
      <color indexed="56"/>
      <name val="Calibri"/>
      <family val="2"/>
    </font>
    <font>
      <b/>
      <sz val="11"/>
      <color indexed="56"/>
      <name val="Calibri"/>
      <family val="2"/>
    </font>
    <font>
      <sz val="10"/>
      <color indexed="12"/>
      <name val="Trebuchet MS"/>
      <family val="2"/>
    </font>
    <font>
      <sz val="10"/>
      <name val="MS Sans Serif"/>
      <family val="2"/>
    </font>
    <font>
      <sz val="11"/>
      <color indexed="62"/>
      <name val="Calibri"/>
      <family val="2"/>
    </font>
    <font>
      <b/>
      <sz val="10"/>
      <color indexed="9"/>
      <name val="Tms Rmn"/>
    </font>
    <font>
      <b/>
      <sz val="10"/>
      <name val="Arial"/>
      <family val="2"/>
    </font>
    <font>
      <sz val="11"/>
      <color indexed="52"/>
      <name val="Calibri"/>
      <family val="2"/>
    </font>
    <font>
      <sz val="8"/>
      <color indexed="18"/>
      <name val="Times New Roman"/>
      <family val="1"/>
    </font>
    <font>
      <sz val="11"/>
      <color indexed="60"/>
      <name val="Calibri"/>
      <family val="2"/>
    </font>
    <font>
      <b/>
      <sz val="11"/>
      <color indexed="63"/>
      <name val="Calibri"/>
      <family val="2"/>
    </font>
    <font>
      <sz val="10"/>
      <name val="Palatino"/>
    </font>
    <font>
      <sz val="12"/>
      <name val="Baskerville MT"/>
    </font>
    <font>
      <u/>
      <sz val="10"/>
      <name val="GillSans"/>
      <family val="2"/>
    </font>
    <font>
      <sz val="10"/>
      <name val="GillSans Light"/>
    </font>
    <font>
      <b/>
      <sz val="12"/>
      <name val="Arial"/>
      <family val="2"/>
    </font>
    <font>
      <b/>
      <sz val="16"/>
      <name val="Arial"/>
      <family val="2"/>
    </font>
    <font>
      <sz val="8"/>
      <name val="MS Sans Serif"/>
      <family val="2"/>
    </font>
    <font>
      <sz val="8.25"/>
      <color indexed="8"/>
      <name val="Arial"/>
      <family val="2"/>
    </font>
    <font>
      <b/>
      <u val="singleAccounting"/>
      <sz val="8"/>
      <color indexed="8"/>
      <name val="Arial"/>
      <family val="2"/>
    </font>
    <font>
      <sz val="8"/>
      <color indexed="8"/>
      <name val="Arial"/>
      <family val="2"/>
    </font>
    <font>
      <sz val="8"/>
      <color indexed="39"/>
      <name val="Arial"/>
      <family val="2"/>
    </font>
    <font>
      <sz val="7"/>
      <name val="Times New Roman"/>
      <family val="1"/>
    </font>
    <font>
      <sz val="7"/>
      <color indexed="17"/>
      <name val="Times New Roman"/>
      <family val="1"/>
    </font>
    <font>
      <sz val="7"/>
      <color indexed="18"/>
      <name val="Times New Roman"/>
      <family val="1"/>
    </font>
    <font>
      <b/>
      <sz val="12"/>
      <name val="GillSans"/>
      <family val="2"/>
    </font>
    <font>
      <b/>
      <sz val="18"/>
      <color indexed="56"/>
      <name val="Cambria"/>
      <family val="2"/>
    </font>
    <font>
      <b/>
      <sz val="11"/>
      <name val="GillSans"/>
    </font>
    <font>
      <b/>
      <sz val="8"/>
      <color indexed="18"/>
      <name val="Times New Roman"/>
      <family val="1"/>
    </font>
    <font>
      <i/>
      <sz val="8"/>
      <name val="Times New Roman"/>
      <family val="1"/>
    </font>
    <font>
      <u/>
      <sz val="11"/>
      <name val="GillSans"/>
      <family val="2"/>
    </font>
    <font>
      <b/>
      <sz val="11"/>
      <color indexed="8"/>
      <name val="Calibri"/>
      <family val="2"/>
    </font>
    <font>
      <sz val="11"/>
      <color indexed="10"/>
      <name val="Calibri"/>
      <family val="2"/>
    </font>
    <font>
      <b/>
      <sz val="13"/>
      <color theme="1"/>
      <name val="Calibri"/>
      <family val="2"/>
      <scheme val="minor"/>
    </font>
    <font>
      <sz val="9"/>
      <color theme="1"/>
      <name val="Calibri"/>
      <family val="2"/>
      <scheme val="minor"/>
    </font>
    <font>
      <b/>
      <sz val="17"/>
      <color theme="1"/>
      <name val="Calibri"/>
      <family val="2"/>
      <scheme val="minor"/>
    </font>
    <font>
      <b/>
      <u/>
      <sz val="13"/>
      <color theme="1"/>
      <name val="Calibri"/>
      <family val="2"/>
      <scheme val="minor"/>
    </font>
    <font>
      <b/>
      <u/>
      <sz val="12"/>
      <color theme="1"/>
      <name val="Calibri"/>
      <family val="2"/>
      <scheme val="minor"/>
    </font>
    <font>
      <sz val="9"/>
      <color rgb="FF000000"/>
      <name val="Verdana"/>
      <family val="2"/>
    </font>
    <font>
      <u/>
      <sz val="9"/>
      <color rgb="FF000000"/>
      <name val="Verdana"/>
      <family val="2"/>
    </font>
    <font>
      <sz val="10"/>
      <color theme="1"/>
      <name val="Arial"/>
      <family val="2"/>
    </font>
    <font>
      <b/>
      <sz val="19"/>
      <color theme="1"/>
      <name val="Calibri"/>
      <family val="2"/>
      <scheme val="minor"/>
    </font>
    <font>
      <b/>
      <sz val="11"/>
      <color rgb="FFC00000"/>
      <name val="Calibri"/>
      <family val="2"/>
      <scheme val="minor"/>
    </font>
    <font>
      <sz val="11"/>
      <color rgb="FF008000"/>
      <name val="Calibri"/>
      <family val="2"/>
      <scheme val="minor"/>
    </font>
    <font>
      <sz val="10"/>
      <color rgb="FF000000"/>
      <name val="Arial Unicode MS"/>
      <family val="2"/>
    </font>
    <font>
      <b/>
      <sz val="10"/>
      <color rgb="FF000000"/>
      <name val="Arial Unicode MS"/>
      <family val="2"/>
    </font>
    <font>
      <sz val="11"/>
      <color rgb="FF0070C0"/>
      <name val="Calibri"/>
      <family val="2"/>
      <scheme val="minor"/>
    </font>
  </fonts>
  <fills count="34">
    <fill>
      <patternFill patternType="none"/>
    </fill>
    <fill>
      <patternFill patternType="gray125"/>
    </fill>
    <fill>
      <patternFill patternType="solid">
        <fgColor rgb="FFFFFF99"/>
        <bgColor indexed="64"/>
      </patternFill>
    </fill>
    <fill>
      <patternFill patternType="solid">
        <fgColor rgb="FFC0C0C0"/>
        <bgColor indexed="64"/>
      </patternFill>
    </fill>
    <fill>
      <patternFill patternType="solid">
        <fgColor rgb="FFFFFF00"/>
        <bgColor indexed="64"/>
      </patternFill>
    </fill>
    <fill>
      <patternFill patternType="solid">
        <fgColor indexed="2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indexed="15"/>
        <bgColor indexed="64"/>
      </patternFill>
    </fill>
    <fill>
      <patternFill patternType="solid">
        <fgColor indexed="43"/>
      </patternFill>
    </fill>
    <fill>
      <patternFill patternType="solid">
        <fgColor indexed="8"/>
        <bgColor indexed="64"/>
      </patternFill>
    </fill>
    <fill>
      <patternFill patternType="solid">
        <fgColor indexed="13"/>
        <bgColor indexed="64"/>
      </patternFill>
    </fill>
    <fill>
      <patternFill patternType="solid">
        <fgColor indexed="26"/>
      </patternFill>
    </fill>
    <fill>
      <patternFill patternType="solid">
        <fgColor indexed="61"/>
        <bgColor indexed="64"/>
      </patternFill>
    </fill>
  </fills>
  <borders count="56">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indexed="64"/>
      </bottom>
      <diagonal/>
    </border>
    <border>
      <left/>
      <right style="thin">
        <color rgb="FF000000"/>
      </right>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style="thin">
        <color indexed="64"/>
      </right>
      <top/>
      <bottom/>
      <diagonal/>
    </border>
    <border>
      <left style="thin">
        <color rgb="FF000000"/>
      </left>
      <right/>
      <top style="medium">
        <color rgb="FF000000"/>
      </top>
      <bottom/>
      <diagonal/>
    </border>
    <border>
      <left style="thin">
        <color rgb="FF000000"/>
      </left>
      <right/>
      <top/>
      <bottom style="thin">
        <color indexed="64"/>
      </bottom>
      <diagonal/>
    </border>
    <border>
      <left style="thin">
        <color indexed="23"/>
      </left>
      <right style="thin">
        <color indexed="23"/>
      </right>
      <top style="thin">
        <color indexed="23"/>
      </top>
      <bottom style="thin">
        <color indexed="23"/>
      </bottom>
      <diagonal/>
    </border>
    <border>
      <left/>
      <right/>
      <top/>
      <bottom style="double">
        <color indexed="64"/>
      </bottom>
      <diagonal/>
    </border>
    <border>
      <left style="double">
        <color indexed="63"/>
      </left>
      <right style="double">
        <color indexed="63"/>
      </right>
      <top style="double">
        <color indexed="63"/>
      </top>
      <bottom style="double">
        <color indexed="63"/>
      </bottom>
      <diagonal/>
    </border>
    <border>
      <left style="thin">
        <color indexed="9"/>
      </left>
      <right style="thin">
        <color indexed="9"/>
      </right>
      <top/>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style="thin">
        <color indexed="64"/>
      </right>
      <top style="thin">
        <color indexed="64"/>
      </top>
      <bottom/>
      <diagonal/>
    </border>
    <border>
      <left/>
      <right/>
      <top/>
      <bottom style="thick">
        <color indexed="64"/>
      </bottom>
      <diagonal/>
    </border>
    <border>
      <left/>
      <right/>
      <top style="thin">
        <color indexed="62"/>
      </top>
      <bottom style="double">
        <color indexed="62"/>
      </bottom>
      <diagonal/>
    </border>
    <border>
      <left style="thin">
        <color rgb="FF000000"/>
      </left>
      <right style="thin">
        <color indexed="64"/>
      </right>
      <top style="thin">
        <color rgb="FF000000"/>
      </top>
      <bottom style="thin">
        <color indexed="64"/>
      </bottom>
      <diagonal/>
    </border>
    <border>
      <left style="thin">
        <color rgb="FF000000"/>
      </left>
      <right style="thin">
        <color indexed="64"/>
      </right>
      <top style="thin">
        <color indexed="64"/>
      </top>
      <bottom/>
      <diagonal/>
    </border>
    <border>
      <left style="thin">
        <color rgb="FF000000"/>
      </left>
      <right style="thin">
        <color rgb="FF000000"/>
      </right>
      <top style="thin">
        <color indexed="64"/>
      </top>
      <bottom style="thin">
        <color rgb="FF000000"/>
      </bottom>
      <diagonal/>
    </border>
    <border>
      <left/>
      <right/>
      <top style="medium">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right style="medium">
        <color rgb="FF000000"/>
      </right>
      <top/>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s>
  <cellStyleXfs count="201">
    <xf numFmtId="0" fontId="0" fillId="0" borderId="0"/>
    <xf numFmtId="43" fontId="1" fillId="0" borderId="0" applyFont="0" applyFill="0" applyBorder="0" applyAlignment="0" applyProtection="0"/>
    <xf numFmtId="0" fontId="19" fillId="0" borderId="0"/>
    <xf numFmtId="172" fontId="19" fillId="0" borderId="0">
      <alignment horizontal="right"/>
    </xf>
    <xf numFmtId="173" fontId="19" fillId="5" borderId="0"/>
    <xf numFmtId="174" fontId="19" fillId="5" borderId="0"/>
    <xf numFmtId="175" fontId="19" fillId="5" borderId="0"/>
    <xf numFmtId="176" fontId="19" fillId="5" borderId="0">
      <alignment horizontal="right"/>
    </xf>
    <xf numFmtId="177" fontId="20" fillId="0" borderId="0" applyFont="0" applyFill="0" applyBorder="0" applyAlignment="0" applyProtection="0"/>
    <xf numFmtId="0" fontId="21" fillId="0" borderId="0" applyNumberFormat="0" applyFont="0" applyFill="0" applyBorder="0" applyAlignment="0" applyProtection="0"/>
    <xf numFmtId="178" fontId="22" fillId="0" borderId="0"/>
    <xf numFmtId="0" fontId="23" fillId="6" borderId="0" applyNumberFormat="0" applyBorder="0" applyAlignment="0" applyProtection="0"/>
    <xf numFmtId="0" fontId="23" fillId="7" borderId="0" applyNumberFormat="0" applyBorder="0" applyAlignment="0" applyProtection="0"/>
    <xf numFmtId="0" fontId="23" fillId="8" borderId="0" applyNumberFormat="0" applyBorder="0" applyAlignment="0" applyProtection="0"/>
    <xf numFmtId="0" fontId="23" fillId="9" borderId="0" applyNumberFormat="0" applyBorder="0" applyAlignment="0" applyProtection="0"/>
    <xf numFmtId="0" fontId="23" fillId="10"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3" borderId="0" applyNumberFormat="0" applyBorder="0" applyAlignment="0" applyProtection="0"/>
    <xf numFmtId="0" fontId="23" fillId="14" borderId="0" applyNumberFormat="0" applyBorder="0" applyAlignment="0" applyProtection="0"/>
    <xf numFmtId="0" fontId="23" fillId="9" borderId="0" applyNumberFormat="0" applyBorder="0" applyAlignment="0" applyProtection="0"/>
    <xf numFmtId="0" fontId="23" fillId="12" borderId="0" applyNumberFormat="0" applyBorder="0" applyAlignment="0" applyProtection="0"/>
    <xf numFmtId="0" fontId="23" fillId="15" borderId="0" applyNumberFormat="0" applyBorder="0" applyAlignment="0" applyProtection="0"/>
    <xf numFmtId="0" fontId="24" fillId="16" borderId="0" applyNumberFormat="0" applyBorder="0" applyAlignment="0" applyProtection="0"/>
    <xf numFmtId="0" fontId="24" fillId="13" borderId="0" applyNumberFormat="0" applyBorder="0" applyAlignment="0" applyProtection="0"/>
    <xf numFmtId="0" fontId="24" fillId="14"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19" borderId="0" applyNumberFormat="0" applyBorder="0" applyAlignment="0" applyProtection="0"/>
    <xf numFmtId="0" fontId="24" fillId="20" borderId="0" applyNumberFormat="0" applyBorder="0" applyAlignment="0" applyProtection="0"/>
    <xf numFmtId="0" fontId="24" fillId="21" borderId="0" applyNumberFormat="0" applyBorder="0" applyAlignment="0" applyProtection="0"/>
    <xf numFmtId="0" fontId="24" fillId="22" borderId="0" applyNumberFormat="0" applyBorder="0" applyAlignment="0" applyProtection="0"/>
    <xf numFmtId="0" fontId="24" fillId="17" borderId="0" applyNumberFormat="0" applyBorder="0" applyAlignment="0" applyProtection="0"/>
    <xf numFmtId="0" fontId="24" fillId="18" borderId="0" applyNumberFormat="0" applyBorder="0" applyAlignment="0" applyProtection="0"/>
    <xf numFmtId="0" fontId="24" fillId="23" borderId="0" applyNumberFormat="0" applyBorder="0" applyAlignment="0" applyProtection="0"/>
    <xf numFmtId="0" fontId="22" fillId="0" borderId="0"/>
    <xf numFmtId="0" fontId="25" fillId="7" borderId="0" applyNumberFormat="0" applyBorder="0" applyAlignment="0" applyProtection="0"/>
    <xf numFmtId="179" fontId="26" fillId="0" borderId="0" applyFont="0" applyFill="0" applyBorder="0" applyAlignment="0" applyProtection="0"/>
    <xf numFmtId="38" fontId="26" fillId="0" borderId="0" applyFill="0" applyBorder="0" applyAlignment="0" applyProtection="0">
      <protection locked="0"/>
    </xf>
    <xf numFmtId="0" fontId="27" fillId="0" borderId="0"/>
    <xf numFmtId="37" fontId="28" fillId="0" borderId="0">
      <alignment horizontal="centerContinuous"/>
    </xf>
    <xf numFmtId="0" fontId="29" fillId="24" borderId="25" applyNumberFormat="0" applyAlignment="0" applyProtection="0"/>
    <xf numFmtId="179" fontId="26" fillId="0" borderId="0" applyFont="0" applyFill="0" applyBorder="0" applyAlignment="0" applyProtection="0">
      <protection locked="0"/>
    </xf>
    <xf numFmtId="179" fontId="26" fillId="0" borderId="26" applyFont="0" applyFill="0" applyAlignment="0" applyProtection="0"/>
    <xf numFmtId="0" fontId="30" fillId="25" borderId="27" applyNumberFormat="0" applyAlignment="0" applyProtection="0"/>
    <xf numFmtId="0" fontId="21" fillId="0" borderId="0">
      <alignment horizontal="center" wrapText="1"/>
      <protection hidden="1"/>
    </xf>
    <xf numFmtId="0" fontId="31" fillId="0" borderId="10" applyNumberFormat="0" applyFill="0" applyBorder="0" applyProtection="0">
      <alignment horizontal="left" vertical="center"/>
    </xf>
    <xf numFmtId="0" fontId="31" fillId="0" borderId="10" applyNumberFormat="0" applyFill="0" applyBorder="0" applyProtection="0">
      <alignment horizontal="right" vertical="center"/>
    </xf>
    <xf numFmtId="43" fontId="21" fillId="0" borderId="0" applyFont="0" applyFill="0" applyBorder="0" applyAlignment="0" applyProtection="0"/>
    <xf numFmtId="37" fontId="32" fillId="0" borderId="0" applyFont="0" applyFill="0" applyBorder="0" applyAlignment="0" applyProtection="0"/>
    <xf numFmtId="39" fontId="32" fillId="0" borderId="0" applyFont="0" applyFill="0" applyBorder="0" applyAlignment="0" applyProtection="0"/>
    <xf numFmtId="0" fontId="33" fillId="26" borderId="0">
      <alignment horizontal="center" vertical="center" wrapText="1"/>
    </xf>
    <xf numFmtId="180" fontId="21" fillId="0" borderId="0" applyFill="0" applyBorder="0">
      <alignment horizontal="right"/>
      <protection locked="0"/>
    </xf>
    <xf numFmtId="0" fontId="34" fillId="0" borderId="0" applyFont="0" applyFill="0" applyBorder="0" applyAlignment="0"/>
    <xf numFmtId="7" fontId="35" fillId="0" borderId="0" applyFont="0" applyFill="0" applyBorder="0" applyAlignment="0" applyProtection="0"/>
    <xf numFmtId="5" fontId="32" fillId="0" borderId="0" applyFont="0" applyFill="0" applyBorder="0" applyAlignment="0" applyProtection="0"/>
    <xf numFmtId="181" fontId="22" fillId="0" borderId="0" applyFill="0" applyBorder="0" applyProtection="0">
      <alignment horizontal="right"/>
    </xf>
    <xf numFmtId="182" fontId="19" fillId="5" borderId="22">
      <alignment horizontal="right"/>
    </xf>
    <xf numFmtId="183" fontId="19" fillId="5" borderId="22">
      <alignment horizontal="right"/>
    </xf>
    <xf numFmtId="182" fontId="19" fillId="5" borderId="22">
      <alignment horizontal="right"/>
    </xf>
    <xf numFmtId="15" fontId="36" fillId="0" borderId="0" applyFill="0" applyBorder="0" applyAlignment="0"/>
    <xf numFmtId="184" fontId="34" fillId="27" borderId="0" applyFont="0" applyFill="0" applyBorder="0" applyAlignment="0" applyProtection="0"/>
    <xf numFmtId="185" fontId="36" fillId="0" borderId="10"/>
    <xf numFmtId="14" fontId="37" fillId="0" borderId="0" applyFont="0" applyFill="0" applyBorder="0" applyAlignment="0" applyProtection="0">
      <alignment horizontal="center"/>
    </xf>
    <xf numFmtId="186" fontId="37" fillId="0" borderId="0" applyFont="0" applyFill="0" applyBorder="0" applyAlignment="0" applyProtection="0">
      <alignment horizontal="center"/>
    </xf>
    <xf numFmtId="187" fontId="22" fillId="0" borderId="0" applyFont="0" applyFill="0" applyBorder="0" applyAlignment="0" applyProtection="0"/>
    <xf numFmtId="8" fontId="26" fillId="0" borderId="0" applyFont="0" applyFill="0" applyBorder="0" applyAlignment="0" applyProtection="0"/>
    <xf numFmtId="6" fontId="26" fillId="0" borderId="0" applyFont="0" applyFill="0" applyBorder="0" applyAlignment="0" applyProtection="0">
      <alignment horizontal="right"/>
    </xf>
    <xf numFmtId="6" fontId="26" fillId="0" borderId="0" applyFont="0" applyFill="0" applyBorder="0" applyAlignment="0" applyProtection="0"/>
    <xf numFmtId="39" fontId="19" fillId="28" borderId="0"/>
    <xf numFmtId="7" fontId="19" fillId="28" borderId="0" applyBorder="0"/>
    <xf numFmtId="188" fontId="19" fillId="28" borderId="0"/>
    <xf numFmtId="189" fontId="19" fillId="0" borderId="0"/>
    <xf numFmtId="190" fontId="19" fillId="28" borderId="0"/>
    <xf numFmtId="191" fontId="27" fillId="0" borderId="0" applyFont="0" applyFill="0" applyBorder="0" applyProtection="0">
      <alignment horizontal="left"/>
      <protection locked="0"/>
    </xf>
    <xf numFmtId="192" fontId="19" fillId="0" borderId="0"/>
    <xf numFmtId="193" fontId="27" fillId="0" borderId="0" applyFont="0" applyFill="0" applyBorder="0" applyProtection="0">
      <alignment horizontal="left"/>
      <protection locked="0"/>
    </xf>
    <xf numFmtId="194" fontId="21" fillId="0" borderId="0" applyFont="0" applyFill="0" applyBorder="0" applyAlignment="0" applyProtection="0"/>
    <xf numFmtId="0" fontId="38" fillId="0" borderId="0" applyNumberFormat="0" applyFill="0" applyBorder="0" applyAlignment="0" applyProtection="0"/>
    <xf numFmtId="177" fontId="19" fillId="0" borderId="28"/>
    <xf numFmtId="195" fontId="19" fillId="5" borderId="22">
      <alignment horizontal="right"/>
    </xf>
    <xf numFmtId="196" fontId="19" fillId="5" borderId="22">
      <alignment horizontal="right"/>
    </xf>
    <xf numFmtId="195" fontId="19" fillId="5" borderId="22">
      <alignment horizontal="right"/>
    </xf>
    <xf numFmtId="197" fontId="26" fillId="0" borderId="0" applyFill="0" applyBorder="0" applyAlignment="0" applyProtection="0">
      <protection locked="0"/>
    </xf>
    <xf numFmtId="0" fontId="39" fillId="8" borderId="0" applyNumberFormat="0" applyBorder="0" applyAlignment="0" applyProtection="0"/>
    <xf numFmtId="198" fontId="40" fillId="0" borderId="0" applyFill="0" applyBorder="0" applyAlignment="0" applyProtection="0"/>
    <xf numFmtId="177" fontId="41" fillId="0" borderId="0" applyAlignment="0">
      <alignment horizontal="left"/>
      <protection locked="0"/>
    </xf>
    <xf numFmtId="197" fontId="22" fillId="29" borderId="9" applyNumberFormat="0" applyFont="0" applyAlignment="0" applyProtection="0"/>
    <xf numFmtId="0" fontId="42" fillId="0" borderId="29" applyNumberFormat="0" applyFill="0" applyAlignment="0" applyProtection="0"/>
    <xf numFmtId="0" fontId="43" fillId="0" borderId="30" applyNumberFormat="0" applyFill="0" applyAlignment="0" applyProtection="0"/>
    <xf numFmtId="0" fontId="44" fillId="0" borderId="31" applyNumberFormat="0" applyFill="0" applyAlignment="0" applyProtection="0"/>
    <xf numFmtId="0" fontId="44" fillId="0" borderId="0" applyNumberFormat="0" applyFill="0" applyBorder="0" applyAlignment="0" applyProtection="0"/>
    <xf numFmtId="197" fontId="45" fillId="0" borderId="0" applyNumberFormat="0" applyFill="0" applyBorder="0" applyAlignment="0" applyProtection="0"/>
    <xf numFmtId="0" fontId="46" fillId="0" borderId="0"/>
    <xf numFmtId="179" fontId="26" fillId="0" borderId="0" applyFont="0" applyFill="0" applyBorder="0" applyAlignment="0" applyProtection="0"/>
    <xf numFmtId="38" fontId="26" fillId="0" borderId="0" applyFill="0" applyBorder="0" applyAlignment="0" applyProtection="0">
      <alignment horizontal="right"/>
      <protection locked="0"/>
    </xf>
    <xf numFmtId="0" fontId="47" fillId="11" borderId="25" applyNumberFormat="0" applyAlignment="0" applyProtection="0"/>
    <xf numFmtId="0" fontId="34" fillId="27" borderId="0" applyFont="0" applyBorder="0" applyAlignment="0">
      <protection locked="0"/>
    </xf>
    <xf numFmtId="0" fontId="21" fillId="0" borderId="0" applyFill="0" applyBorder="0">
      <alignment horizontal="right"/>
      <protection locked="0"/>
    </xf>
    <xf numFmtId="17" fontId="48" fillId="30" borderId="0"/>
    <xf numFmtId="199" fontId="21" fillId="0" borderId="0" applyFill="0" applyBorder="0">
      <alignment horizontal="right"/>
      <protection locked="0"/>
    </xf>
    <xf numFmtId="0" fontId="49" fillId="31" borderId="32">
      <alignment horizontal="left" vertical="center" wrapText="1"/>
    </xf>
    <xf numFmtId="0" fontId="50" fillId="0" borderId="33" applyNumberFormat="0" applyFill="0" applyAlignment="0" applyProtection="0"/>
    <xf numFmtId="166" fontId="26" fillId="0" borderId="0" applyFont="0" applyFill="0" applyBorder="0" applyAlignment="0" applyProtection="0">
      <alignment horizontal="right"/>
    </xf>
    <xf numFmtId="200" fontId="19" fillId="0" borderId="0">
      <alignment horizontal="right"/>
    </xf>
    <xf numFmtId="201" fontId="19" fillId="28" borderId="0">
      <alignment horizontal="right"/>
    </xf>
    <xf numFmtId="202" fontId="19" fillId="0" borderId="0">
      <alignment horizontal="right"/>
    </xf>
    <xf numFmtId="200" fontId="19" fillId="0" borderId="0">
      <alignment horizontal="right"/>
    </xf>
    <xf numFmtId="177" fontId="51" fillId="0" borderId="0" applyFill="0" applyBorder="0" applyAlignment="0" applyProtection="0">
      <alignment horizontal="right"/>
    </xf>
    <xf numFmtId="177" fontId="51" fillId="0" borderId="0" applyFill="0" applyBorder="0" applyAlignment="0" applyProtection="0"/>
    <xf numFmtId="203" fontId="19" fillId="5" borderId="22">
      <alignment horizontal="right"/>
    </xf>
    <xf numFmtId="204" fontId="26" fillId="0" borderId="0" applyFont="0" applyFill="0" applyBorder="0" applyAlignment="0" applyProtection="0"/>
    <xf numFmtId="0" fontId="32" fillId="5" borderId="0" applyFont="0" applyBorder="0" applyAlignment="0" applyProtection="0">
      <alignment horizontal="right"/>
      <protection hidden="1"/>
    </xf>
    <xf numFmtId="0" fontId="52" fillId="29" borderId="0" applyNumberFormat="0" applyBorder="0" applyAlignment="0" applyProtection="0"/>
    <xf numFmtId="37" fontId="35" fillId="0" borderId="0" applyFont="0" applyFill="0" applyBorder="0" applyAlignment="0" applyProtection="0"/>
    <xf numFmtId="164" fontId="21" fillId="0" borderId="0" applyFont="0" applyFill="0" applyBorder="0" applyAlignment="0" applyProtection="0"/>
    <xf numFmtId="39" fontId="21" fillId="0" borderId="0" applyFont="0" applyFill="0" applyBorder="0" applyAlignment="0" applyProtection="0"/>
    <xf numFmtId="205" fontId="21" fillId="0" borderId="0" applyFont="0" applyFill="0" applyBorder="0" applyAlignment="0" applyProtection="0"/>
    <xf numFmtId="0" fontId="21" fillId="0" borderId="0"/>
    <xf numFmtId="0" fontId="36" fillId="0" borderId="0" applyNumberFormat="0" applyFill="0" applyBorder="0" applyAlignment="0" applyProtection="0"/>
    <xf numFmtId="0" fontId="34" fillId="0" borderId="0" applyFont="0" applyFill="0" applyBorder="0" applyAlignment="0" applyProtection="0"/>
    <xf numFmtId="206" fontId="34" fillId="0" borderId="0" applyFont="0" applyFill="0" applyBorder="0" applyAlignment="0" applyProtection="0"/>
    <xf numFmtId="0" fontId="23" fillId="32" borderId="34" applyNumberFormat="0" applyFont="0" applyAlignment="0" applyProtection="0"/>
    <xf numFmtId="0" fontId="32" fillId="0" borderId="0" applyFont="0" applyFill="0" applyBorder="0" applyAlignment="0" applyProtection="0"/>
    <xf numFmtId="207" fontId="21" fillId="0" borderId="0" applyFont="0" applyFill="0" applyBorder="0" applyAlignment="0" applyProtection="0"/>
    <xf numFmtId="0" fontId="32" fillId="0" borderId="0" applyFont="0" applyFill="0" applyBorder="0" applyAlignment="0" applyProtection="0"/>
    <xf numFmtId="0" fontId="53" fillId="24" borderId="35" applyNumberFormat="0" applyAlignment="0" applyProtection="0"/>
    <xf numFmtId="208" fontId="26" fillId="0" borderId="0" applyFont="0" applyFill="0" applyBorder="0" applyAlignment="0" applyProtection="0">
      <alignment horizontal="right"/>
    </xf>
    <xf numFmtId="0" fontId="54" fillId="0" borderId="0" applyNumberFormat="0" applyFill="0" applyBorder="0" applyAlignment="0" applyProtection="0"/>
    <xf numFmtId="0" fontId="34" fillId="0" borderId="0"/>
    <xf numFmtId="209" fontId="19" fillId="28" borderId="0"/>
    <xf numFmtId="9" fontId="26" fillId="0" borderId="0" applyFont="0" applyFill="0" applyBorder="0" applyAlignment="0" applyProtection="0">
      <alignment horizontal="right"/>
    </xf>
    <xf numFmtId="210" fontId="19" fillId="0" borderId="0"/>
    <xf numFmtId="0" fontId="21" fillId="0" borderId="0" applyFont="0" applyFill="0" applyBorder="0" applyAlignment="0"/>
    <xf numFmtId="173" fontId="21" fillId="0" borderId="0" applyFont="0" applyFill="0" applyBorder="0" applyAlignment="0" applyProtection="0"/>
    <xf numFmtId="211" fontId="21" fillId="0" borderId="0" applyFont="0" applyFill="0" applyBorder="0" applyAlignment="0" applyProtection="0"/>
    <xf numFmtId="212" fontId="21" fillId="0" borderId="0" applyFill="0" applyBorder="0">
      <alignment horizontal="right"/>
      <protection locked="0"/>
    </xf>
    <xf numFmtId="198" fontId="26" fillId="0" borderId="0" applyFont="0" applyFill="0" applyBorder="0" applyAlignment="0" applyProtection="0"/>
    <xf numFmtId="8" fontId="26" fillId="0" borderId="0" applyFont="0" applyFill="0" applyBorder="0" applyAlignment="0" applyProtection="0"/>
    <xf numFmtId="179" fontId="26" fillId="0" borderId="0" applyFont="0" applyFill="0" applyBorder="0" applyAlignment="0" applyProtection="0">
      <protection locked="0"/>
    </xf>
    <xf numFmtId="197" fontId="26" fillId="0" borderId="0" applyFill="0" applyBorder="0" applyAlignment="0" applyProtection="0"/>
    <xf numFmtId="38" fontId="26" fillId="0" borderId="0" applyFont="0" applyFill="0" applyBorder="0" applyAlignment="0" applyProtection="0"/>
    <xf numFmtId="175" fontId="19" fillId="5" borderId="36">
      <alignment horizontal="right"/>
    </xf>
    <xf numFmtId="213" fontId="55" fillId="5" borderId="0"/>
    <xf numFmtId="214" fontId="19" fillId="5" borderId="0"/>
    <xf numFmtId="0" fontId="56" fillId="0" borderId="0">
      <alignment horizontal="center"/>
    </xf>
    <xf numFmtId="0" fontId="19" fillId="0" borderId="10">
      <alignment horizontal="centerContinuous"/>
    </xf>
    <xf numFmtId="215" fontId="19" fillId="5" borderId="0">
      <alignment horizontal="right"/>
    </xf>
    <xf numFmtId="216" fontId="19" fillId="5" borderId="22">
      <alignment horizontal="right"/>
    </xf>
    <xf numFmtId="217" fontId="21" fillId="0" borderId="0">
      <alignment horizontal="right"/>
      <protection locked="0"/>
    </xf>
    <xf numFmtId="197" fontId="37" fillId="0" borderId="0" applyFont="0" applyFill="0" applyBorder="0" applyAlignment="0" applyProtection="0"/>
    <xf numFmtId="0" fontId="57" fillId="0" borderId="0" applyNumberFormat="0" applyFill="0" applyBorder="0" applyProtection="0">
      <alignment horizontal="right" vertical="center"/>
    </xf>
    <xf numFmtId="0" fontId="58" fillId="26" borderId="9">
      <alignment horizontal="center" vertical="center" wrapText="1"/>
      <protection hidden="1"/>
    </xf>
    <xf numFmtId="179" fontId="26" fillId="0" borderId="0" applyFill="0" applyBorder="0" applyAlignment="0" applyProtection="0">
      <protection locked="0"/>
    </xf>
    <xf numFmtId="218" fontId="37" fillId="0" borderId="0" applyFont="0" applyFill="0" applyBorder="0" applyAlignment="0" applyProtection="0">
      <alignment horizontal="right"/>
    </xf>
    <xf numFmtId="38" fontId="21" fillId="0" borderId="0" applyFont="0" applyFill="0" applyBorder="0" applyAlignment="0" applyProtection="0"/>
    <xf numFmtId="0" fontId="59" fillId="0" borderId="37" applyNumberFormat="0" applyFill="0" applyProtection="0">
      <alignment horizontal="left" vertical="top" wrapText="1"/>
    </xf>
    <xf numFmtId="0" fontId="46" fillId="0" borderId="0" applyNumberFormat="0" applyFill="0" applyBorder="0" applyProtection="0">
      <alignment horizontal="left" vertical="top" wrapText="1"/>
    </xf>
    <xf numFmtId="0" fontId="60" fillId="0" borderId="0" applyNumberFormat="0" applyFill="0" applyProtection="0">
      <alignment horizontal="left" vertical="top" wrapText="1"/>
    </xf>
    <xf numFmtId="0" fontId="61" fillId="0" borderId="0" applyNumberFormat="0" applyFill="0" applyBorder="0" applyProtection="0"/>
    <xf numFmtId="0" fontId="62" fillId="33" borderId="0" applyNumberFormat="0" applyBorder="0" applyProtection="0"/>
    <xf numFmtId="0" fontId="63" fillId="0" borderId="0" applyNumberFormat="0" applyFill="0" applyBorder="0" applyProtection="0">
      <alignment vertical="top"/>
    </xf>
    <xf numFmtId="219" fontId="64" fillId="0" borderId="0" applyFill="0" applyBorder="0" applyProtection="0">
      <alignment horizontal="right" wrapText="1"/>
    </xf>
    <xf numFmtId="220" fontId="64" fillId="0" borderId="0" applyFill="0" applyBorder="0" applyProtection="0">
      <alignment horizontal="right"/>
    </xf>
    <xf numFmtId="4" fontId="34" fillId="0" borderId="0" applyFill="0" applyBorder="0" applyProtection="0">
      <alignment horizontal="right"/>
    </xf>
    <xf numFmtId="190" fontId="65" fillId="0" borderId="0" applyFill="0" applyBorder="0" applyAlignment="0" applyProtection="0"/>
    <xf numFmtId="221" fontId="66" fillId="0" borderId="0" applyFill="0" applyBorder="0" applyAlignment="0" applyProtection="0">
      <alignment horizontal="left"/>
      <protection locked="0"/>
    </xf>
    <xf numFmtId="221" fontId="66" fillId="0" borderId="0" applyFill="0" applyBorder="0" applyAlignment="0" applyProtection="0"/>
    <xf numFmtId="221" fontId="67" fillId="0" borderId="0" applyFill="0" applyBorder="0" applyAlignment="0" applyProtection="0">
      <alignment horizontal="left"/>
      <protection locked="0"/>
    </xf>
    <xf numFmtId="221" fontId="67" fillId="0" borderId="0" applyFill="0" applyBorder="0" applyAlignment="0" applyProtection="0">
      <protection locked="0"/>
    </xf>
    <xf numFmtId="197" fontId="26" fillId="0" borderId="0" applyFill="0" applyBorder="0" applyAlignment="0" applyProtection="0">
      <protection locked="0"/>
    </xf>
    <xf numFmtId="197" fontId="65" fillId="0" borderId="0" applyFill="0" applyBorder="0" applyAlignment="0" applyProtection="0"/>
    <xf numFmtId="49" fontId="68" fillId="0" borderId="0"/>
    <xf numFmtId="222" fontId="21" fillId="0" borderId="0" applyFont="0" applyFill="0" applyBorder="0" applyAlignment="0" applyProtection="0"/>
    <xf numFmtId="223" fontId="21" fillId="0" borderId="0" applyFont="0" applyFill="0" applyBorder="0" applyAlignment="0" applyProtection="0"/>
    <xf numFmtId="0" fontId="69" fillId="0" borderId="0" applyNumberFormat="0" applyFill="0" applyBorder="0" applyAlignment="0" applyProtection="0"/>
    <xf numFmtId="0" fontId="70" fillId="1" borderId="0" applyNumberFormat="0" applyBorder="0" applyProtection="0">
      <alignment horizontal="left" vertical="center"/>
    </xf>
    <xf numFmtId="197" fontId="71" fillId="0" borderId="0" applyNumberFormat="0" applyFill="0" applyBorder="0" applyAlignment="0" applyProtection="0"/>
    <xf numFmtId="0" fontId="21" fillId="0" borderId="0" applyBorder="0"/>
    <xf numFmtId="38" fontId="72" fillId="0" borderId="0" applyFill="0" applyBorder="0" applyAlignment="0" applyProtection="0">
      <alignment horizontal="left"/>
    </xf>
    <xf numFmtId="0" fontId="73" fillId="0" borderId="0"/>
    <xf numFmtId="0" fontId="74" fillId="0" borderId="38" applyNumberFormat="0" applyFill="0" applyAlignment="0" applyProtection="0"/>
    <xf numFmtId="0" fontId="75" fillId="0" borderId="0" applyNumberFormat="0" applyFill="0" applyBorder="0" applyAlignment="0" applyProtection="0"/>
    <xf numFmtId="1" fontId="26" fillId="0" borderId="0" applyFont="0" applyFill="0" applyBorder="0" applyAlignment="0" applyProtection="0"/>
    <xf numFmtId="224" fontId="35" fillId="0" borderId="0" applyFont="0" applyFill="0" applyBorder="0" applyAlignment="0" applyProtection="0"/>
    <xf numFmtId="0" fontId="58" fillId="26" borderId="9">
      <alignment horizontal="center" vertical="center" wrapText="1"/>
      <protection hidden="1"/>
    </xf>
    <xf numFmtId="175" fontId="19" fillId="5" borderId="36">
      <alignment horizontal="right"/>
    </xf>
    <xf numFmtId="0" fontId="29" fillId="24" borderId="25" applyNumberFormat="0" applyAlignment="0" applyProtection="0"/>
    <xf numFmtId="0" fontId="53" fillId="24" borderId="35" applyNumberFormat="0" applyAlignment="0" applyProtection="0"/>
    <xf numFmtId="0" fontId="23" fillId="32" borderId="34" applyNumberFormat="0" applyFont="0" applyAlignment="0" applyProtection="0"/>
    <xf numFmtId="0" fontId="49" fillId="31" borderId="32">
      <alignment horizontal="left" vertical="center" wrapText="1"/>
    </xf>
    <xf numFmtId="0" fontId="47" fillId="11" borderId="25" applyNumberFormat="0" applyAlignment="0" applyProtection="0"/>
    <xf numFmtId="197" fontId="22" fillId="29" borderId="9" applyNumberFormat="0" applyFont="0" applyAlignment="0" applyProtection="0"/>
    <xf numFmtId="0" fontId="47" fillId="11" borderId="25" applyNumberFormat="0" applyAlignment="0" applyProtection="0"/>
    <xf numFmtId="0" fontId="49" fillId="31" borderId="32">
      <alignment horizontal="left" vertical="center" wrapText="1"/>
    </xf>
    <xf numFmtId="0" fontId="23" fillId="32" borderId="34" applyNumberFormat="0" applyFont="0" applyAlignment="0" applyProtection="0"/>
    <xf numFmtId="0" fontId="53" fillId="24" borderId="35" applyNumberFormat="0" applyAlignment="0" applyProtection="0"/>
    <xf numFmtId="0" fontId="29" fillId="24" borderId="25" applyNumberFormat="0" applyAlignment="0" applyProtection="0"/>
    <xf numFmtId="175" fontId="19" fillId="5" borderId="36">
      <alignment horizontal="right"/>
    </xf>
    <xf numFmtId="0" fontId="74" fillId="0" borderId="38" applyNumberFormat="0" applyFill="0" applyAlignment="0" applyProtection="0"/>
    <xf numFmtId="0" fontId="74" fillId="0" borderId="38" applyNumberFormat="0" applyFill="0" applyAlignment="0" applyProtection="0"/>
  </cellStyleXfs>
  <cellXfs count="299">
    <xf numFmtId="0" fontId="0" fillId="0" borderId="0" xfId="0"/>
    <xf numFmtId="0" fontId="3" fillId="0" borderId="0" xfId="0" applyFont="1"/>
    <xf numFmtId="164" fontId="4" fillId="2" borderId="0" xfId="0" applyNumberFormat="1" applyFont="1" applyFill="1"/>
    <xf numFmtId="0" fontId="3" fillId="0" borderId="0" xfId="0" applyFont="1" applyBorder="1"/>
    <xf numFmtId="0" fontId="0" fillId="0" borderId="0" xfId="0" applyBorder="1"/>
    <xf numFmtId="0" fontId="6" fillId="0" borderId="1" xfId="0" applyNumberFormat="1" applyFont="1" applyFill="1" applyBorder="1" applyAlignment="1">
      <alignment horizontal="right"/>
    </xf>
    <xf numFmtId="164" fontId="6" fillId="0" borderId="2" xfId="0" applyNumberFormat="1" applyFont="1" applyFill="1" applyBorder="1" applyAlignment="1">
      <alignment horizontal="right"/>
    </xf>
    <xf numFmtId="0" fontId="6" fillId="0" borderId="3" xfId="0" applyNumberFormat="1" applyFont="1" applyFill="1" applyBorder="1" applyAlignment="1">
      <alignment horizontal="right"/>
    </xf>
    <xf numFmtId="0" fontId="3" fillId="0" borderId="4" xfId="0" applyFont="1" applyBorder="1"/>
    <xf numFmtId="0" fontId="0" fillId="0" borderId="4" xfId="0" applyBorder="1"/>
    <xf numFmtId="0" fontId="3" fillId="0" borderId="5" xfId="0" applyFont="1" applyBorder="1"/>
    <xf numFmtId="0" fontId="0" fillId="0" borderId="5" xfId="0" applyBorder="1"/>
    <xf numFmtId="0" fontId="7" fillId="0" borderId="0" xfId="0" applyFont="1"/>
    <xf numFmtId="165" fontId="4" fillId="0" borderId="0" xfId="0" applyNumberFormat="1" applyFont="1"/>
    <xf numFmtId="164" fontId="4" fillId="0" borderId="0" xfId="0" applyNumberFormat="1" applyFont="1"/>
    <xf numFmtId="7" fontId="0" fillId="0" borderId="0" xfId="0" applyNumberFormat="1"/>
    <xf numFmtId="165" fontId="4" fillId="0" borderId="0" xfId="0" applyNumberFormat="1" applyFont="1" applyAlignment="1">
      <alignment horizontal="right"/>
    </xf>
    <xf numFmtId="164" fontId="4" fillId="0" borderId="0" xfId="0" applyNumberFormat="1" applyFont="1" applyAlignment="1">
      <alignment horizontal="right"/>
    </xf>
    <xf numFmtId="7" fontId="0" fillId="0" borderId="7" xfId="0" applyNumberFormat="1" applyBorder="1" applyAlignment="1">
      <alignment horizontal="right"/>
    </xf>
    <xf numFmtId="7" fontId="0" fillId="0" borderId="8" xfId="0" applyNumberFormat="1" applyBorder="1" applyAlignment="1">
      <alignment horizontal="right"/>
    </xf>
    <xf numFmtId="0" fontId="0" fillId="0" borderId="6" xfId="0" applyNumberFormat="1" applyBorder="1" applyAlignment="1">
      <alignment horizontal="right"/>
    </xf>
    <xf numFmtId="0" fontId="8" fillId="0" borderId="4" xfId="0" applyFont="1" applyFill="1" applyBorder="1"/>
    <xf numFmtId="0" fontId="9" fillId="0" borderId="0" xfId="0" applyFont="1" applyBorder="1"/>
    <xf numFmtId="165" fontId="4" fillId="2" borderId="0" xfId="0" applyNumberFormat="1" applyFont="1" applyFill="1"/>
    <xf numFmtId="165" fontId="0" fillId="0" borderId="9" xfId="0" applyNumberFormat="1" applyBorder="1" applyAlignment="1">
      <alignment horizontal="right"/>
    </xf>
    <xf numFmtId="165" fontId="0" fillId="0" borderId="0" xfId="0" applyNumberFormat="1"/>
    <xf numFmtId="164" fontId="3" fillId="0" borderId="4" xfId="0" applyNumberFormat="1" applyFont="1" applyBorder="1"/>
    <xf numFmtId="165" fontId="0" fillId="0" borderId="0" xfId="0" applyNumberFormat="1" applyBorder="1"/>
    <xf numFmtId="0" fontId="0" fillId="0" borderId="0" xfId="0" applyFont="1" applyFill="1" applyBorder="1"/>
    <xf numFmtId="0" fontId="0" fillId="0" borderId="0" xfId="0" applyFill="1"/>
    <xf numFmtId="0" fontId="0" fillId="0" borderId="0" xfId="0" applyFill="1" applyBorder="1"/>
    <xf numFmtId="0" fontId="0" fillId="0" borderId="10" xfId="0" applyBorder="1"/>
    <xf numFmtId="164" fontId="3" fillId="0" borderId="0" xfId="0" applyNumberFormat="1" applyFont="1"/>
    <xf numFmtId="164" fontId="0" fillId="0" borderId="0" xfId="0" applyNumberFormat="1" applyFont="1"/>
    <xf numFmtId="0" fontId="5" fillId="0" borderId="0" xfId="0" applyNumberFormat="1" applyFont="1" applyFill="1" applyBorder="1" applyAlignment="1"/>
    <xf numFmtId="7" fontId="3" fillId="0" borderId="0" xfId="0" applyNumberFormat="1" applyFont="1" applyFill="1" applyAlignment="1">
      <alignment horizontal="right"/>
    </xf>
    <xf numFmtId="14" fontId="10" fillId="2" borderId="2" xfId="0" applyNumberFormat="1" applyFont="1" applyFill="1" applyBorder="1"/>
    <xf numFmtId="0" fontId="9" fillId="0" borderId="0" xfId="0" applyFont="1"/>
    <xf numFmtId="7" fontId="0" fillId="0" borderId="9" xfId="0" applyNumberFormat="1" applyFill="1" applyBorder="1"/>
    <xf numFmtId="7" fontId="0" fillId="0" borderId="0" xfId="0" applyNumberFormat="1" applyFill="1" applyBorder="1"/>
    <xf numFmtId="168" fontId="4" fillId="2" borderId="11" xfId="0" applyNumberFormat="1" applyFont="1" applyFill="1" applyBorder="1"/>
    <xf numFmtId="168" fontId="0" fillId="0" borderId="10" xfId="0" applyNumberFormat="1" applyFill="1" applyBorder="1"/>
    <xf numFmtId="166" fontId="10" fillId="2" borderId="3" xfId="0" applyNumberFormat="1" applyFont="1" applyFill="1" applyBorder="1"/>
    <xf numFmtId="0" fontId="4" fillId="2" borderId="2" xfId="0" applyFont="1" applyFill="1" applyBorder="1"/>
    <xf numFmtId="0" fontId="3" fillId="0" borderId="0" xfId="0" applyFont="1" applyFill="1" applyBorder="1"/>
    <xf numFmtId="0" fontId="0" fillId="0" borderId="0" xfId="0" applyFont="1"/>
    <xf numFmtId="0" fontId="11" fillId="0" borderId="5" xfId="0" applyFont="1" applyBorder="1"/>
    <xf numFmtId="7" fontId="0" fillId="0" borderId="5" xfId="0" applyNumberFormat="1" applyFill="1" applyBorder="1"/>
    <xf numFmtId="0" fontId="0" fillId="0" borderId="0" xfId="0" quotePrefix="1"/>
    <xf numFmtId="7" fontId="0" fillId="0" borderId="13" xfId="0" applyNumberFormat="1" applyFill="1" applyBorder="1"/>
    <xf numFmtId="7" fontId="0" fillId="0" borderId="14" xfId="0" applyNumberFormat="1" applyFill="1" applyBorder="1"/>
    <xf numFmtId="7" fontId="0" fillId="0" borderId="15" xfId="0" applyNumberFormat="1" applyFill="1" applyBorder="1"/>
    <xf numFmtId="0" fontId="0" fillId="0" borderId="1" xfId="0" applyBorder="1"/>
    <xf numFmtId="0" fontId="0" fillId="0" borderId="2" xfId="0" applyBorder="1"/>
    <xf numFmtId="0" fontId="0" fillId="2" borderId="2" xfId="0" applyFill="1" applyBorder="1"/>
    <xf numFmtId="0" fontId="10" fillId="2" borderId="2" xfId="0" applyFont="1" applyFill="1" applyBorder="1"/>
    <xf numFmtId="0" fontId="0" fillId="0" borderId="0" xfId="0" applyAlignment="1">
      <alignment horizontal="left"/>
    </xf>
    <xf numFmtId="0" fontId="12" fillId="0" borderId="0" xfId="0" quotePrefix="1" applyFont="1"/>
    <xf numFmtId="0" fontId="0" fillId="0" borderId="16" xfId="0" applyBorder="1"/>
    <xf numFmtId="0" fontId="0" fillId="0" borderId="3" xfId="0" applyBorder="1"/>
    <xf numFmtId="14" fontId="0" fillId="0" borderId="10" xfId="0" applyNumberFormat="1" applyBorder="1"/>
    <xf numFmtId="164" fontId="0" fillId="0" borderId="0" xfId="0" applyNumberFormat="1"/>
    <xf numFmtId="7" fontId="3" fillId="0" borderId="0" xfId="0" applyNumberFormat="1" applyFont="1" applyAlignment="1">
      <alignment horizontal="right"/>
    </xf>
    <xf numFmtId="166" fontId="4" fillId="0" borderId="0" xfId="0" applyNumberFormat="1" applyFont="1"/>
    <xf numFmtId="166" fontId="0" fillId="0" borderId="0" xfId="0" applyNumberFormat="1"/>
    <xf numFmtId="166" fontId="12" fillId="0" borderId="0" xfId="0" applyNumberFormat="1" applyFont="1"/>
    <xf numFmtId="7" fontId="3" fillId="0" borderId="0" xfId="0" applyNumberFormat="1" applyFont="1"/>
    <xf numFmtId="0" fontId="0" fillId="0" borderId="0" xfId="0" applyAlignment="1">
      <alignment horizontal="centerContinuous"/>
    </xf>
    <xf numFmtId="0" fontId="10" fillId="0" borderId="0" xfId="0" applyFont="1"/>
    <xf numFmtId="0" fontId="2" fillId="0" borderId="0" xfId="0" applyFont="1"/>
    <xf numFmtId="0" fontId="15" fillId="0" borderId="5" xfId="0" applyFont="1" applyBorder="1"/>
    <xf numFmtId="14" fontId="10" fillId="0" borderId="10" xfId="0" applyNumberFormat="1" applyFont="1" applyBorder="1"/>
    <xf numFmtId="166" fontId="6" fillId="0" borderId="17" xfId="0" applyNumberFormat="1" applyFont="1" applyFill="1" applyBorder="1" applyAlignment="1"/>
    <xf numFmtId="166" fontId="6" fillId="0" borderId="18" xfId="0" applyNumberFormat="1" applyFont="1" applyFill="1" applyBorder="1" applyAlignment="1"/>
    <xf numFmtId="166" fontId="6" fillId="0" borderId="19" xfId="0" applyNumberFormat="1" applyFont="1" applyFill="1" applyBorder="1" applyAlignment="1"/>
    <xf numFmtId="166" fontId="6" fillId="0" borderId="20" xfId="0" applyNumberFormat="1" applyFont="1" applyFill="1" applyBorder="1" applyAlignment="1"/>
    <xf numFmtId="166" fontId="6" fillId="0" borderId="10" xfId="0" applyNumberFormat="1" applyFont="1" applyFill="1" applyBorder="1" applyAlignment="1"/>
    <xf numFmtId="166" fontId="6" fillId="0" borderId="21" xfId="0" applyNumberFormat="1" applyFont="1" applyFill="1" applyBorder="1" applyAlignment="1"/>
    <xf numFmtId="0" fontId="0" fillId="0" borderId="23" xfId="0" applyBorder="1" applyAlignment="1">
      <alignment horizontal="centerContinuous"/>
    </xf>
    <xf numFmtId="14" fontId="0" fillId="0" borderId="24" xfId="0" applyNumberFormat="1" applyBorder="1"/>
    <xf numFmtId="0" fontId="0" fillId="0" borderId="0" xfId="0" applyAlignment="1">
      <alignment horizontal="left" indent="1"/>
    </xf>
    <xf numFmtId="171" fontId="10" fillId="0" borderId="0" xfId="0" applyNumberFormat="1" applyFont="1"/>
    <xf numFmtId="171" fontId="16" fillId="0" borderId="0" xfId="0" applyNumberFormat="1" applyFont="1"/>
    <xf numFmtId="171" fontId="17" fillId="0" borderId="0" xfId="0" applyNumberFormat="1" applyFont="1"/>
    <xf numFmtId="0" fontId="8" fillId="0" borderId="0" xfId="0" applyFont="1" applyBorder="1" applyAlignment="1">
      <alignment horizontal="left" indent="1"/>
    </xf>
    <xf numFmtId="0" fontId="18" fillId="0" borderId="0" xfId="0" applyFont="1" applyBorder="1" applyAlignment="1">
      <alignment horizontal="center"/>
    </xf>
    <xf numFmtId="171" fontId="8" fillId="0" borderId="0" xfId="0" applyNumberFormat="1" applyFont="1"/>
    <xf numFmtId="0" fontId="8" fillId="0" borderId="0" xfId="0" applyFont="1"/>
    <xf numFmtId="0" fontId="0" fillId="0" borderId="4" xfId="0" applyFont="1" applyFill="1" applyBorder="1"/>
    <xf numFmtId="166" fontId="4" fillId="2" borderId="0" xfId="0" applyNumberFormat="1" applyFont="1" applyFill="1" applyBorder="1"/>
    <xf numFmtId="170" fontId="0" fillId="3" borderId="6" xfId="0" applyNumberFormat="1" applyFont="1" applyFill="1" applyBorder="1"/>
    <xf numFmtId="170" fontId="0" fillId="3" borderId="7" xfId="0" applyNumberFormat="1" applyFont="1" applyFill="1" applyBorder="1"/>
    <xf numFmtId="170" fontId="0" fillId="3" borderId="8" xfId="0" applyNumberFormat="1" applyFont="1" applyFill="1" applyBorder="1"/>
    <xf numFmtId="0" fontId="0" fillId="0" borderId="0" xfId="0" applyAlignment="1">
      <alignment wrapText="1"/>
    </xf>
    <xf numFmtId="0" fontId="0" fillId="0" borderId="0" xfId="0" applyFont="1" applyAlignment="1">
      <alignment horizontal="right"/>
    </xf>
    <xf numFmtId="170" fontId="0" fillId="3" borderId="1" xfId="0" applyNumberFormat="1" applyFont="1" applyFill="1" applyBorder="1"/>
    <xf numFmtId="170" fontId="0" fillId="3" borderId="16" xfId="0" applyNumberFormat="1" applyFont="1" applyFill="1" applyBorder="1"/>
    <xf numFmtId="170" fontId="0" fillId="3" borderId="3" xfId="0" applyNumberFormat="1" applyFont="1" applyFill="1" applyBorder="1"/>
    <xf numFmtId="170" fontId="0" fillId="3" borderId="0" xfId="0" applyNumberFormat="1" applyFont="1" applyFill="1" applyBorder="1"/>
    <xf numFmtId="225" fontId="0" fillId="0" borderId="0" xfId="0" applyNumberFormat="1" applyFont="1" applyBorder="1"/>
    <xf numFmtId="225" fontId="0" fillId="0" borderId="0" xfId="0" applyNumberFormat="1"/>
    <xf numFmtId="225" fontId="0" fillId="0" borderId="0" xfId="0" applyNumberFormat="1" applyFont="1"/>
    <xf numFmtId="0" fontId="76" fillId="0" borderId="0" xfId="0" applyFont="1"/>
    <xf numFmtId="0" fontId="0" fillId="0" borderId="0" xfId="0" applyBorder="1" applyAlignment="1">
      <alignment horizontal="left" indent="1"/>
    </xf>
    <xf numFmtId="0" fontId="0" fillId="0" borderId="2" xfId="0" applyFill="1" applyBorder="1"/>
    <xf numFmtId="0" fontId="0" fillId="0" borderId="0" xfId="0" applyFont="1" applyBorder="1"/>
    <xf numFmtId="49" fontId="0" fillId="0" borderId="0" xfId="0" applyNumberFormat="1" applyFont="1" applyFill="1" applyBorder="1"/>
    <xf numFmtId="0" fontId="0" fillId="2" borderId="1" xfId="0" applyFill="1" applyBorder="1"/>
    <xf numFmtId="225" fontId="1" fillId="2" borderId="40" xfId="1" applyNumberFormat="1" applyFont="1" applyFill="1" applyBorder="1"/>
    <xf numFmtId="225" fontId="1" fillId="2" borderId="41" xfId="1" applyNumberFormat="1" applyFont="1" applyFill="1" applyBorder="1"/>
    <xf numFmtId="0" fontId="3" fillId="0" borderId="0" xfId="0" applyFont="1" applyFill="1" applyBorder="1" applyAlignment="1">
      <alignment horizontal="left"/>
    </xf>
    <xf numFmtId="225" fontId="10" fillId="0" borderId="0" xfId="0" applyNumberFormat="1" applyFont="1"/>
    <xf numFmtId="225" fontId="14" fillId="0" borderId="0" xfId="0" applyNumberFormat="1" applyFont="1"/>
    <xf numFmtId="0" fontId="0" fillId="0" borderId="7" xfId="0" applyBorder="1"/>
    <xf numFmtId="0" fontId="0" fillId="0" borderId="8" xfId="0" applyBorder="1"/>
    <xf numFmtId="225" fontId="10" fillId="0" borderId="0" xfId="0" applyNumberFormat="1" applyFont="1" applyBorder="1"/>
    <xf numFmtId="225" fontId="14" fillId="0" borderId="0" xfId="0" applyNumberFormat="1" applyFont="1" applyBorder="1"/>
    <xf numFmtId="0" fontId="0" fillId="0" borderId="0" xfId="0" quotePrefix="1" applyBorder="1"/>
    <xf numFmtId="0" fontId="0" fillId="0" borderId="42"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9" xfId="0" applyBorder="1"/>
    <xf numFmtId="0" fontId="0" fillId="0" borderId="50" xfId="0" applyBorder="1"/>
    <xf numFmtId="0" fontId="3" fillId="0" borderId="51" xfId="0" applyFont="1" applyBorder="1"/>
    <xf numFmtId="0" fontId="0" fillId="0" borderId="50" xfId="0" applyBorder="1" applyAlignment="1">
      <alignment horizontal="left" indent="1"/>
    </xf>
    <xf numFmtId="0" fontId="0" fillId="0" borderId="52" xfId="0" applyBorder="1"/>
    <xf numFmtId="0" fontId="0" fillId="0" borderId="53" xfId="0" applyBorder="1" applyAlignment="1">
      <alignment horizontal="left" indent="1"/>
    </xf>
    <xf numFmtId="0" fontId="0" fillId="0" borderId="54" xfId="0" applyBorder="1" applyAlignment="1">
      <alignment horizontal="left" indent="1"/>
    </xf>
    <xf numFmtId="0" fontId="0" fillId="0" borderId="54" xfId="0" applyBorder="1"/>
    <xf numFmtId="0" fontId="0" fillId="0" borderId="55" xfId="0" applyBorder="1" applyAlignment="1">
      <alignment horizontal="left" indent="1"/>
    </xf>
    <xf numFmtId="0" fontId="0" fillId="0" borderId="53" xfId="0" applyBorder="1"/>
    <xf numFmtId="225" fontId="0" fillId="2" borderId="39" xfId="0" applyNumberFormat="1" applyFont="1" applyFill="1" applyBorder="1"/>
    <xf numFmtId="164" fontId="0" fillId="4" borderId="0" xfId="0" quotePrefix="1" applyNumberFormat="1" applyFill="1"/>
    <xf numFmtId="7" fontId="4" fillId="0" borderId="0" xfId="0" applyNumberFormat="1" applyFont="1"/>
    <xf numFmtId="7" fontId="0" fillId="4" borderId="0" xfId="0" quotePrefix="1" applyNumberFormat="1" applyFill="1"/>
    <xf numFmtId="37" fontId="4" fillId="0" borderId="0" xfId="0" applyNumberFormat="1" applyFont="1"/>
    <xf numFmtId="37" fontId="0" fillId="0" borderId="0" xfId="0" applyNumberFormat="1"/>
    <xf numFmtId="37" fontId="0" fillId="4" borderId="0" xfId="0" quotePrefix="1" applyNumberFormat="1" applyFill="1"/>
    <xf numFmtId="227" fontId="0" fillId="0" borderId="0" xfId="0" applyNumberFormat="1"/>
    <xf numFmtId="228" fontId="0" fillId="0" borderId="0" xfId="0" applyNumberFormat="1"/>
    <xf numFmtId="229" fontId="4" fillId="0" borderId="0" xfId="0" applyNumberFormat="1" applyFont="1" applyAlignment="1">
      <alignment horizontal="right"/>
    </xf>
    <xf numFmtId="0" fontId="4" fillId="0" borderId="0" xfId="0" applyFont="1"/>
    <xf numFmtId="2" fontId="0" fillId="0" borderId="0" xfId="0" applyNumberFormat="1"/>
    <xf numFmtId="14" fontId="0" fillId="0" borderId="0" xfId="0" applyNumberFormat="1" applyAlignment="1">
      <alignment horizontal="left"/>
    </xf>
    <xf numFmtId="0" fontId="9" fillId="0" borderId="0" xfId="0" applyFont="1" applyAlignment="1">
      <alignment horizontal="right"/>
    </xf>
    <xf numFmtId="6" fontId="0" fillId="0" borderId="0" xfId="0" applyNumberFormat="1" applyAlignment="1">
      <alignment horizontal="left"/>
    </xf>
    <xf numFmtId="164" fontId="0" fillId="0" borderId="0" xfId="0" applyNumberFormat="1" applyAlignment="1">
      <alignment horizontal="left"/>
    </xf>
    <xf numFmtId="166" fontId="0" fillId="0" borderId="0" xfId="0" applyNumberFormat="1" applyAlignment="1">
      <alignment horizontal="left"/>
    </xf>
    <xf numFmtId="0" fontId="3" fillId="0" borderId="0" xfId="0" applyFont="1" applyAlignment="1">
      <alignment horizontal="left"/>
    </xf>
    <xf numFmtId="6" fontId="3" fillId="0" borderId="0" xfId="0" applyNumberFormat="1" applyFont="1" applyAlignment="1">
      <alignment horizontal="left"/>
    </xf>
    <xf numFmtId="164" fontId="14" fillId="0" borderId="0" xfId="0" applyNumberFormat="1" applyFont="1"/>
    <xf numFmtId="165" fontId="0" fillId="0" borderId="2" xfId="0" applyNumberFormat="1" applyBorder="1"/>
    <xf numFmtId="164" fontId="10" fillId="0" borderId="0" xfId="0" applyNumberFormat="1" applyFont="1"/>
    <xf numFmtId="0" fontId="0" fillId="0" borderId="0" xfId="0" applyFont="1" applyAlignment="1">
      <alignment horizontal="left"/>
    </xf>
    <xf numFmtId="0" fontId="8" fillId="0" borderId="0" xfId="0" applyFont="1" applyBorder="1"/>
    <xf numFmtId="169" fontId="0" fillId="0" borderId="0" xfId="0" applyNumberFormat="1" applyFont="1" applyBorder="1"/>
    <xf numFmtId="169" fontId="0" fillId="0" borderId="0" xfId="0" applyNumberFormat="1" applyFont="1" applyFill="1" applyBorder="1"/>
    <xf numFmtId="14" fontId="0" fillId="0" borderId="0" xfId="0" applyNumberFormat="1"/>
    <xf numFmtId="225" fontId="8" fillId="0" borderId="0" xfId="0" applyNumberFormat="1" applyFont="1" applyBorder="1"/>
    <xf numFmtId="14" fontId="0" fillId="0" borderId="0" xfId="0" applyNumberFormat="1" applyBorder="1" applyAlignment="1">
      <alignment horizontal="left"/>
    </xf>
    <xf numFmtId="0" fontId="78" fillId="0" borderId="5" xfId="0" applyFont="1" applyBorder="1"/>
    <xf numFmtId="0" fontId="8" fillId="0" borderId="5" xfId="0" applyFont="1" applyBorder="1"/>
    <xf numFmtId="225" fontId="8" fillId="0" borderId="5" xfId="0" applyNumberFormat="1" applyFont="1" applyBorder="1"/>
    <xf numFmtId="169" fontId="0" fillId="0" borderId="5" xfId="0" applyNumberFormat="1" applyFont="1" applyBorder="1"/>
    <xf numFmtId="225" fontId="0" fillId="0" borderId="43" xfId="0" applyNumberFormat="1" applyFont="1" applyBorder="1"/>
    <xf numFmtId="225" fontId="0" fillId="0" borderId="3" xfId="0" applyNumberFormat="1" applyFont="1" applyBorder="1"/>
    <xf numFmtId="225" fontId="0" fillId="0" borderId="1" xfId="0" applyNumberFormat="1" applyFont="1" applyBorder="1"/>
    <xf numFmtId="164" fontId="0" fillId="0" borderId="2" xfId="0" applyNumberFormat="1" applyBorder="1"/>
    <xf numFmtId="8" fontId="77" fillId="0" borderId="0" xfId="0" applyNumberFormat="1" applyFont="1"/>
    <xf numFmtId="14" fontId="0" fillId="0" borderId="0" xfId="0" applyNumberFormat="1" applyFont="1" applyAlignment="1">
      <alignment horizontal="left"/>
    </xf>
    <xf numFmtId="0" fontId="8" fillId="0" borderId="0" xfId="0" applyFont="1" applyAlignment="1">
      <alignment horizontal="right"/>
    </xf>
    <xf numFmtId="0" fontId="0" fillId="0" borderId="0" xfId="0" quotePrefix="1" applyAlignment="1">
      <alignment horizontal="right"/>
    </xf>
    <xf numFmtId="0" fontId="0" fillId="0" borderId="0" xfId="0" quotePrefix="1" applyFont="1" applyAlignment="1">
      <alignment horizontal="left"/>
    </xf>
    <xf numFmtId="8" fontId="0" fillId="0" borderId="0" xfId="0" quotePrefix="1" applyNumberFormat="1" applyFont="1" applyAlignment="1">
      <alignment horizontal="right"/>
    </xf>
    <xf numFmtId="225" fontId="0" fillId="0" borderId="2" xfId="0" applyNumberFormat="1" applyFont="1" applyBorder="1"/>
    <xf numFmtId="0" fontId="76" fillId="0" borderId="5" xfId="0" applyFont="1" applyBorder="1"/>
    <xf numFmtId="164" fontId="0" fillId="0" borderId="0" xfId="0" quotePrefix="1" applyNumberFormat="1"/>
    <xf numFmtId="171" fontId="0" fillId="0" borderId="2" xfId="0" applyNumberFormat="1" applyFont="1" applyBorder="1"/>
    <xf numFmtId="165" fontId="3" fillId="2" borderId="2" xfId="0" applyNumberFormat="1" applyFont="1" applyFill="1" applyBorder="1"/>
    <xf numFmtId="8" fontId="3" fillId="2" borderId="2" xfId="0" applyNumberFormat="1" applyFont="1" applyFill="1" applyBorder="1"/>
    <xf numFmtId="165" fontId="0" fillId="2" borderId="2" xfId="0" applyNumberFormat="1" applyFont="1" applyFill="1" applyBorder="1"/>
    <xf numFmtId="167" fontId="0" fillId="0" borderId="0" xfId="0" applyNumberFormat="1" applyFont="1" applyAlignment="1">
      <alignment horizontal="left"/>
    </xf>
    <xf numFmtId="166" fontId="3" fillId="2" borderId="2" xfId="0" applyNumberFormat="1" applyFont="1" applyFill="1" applyBorder="1"/>
    <xf numFmtId="225" fontId="13" fillId="0" borderId="0" xfId="0" applyNumberFormat="1" applyFont="1"/>
    <xf numFmtId="0" fontId="10" fillId="2" borderId="3" xfId="0" applyFont="1" applyFill="1" applyBorder="1"/>
    <xf numFmtId="0" fontId="10" fillId="0" borderId="0" xfId="0" applyFont="1" applyBorder="1" applyAlignment="1">
      <alignment horizontal="left"/>
    </xf>
    <xf numFmtId="0" fontId="14" fillId="0" borderId="0" xfId="0" applyFont="1" applyBorder="1" applyAlignment="1">
      <alignment horizontal="left"/>
    </xf>
    <xf numFmtId="225" fontId="3" fillId="0" borderId="2" xfId="0" applyNumberFormat="1" applyFont="1" applyBorder="1"/>
    <xf numFmtId="0" fontId="79" fillId="0" borderId="0" xfId="0" applyFont="1"/>
    <xf numFmtId="0" fontId="10" fillId="2" borderId="0" xfId="0" applyFont="1" applyFill="1"/>
    <xf numFmtId="0" fontId="80" fillId="0" borderId="0" xfId="0" applyFont="1"/>
    <xf numFmtId="0" fontId="0" fillId="0" borderId="2" xfId="0" quotePrefix="1" applyFill="1" applyBorder="1"/>
    <xf numFmtId="0" fontId="3" fillId="3" borderId="0" xfId="0" applyFont="1" applyFill="1" applyBorder="1"/>
    <xf numFmtId="0" fontId="0" fillId="3" borderId="0" xfId="0" applyFill="1" applyBorder="1"/>
    <xf numFmtId="0" fontId="0" fillId="0" borderId="1" xfId="0" applyFill="1" applyBorder="1"/>
    <xf numFmtId="225" fontId="0" fillId="0" borderId="0" xfId="0" quotePrefix="1" applyNumberFormat="1" applyFont="1"/>
    <xf numFmtId="5" fontId="0" fillId="0" borderId="0" xfId="0" applyNumberFormat="1"/>
    <xf numFmtId="0" fontId="3" fillId="0" borderId="5" xfId="0" applyFont="1" applyBorder="1" applyAlignment="1">
      <alignment horizontal="right" wrapText="1"/>
    </xf>
    <xf numFmtId="230" fontId="81" fillId="0" borderId="0" xfId="0" applyNumberFormat="1" applyFont="1" applyFill="1" applyBorder="1" applyAlignment="1">
      <alignment horizontal="left" vertical="center" readingOrder="1"/>
    </xf>
    <xf numFmtId="231" fontId="81" fillId="0" borderId="0" xfId="0" applyNumberFormat="1" applyFont="1" applyFill="1" applyBorder="1" applyAlignment="1">
      <alignment horizontal="left" vertical="center" readingOrder="1"/>
    </xf>
    <xf numFmtId="232" fontId="81" fillId="0" borderId="0" xfId="0" applyNumberFormat="1" applyFont="1" applyFill="1" applyBorder="1" applyAlignment="1">
      <alignment horizontal="left" vertical="center" readingOrder="1"/>
    </xf>
    <xf numFmtId="233" fontId="81" fillId="0" borderId="0" xfId="0" applyNumberFormat="1" applyFont="1" applyFill="1" applyBorder="1" applyAlignment="1">
      <alignment horizontal="left" vertical="center" readingOrder="1"/>
    </xf>
    <xf numFmtId="234" fontId="81" fillId="0" borderId="0" xfId="0" applyNumberFormat="1" applyFont="1" applyFill="1" applyBorder="1" applyAlignment="1">
      <alignment horizontal="left" vertical="center" readingOrder="1"/>
    </xf>
    <xf numFmtId="237" fontId="81" fillId="0" borderId="0" xfId="0" applyNumberFormat="1" applyFont="1" applyFill="1" applyBorder="1" applyAlignment="1">
      <alignment horizontal="left" vertical="center" readingOrder="1"/>
    </xf>
    <xf numFmtId="238" fontId="81" fillId="0" borderId="0" xfId="0" applyNumberFormat="1" applyFont="1" applyFill="1" applyBorder="1" applyAlignment="1">
      <alignment horizontal="left" vertical="center" readingOrder="1"/>
    </xf>
    <xf numFmtId="239" fontId="81" fillId="0" borderId="0" xfId="0" applyNumberFormat="1" applyFont="1" applyFill="1" applyBorder="1" applyAlignment="1">
      <alignment horizontal="left" vertical="center" readingOrder="1"/>
    </xf>
    <xf numFmtId="0" fontId="4" fillId="2" borderId="1" xfId="0" applyFont="1" applyFill="1" applyBorder="1"/>
    <xf numFmtId="0" fontId="0" fillId="0" borderId="6" xfId="0" applyFill="1" applyBorder="1"/>
    <xf numFmtId="0" fontId="83" fillId="0" borderId="4" xfId="0" applyFont="1" applyFill="1" applyBorder="1"/>
    <xf numFmtId="0" fontId="83" fillId="0" borderId="12" xfId="0" applyFont="1" applyFill="1" applyBorder="1"/>
    <xf numFmtId="226" fontId="10" fillId="0" borderId="0" xfId="0" applyNumberFormat="1" applyFont="1"/>
    <xf numFmtId="229" fontId="0" fillId="0" borderId="0" xfId="0" applyNumberFormat="1"/>
    <xf numFmtId="240" fontId="0" fillId="0" borderId="0" xfId="0" applyNumberFormat="1"/>
    <xf numFmtId="164" fontId="14" fillId="0" borderId="2" xfId="0" applyNumberFormat="1" applyFont="1" applyBorder="1"/>
    <xf numFmtId="10" fontId="0" fillId="0" borderId="2" xfId="0" applyNumberFormat="1" applyBorder="1"/>
    <xf numFmtId="235" fontId="81" fillId="0" borderId="0" xfId="0" applyNumberFormat="1" applyFont="1" applyFill="1" applyBorder="1" applyAlignment="1">
      <alignment horizontal="left" vertical="center" readingOrder="1"/>
    </xf>
    <xf numFmtId="10" fontId="0" fillId="0" borderId="0" xfId="0" applyNumberFormat="1"/>
    <xf numFmtId="236" fontId="81" fillId="0" borderId="0" xfId="0" applyNumberFormat="1" applyFont="1" applyFill="1" applyBorder="1" applyAlignment="1">
      <alignment horizontal="left" vertical="center" readingOrder="1"/>
    </xf>
    <xf numFmtId="0" fontId="0" fillId="0" borderId="0" xfId="0"/>
    <xf numFmtId="0" fontId="0" fillId="0" borderId="0" xfId="0" applyBorder="1"/>
    <xf numFmtId="0" fontId="3" fillId="0" borderId="0" xfId="0" applyFont="1"/>
    <xf numFmtId="164" fontId="4" fillId="2" borderId="0" xfId="0" applyNumberFormat="1" applyFont="1" applyFill="1"/>
    <xf numFmtId="0" fontId="3" fillId="0" borderId="0" xfId="0" applyFont="1" applyBorder="1"/>
    <xf numFmtId="0" fontId="0" fillId="0" borderId="5" xfId="0" applyBorder="1"/>
    <xf numFmtId="0" fontId="0" fillId="0" borderId="0" xfId="0" applyFont="1" applyFill="1" applyBorder="1"/>
    <xf numFmtId="0" fontId="0" fillId="0" borderId="0" xfId="0" applyFill="1"/>
    <xf numFmtId="0" fontId="0" fillId="0" borderId="0" xfId="0" applyFill="1" applyBorder="1"/>
    <xf numFmtId="0" fontId="0" fillId="0" borderId="10" xfId="0" applyBorder="1"/>
    <xf numFmtId="164" fontId="3" fillId="0" borderId="0" xfId="0" applyNumberFormat="1" applyFont="1"/>
    <xf numFmtId="164" fontId="0" fillId="0" borderId="0" xfId="0" applyNumberFormat="1" applyFont="1"/>
    <xf numFmtId="0" fontId="5" fillId="0" borderId="0" xfId="0" applyNumberFormat="1" applyFont="1" applyFill="1" applyBorder="1" applyAlignment="1"/>
    <xf numFmtId="7" fontId="3" fillId="0" borderId="0" xfId="0" applyNumberFormat="1" applyFont="1" applyFill="1" applyAlignment="1">
      <alignment horizontal="right"/>
    </xf>
    <xf numFmtId="14" fontId="10" fillId="2" borderId="2" xfId="0" applyNumberFormat="1" applyFont="1" applyFill="1" applyBorder="1"/>
    <xf numFmtId="168" fontId="4" fillId="2" borderId="11" xfId="0" applyNumberFormat="1" applyFont="1" applyFill="1" applyBorder="1"/>
    <xf numFmtId="168" fontId="0" fillId="0" borderId="10" xfId="0" applyNumberFormat="1" applyFill="1" applyBorder="1"/>
    <xf numFmtId="166" fontId="10" fillId="2" borderId="3" xfId="0" applyNumberFormat="1" applyFont="1" applyFill="1" applyBorder="1"/>
    <xf numFmtId="0" fontId="4" fillId="2" borderId="2" xfId="0" applyFont="1" applyFill="1" applyBorder="1"/>
    <xf numFmtId="225" fontId="14" fillId="0" borderId="0" xfId="0" applyNumberFormat="1" applyFont="1"/>
    <xf numFmtId="170" fontId="0" fillId="0" borderId="41" xfId="0" applyNumberFormat="1" applyFont="1" applyBorder="1"/>
    <xf numFmtId="0" fontId="84" fillId="0" borderId="0" xfId="0" applyFont="1"/>
    <xf numFmtId="0" fontId="3" fillId="0" borderId="4" xfId="0" applyFont="1" applyBorder="1" applyAlignment="1">
      <alignment horizontal="left"/>
    </xf>
    <xf numFmtId="0" fontId="3" fillId="2" borderId="6" xfId="0" applyFont="1" applyFill="1" applyBorder="1"/>
    <xf numFmtId="225" fontId="3" fillId="2" borderId="7" xfId="0" applyNumberFormat="1" applyFont="1" applyFill="1" applyBorder="1"/>
    <xf numFmtId="0" fontId="3" fillId="2" borderId="7" xfId="0" applyFont="1" applyFill="1" applyBorder="1"/>
    <xf numFmtId="0" fontId="3" fillId="2" borderId="8" xfId="0" applyFont="1" applyFill="1" applyBorder="1"/>
    <xf numFmtId="0" fontId="0" fillId="2" borderId="7" xfId="0" applyFill="1" applyBorder="1"/>
    <xf numFmtId="0" fontId="0" fillId="2" borderId="8" xfId="0" applyFill="1" applyBorder="1"/>
    <xf numFmtId="225" fontId="10" fillId="0" borderId="2" xfId="0" applyNumberFormat="1" applyFont="1" applyBorder="1"/>
    <xf numFmtId="0" fontId="10" fillId="0" borderId="2" xfId="0" applyFont="1" applyBorder="1"/>
    <xf numFmtId="167" fontId="0" fillId="0" borderId="0" xfId="0" applyNumberFormat="1" applyBorder="1" applyAlignment="1">
      <alignment horizontal="left"/>
    </xf>
    <xf numFmtId="167" fontId="6" fillId="0" borderId="0" xfId="0" applyNumberFormat="1" applyFont="1" applyAlignment="1">
      <alignment horizontal="left"/>
    </xf>
    <xf numFmtId="167" fontId="0" fillId="0" borderId="0" xfId="0" applyNumberFormat="1" applyAlignment="1">
      <alignment horizontal="left"/>
    </xf>
    <xf numFmtId="0" fontId="10" fillId="0" borderId="16" xfId="0" applyFont="1" applyBorder="1"/>
    <xf numFmtId="9" fontId="10" fillId="0" borderId="3" xfId="0" applyNumberFormat="1" applyFont="1" applyBorder="1"/>
    <xf numFmtId="0" fontId="8" fillId="0" borderId="0" xfId="0" applyFont="1" applyFill="1" applyBorder="1"/>
    <xf numFmtId="9" fontId="10" fillId="0" borderId="0" xfId="0" applyNumberFormat="1" applyFont="1" applyBorder="1"/>
    <xf numFmtId="241" fontId="14" fillId="0" borderId="0" xfId="0" applyNumberFormat="1" applyFont="1" applyBorder="1"/>
    <xf numFmtId="226" fontId="0" fillId="0" borderId="0" xfId="0" applyNumberFormat="1" applyFont="1" applyBorder="1"/>
    <xf numFmtId="241" fontId="0" fillId="0" borderId="0" xfId="0" applyNumberFormat="1" applyBorder="1"/>
    <xf numFmtId="241" fontId="14" fillId="0" borderId="0" xfId="0" applyNumberFormat="1" applyFont="1"/>
    <xf numFmtId="226" fontId="0" fillId="0" borderId="0" xfId="0" applyNumberFormat="1" applyFont="1"/>
    <xf numFmtId="241" fontId="0" fillId="0" borderId="0" xfId="0" applyNumberFormat="1"/>
    <xf numFmtId="4" fontId="0" fillId="0" borderId="0" xfId="0" applyNumberFormat="1"/>
    <xf numFmtId="0" fontId="0" fillId="4" borderId="0" xfId="0" quotePrefix="1" applyFill="1"/>
    <xf numFmtId="0" fontId="0" fillId="4" borderId="0" xfId="0" applyFill="1"/>
    <xf numFmtId="0" fontId="0" fillId="2" borderId="0" xfId="0" applyFont="1" applyFill="1"/>
    <xf numFmtId="0" fontId="0" fillId="0" borderId="4" xfId="0" applyBorder="1" applyAlignment="1">
      <alignment horizontal="centerContinuous"/>
    </xf>
    <xf numFmtId="242" fontId="0" fillId="0" borderId="0" xfId="0" applyNumberFormat="1"/>
    <xf numFmtId="242" fontId="10" fillId="0" borderId="0" xfId="0" applyNumberFormat="1" applyFont="1"/>
    <xf numFmtId="242" fontId="0" fillId="0" borderId="9" xfId="0" applyNumberFormat="1" applyBorder="1"/>
    <xf numFmtId="164" fontId="86" fillId="0" borderId="0" xfId="0" applyNumberFormat="1" applyFont="1"/>
    <xf numFmtId="0" fontId="0" fillId="0" borderId="1" xfId="0" applyNumberFormat="1" applyFont="1" applyBorder="1"/>
    <xf numFmtId="0" fontId="0" fillId="0" borderId="2" xfId="0" applyNumberFormat="1" applyFont="1" applyBorder="1"/>
    <xf numFmtId="0" fontId="0" fillId="0" borderId="3" xfId="0" applyNumberFormat="1" applyFont="1" applyBorder="1"/>
    <xf numFmtId="0" fontId="87" fillId="0" borderId="0" xfId="0" applyFont="1" applyAlignment="1">
      <alignment vertical="center"/>
    </xf>
    <xf numFmtId="0" fontId="88" fillId="0" borderId="0" xfId="0" applyFont="1" applyAlignment="1">
      <alignment vertical="center"/>
    </xf>
    <xf numFmtId="243" fontId="0" fillId="0" borderId="0" xfId="0" applyNumberFormat="1" applyAlignment="1">
      <alignment horizontal="left"/>
    </xf>
    <xf numFmtId="0" fontId="3" fillId="0" borderId="9" xfId="0" applyFont="1" applyBorder="1"/>
    <xf numFmtId="0" fontId="3" fillId="0" borderId="13" xfId="0" applyFont="1" applyBorder="1"/>
    <xf numFmtId="0" fontId="3" fillId="0" borderId="14" xfId="0" applyFont="1" applyBorder="1"/>
    <xf numFmtId="0" fontId="89" fillId="0" borderId="0" xfId="0" applyFont="1"/>
    <xf numFmtId="0" fontId="3" fillId="0" borderId="0" xfId="0" applyFont="1" applyAlignment="1">
      <alignment horizontal="right"/>
    </xf>
    <xf numFmtId="0" fontId="5" fillId="0" borderId="0" xfId="0" applyFont="1"/>
    <xf numFmtId="14" fontId="0" fillId="0" borderId="0" xfId="0" applyNumberFormat="1" applyBorder="1"/>
    <xf numFmtId="10" fontId="0" fillId="0" borderId="0" xfId="0" applyNumberFormat="1" applyFill="1" applyBorder="1"/>
    <xf numFmtId="225" fontId="89" fillId="0" borderId="0" xfId="0" applyNumberFormat="1" applyFont="1" applyBorder="1"/>
    <xf numFmtId="9" fontId="0" fillId="0" borderId="0" xfId="0" applyNumberFormat="1" applyBorder="1"/>
    <xf numFmtId="225" fontId="89" fillId="0" borderId="0" xfId="0" applyNumberFormat="1" applyFont="1"/>
    <xf numFmtId="199" fontId="0" fillId="0" borderId="0" xfId="0" applyNumberFormat="1"/>
    <xf numFmtId="39" fontId="0" fillId="0" borderId="0" xfId="0" applyNumberFormat="1"/>
    <xf numFmtId="244" fontId="0" fillId="0" borderId="0" xfId="0" applyNumberFormat="1"/>
    <xf numFmtId="245" fontId="0" fillId="0" borderId="0" xfId="0" applyNumberFormat="1"/>
    <xf numFmtId="246" fontId="0" fillId="0" borderId="0" xfId="0" applyNumberFormat="1"/>
    <xf numFmtId="247" fontId="0" fillId="0" borderId="0" xfId="0" applyNumberFormat="1"/>
    <xf numFmtId="248" fontId="0" fillId="0" borderId="0" xfId="0" applyNumberFormat="1"/>
    <xf numFmtId="0" fontId="0" fillId="0" borderId="9" xfId="0" applyBorder="1" applyAlignment="1">
      <alignment horizontal="right"/>
    </xf>
  </cellXfs>
  <cellStyles count="201">
    <cellStyle name="$" xfId="2" xr:uid="{00000000-0005-0000-0000-000000000000}"/>
    <cellStyle name="$m" xfId="3" xr:uid="{00000000-0005-0000-0000-000001000000}"/>
    <cellStyle name="$q" xfId="4" xr:uid="{00000000-0005-0000-0000-000002000000}"/>
    <cellStyle name="$q*" xfId="5" xr:uid="{00000000-0005-0000-0000-000003000000}"/>
    <cellStyle name="$qA" xfId="6" xr:uid="{00000000-0005-0000-0000-000005000000}"/>
    <cellStyle name="$qRange" xfId="7" xr:uid="{00000000-0005-0000-0000-000006000000}"/>
    <cellStyle name="%" xfId="8" xr:uid="{00000000-0005-0000-0000-000007000000}"/>
    <cellStyle name="******************************************" xfId="9" xr:uid="{00000000-0005-0000-0000-000008000000}"/>
    <cellStyle name="2 Decimal Places_MA Software Comps - List_AccretionDilution OTGS v16.xls Chart 1" xfId="10" xr:uid="{00000000-0005-0000-0000-000009000000}"/>
    <cellStyle name="20% - Accent1 2" xfId="11" xr:uid="{00000000-0005-0000-0000-00000A000000}"/>
    <cellStyle name="20% - Accent2 2" xfId="12" xr:uid="{00000000-0005-0000-0000-00000B000000}"/>
    <cellStyle name="20% - Accent3 2" xfId="13" xr:uid="{00000000-0005-0000-0000-00000C000000}"/>
    <cellStyle name="20% - Accent4 2" xfId="14" xr:uid="{00000000-0005-0000-0000-00000D000000}"/>
    <cellStyle name="20% - Accent5 2" xfId="15" xr:uid="{00000000-0005-0000-0000-00000E000000}"/>
    <cellStyle name="20% - Accent6 2" xfId="16" xr:uid="{00000000-0005-0000-0000-00000F000000}"/>
    <cellStyle name="40% - Accent1 2" xfId="17" xr:uid="{00000000-0005-0000-0000-000010000000}"/>
    <cellStyle name="40% - Accent2 2" xfId="18" xr:uid="{00000000-0005-0000-0000-000011000000}"/>
    <cellStyle name="40% - Accent3 2" xfId="19" xr:uid="{00000000-0005-0000-0000-000012000000}"/>
    <cellStyle name="40% - Accent4 2" xfId="20" xr:uid="{00000000-0005-0000-0000-000013000000}"/>
    <cellStyle name="40% - Accent5 2" xfId="21" xr:uid="{00000000-0005-0000-0000-000014000000}"/>
    <cellStyle name="40% - Accent6 2" xfId="22" xr:uid="{00000000-0005-0000-0000-000015000000}"/>
    <cellStyle name="60% - Accent1 2" xfId="23" xr:uid="{00000000-0005-0000-0000-000016000000}"/>
    <cellStyle name="60% - Accent2 2" xfId="24" xr:uid="{00000000-0005-0000-0000-000017000000}"/>
    <cellStyle name="60% - Accent3 2" xfId="25" xr:uid="{00000000-0005-0000-0000-000018000000}"/>
    <cellStyle name="60% - Accent4 2" xfId="26" xr:uid="{00000000-0005-0000-0000-000019000000}"/>
    <cellStyle name="60% - Accent5 2" xfId="27" xr:uid="{00000000-0005-0000-0000-00001A000000}"/>
    <cellStyle name="60% - Accent6 2" xfId="28" xr:uid="{00000000-0005-0000-0000-00001B000000}"/>
    <cellStyle name="Accent1 2" xfId="29" xr:uid="{00000000-0005-0000-0000-00001C000000}"/>
    <cellStyle name="Accent2 2" xfId="30" xr:uid="{00000000-0005-0000-0000-00001D000000}"/>
    <cellStyle name="Accent3 2" xfId="31" xr:uid="{00000000-0005-0000-0000-00001E000000}"/>
    <cellStyle name="Accent4 2" xfId="32" xr:uid="{00000000-0005-0000-0000-00001F000000}"/>
    <cellStyle name="Accent5 2" xfId="33" xr:uid="{00000000-0005-0000-0000-000020000000}"/>
    <cellStyle name="Accent6 2" xfId="34" xr:uid="{00000000-0005-0000-0000-000021000000}"/>
    <cellStyle name="AFE" xfId="35" xr:uid="{00000000-0005-0000-0000-000022000000}"/>
    <cellStyle name="Bad 2" xfId="36" xr:uid="{00000000-0005-0000-0000-000023000000}"/>
    <cellStyle name="Balance" xfId="37" xr:uid="{00000000-0005-0000-0000-000024000000}"/>
    <cellStyle name="BalanceSheet" xfId="38" xr:uid="{00000000-0005-0000-0000-000025000000}"/>
    <cellStyle name="Body_$Numeric" xfId="39" xr:uid="{00000000-0005-0000-0000-000026000000}"/>
    <cellStyle name="Bold Header" xfId="40" xr:uid="{00000000-0005-0000-0000-000027000000}"/>
    <cellStyle name="Calculation 2" xfId="41" xr:uid="{00000000-0005-0000-0000-000028000000}"/>
    <cellStyle name="Calculation 2 2" xfId="187" xr:uid="{00000000-0005-0000-0000-000029000000}"/>
    <cellStyle name="Calculation 2 3" xfId="197" xr:uid="{00000000-0005-0000-0000-00002A000000}"/>
    <cellStyle name="CashFlow" xfId="42" xr:uid="{00000000-0005-0000-0000-00002B000000}"/>
    <cellStyle name="Check" xfId="43" xr:uid="{00000000-0005-0000-0000-00002C000000}"/>
    <cellStyle name="Check Cell 2" xfId="44" xr:uid="{00000000-0005-0000-0000-00002D000000}"/>
    <cellStyle name="ColHeading" xfId="45" xr:uid="{00000000-0005-0000-0000-00002E000000}"/>
    <cellStyle name="colheadleft" xfId="46" xr:uid="{00000000-0005-0000-0000-00002F000000}"/>
    <cellStyle name="colheadright" xfId="47" xr:uid="{00000000-0005-0000-0000-000030000000}"/>
    <cellStyle name="Comma" xfId="1" builtinId="3"/>
    <cellStyle name="Comma 2" xfId="48" xr:uid="{00000000-0005-0000-0000-000032000000}"/>
    <cellStyle name="Comma0" xfId="49" xr:uid="{00000000-0005-0000-0000-000033000000}"/>
    <cellStyle name="Comma2" xfId="50" xr:uid="{00000000-0005-0000-0000-000034000000}"/>
    <cellStyle name="Company" xfId="51" xr:uid="{00000000-0005-0000-0000-000035000000}"/>
    <cellStyle name="CurRatio" xfId="52" xr:uid="{00000000-0005-0000-0000-000036000000}"/>
    <cellStyle name="Currency [1]" xfId="53" xr:uid="{00000000-0005-0000-0000-000037000000}"/>
    <cellStyle name="Currency [2]" xfId="54" xr:uid="{00000000-0005-0000-0000-000038000000}"/>
    <cellStyle name="Currency0" xfId="55" xr:uid="{00000000-0005-0000-0000-000039000000}"/>
    <cellStyle name="Currency2" xfId="56" xr:uid="{00000000-0005-0000-0000-00003A000000}"/>
    <cellStyle name="d_yield" xfId="57" xr:uid="{00000000-0005-0000-0000-00003B000000}"/>
    <cellStyle name="d_yield_CW's MAKER MODEL" xfId="58" xr:uid="{00000000-0005-0000-0000-00003C000000}"/>
    <cellStyle name="d_yield_valuation" xfId="59" xr:uid="{00000000-0005-0000-0000-00003D000000}"/>
    <cellStyle name="Date [d-mmm-yy]" xfId="60" xr:uid="{00000000-0005-0000-0000-00003E000000}"/>
    <cellStyle name="Date [mmm-d-yyyy]" xfId="61" xr:uid="{00000000-0005-0000-0000-00003F000000}"/>
    <cellStyle name="Date [mmm-yyyy]" xfId="62" xr:uid="{00000000-0005-0000-0000-000040000000}"/>
    <cellStyle name="Dates" xfId="63" xr:uid="{00000000-0005-0000-0000-000041000000}"/>
    <cellStyle name="DateYear" xfId="64" xr:uid="{00000000-0005-0000-0000-000042000000}"/>
    <cellStyle name="Dezimal_Capital expenditure planning FY 2000" xfId="65" xr:uid="{00000000-0005-0000-0000-000043000000}"/>
    <cellStyle name="Dollar" xfId="66" xr:uid="{00000000-0005-0000-0000-000044000000}"/>
    <cellStyle name="Dollars" xfId="67" xr:uid="{00000000-0005-0000-0000-000045000000}"/>
    <cellStyle name="DollarWhole" xfId="68" xr:uid="{00000000-0005-0000-0000-000046000000}"/>
    <cellStyle name="eps" xfId="69" xr:uid="{00000000-0005-0000-0000-000047000000}"/>
    <cellStyle name="eps$" xfId="70" xr:uid="{00000000-0005-0000-0000-000048000000}"/>
    <cellStyle name="eps$A" xfId="71" xr:uid="{00000000-0005-0000-0000-000049000000}"/>
    <cellStyle name="eps$E" xfId="72" xr:uid="{00000000-0005-0000-0000-00004A000000}"/>
    <cellStyle name="epsA" xfId="73" xr:uid="{00000000-0005-0000-0000-00004C000000}"/>
    <cellStyle name="EPSActual" xfId="74" xr:uid="{00000000-0005-0000-0000-00004D000000}"/>
    <cellStyle name="epsE" xfId="75" xr:uid="{00000000-0005-0000-0000-00004E000000}"/>
    <cellStyle name="EPSEstimate" xfId="76" xr:uid="{00000000-0005-0000-0000-00004F000000}"/>
    <cellStyle name="Euro" xfId="77" xr:uid="{00000000-0005-0000-0000-000050000000}"/>
    <cellStyle name="Explanatory Text 2" xfId="78" xr:uid="{00000000-0005-0000-0000-000051000000}"/>
    <cellStyle name="fy_eps$" xfId="79" xr:uid="{00000000-0005-0000-0000-000052000000}"/>
    <cellStyle name="g_rate" xfId="80" xr:uid="{00000000-0005-0000-0000-000053000000}"/>
    <cellStyle name="g_rate_CW's MAKER MODEL" xfId="81" xr:uid="{00000000-0005-0000-0000-000054000000}"/>
    <cellStyle name="g_rate_valuation" xfId="82" xr:uid="{00000000-0005-0000-0000-000055000000}"/>
    <cellStyle name="General" xfId="83" xr:uid="{00000000-0005-0000-0000-000056000000}"/>
    <cellStyle name="Good 2" xfId="84" xr:uid="{00000000-0005-0000-0000-000057000000}"/>
    <cellStyle name="GrowthRate" xfId="85" xr:uid="{00000000-0005-0000-0000-000058000000}"/>
    <cellStyle name="GrowthSeq" xfId="86" xr:uid="{00000000-0005-0000-0000-000059000000}"/>
    <cellStyle name="Hard Number Input" xfId="87" xr:uid="{00000000-0005-0000-0000-00005A000000}"/>
    <cellStyle name="Hard Number Input 2" xfId="192" xr:uid="{00000000-0005-0000-0000-00005B000000}"/>
    <cellStyle name="Heading 1 2" xfId="88" xr:uid="{00000000-0005-0000-0000-00005C000000}"/>
    <cellStyle name="Heading 2 2" xfId="89" xr:uid="{00000000-0005-0000-0000-00005D000000}"/>
    <cellStyle name="Heading 3 2" xfId="90" xr:uid="{00000000-0005-0000-0000-00005E000000}"/>
    <cellStyle name="Heading 4 2" xfId="91" xr:uid="{00000000-0005-0000-0000-00005F000000}"/>
    <cellStyle name="Historical Number" xfId="92" xr:uid="{00000000-0005-0000-0000-000060000000}"/>
    <cellStyle name="iemens" xfId="93" xr:uid="{00000000-0005-0000-0000-000061000000}"/>
    <cellStyle name="Income" xfId="94" xr:uid="{00000000-0005-0000-0000-000062000000}"/>
    <cellStyle name="IncomeStatement" xfId="95" xr:uid="{00000000-0005-0000-0000-000063000000}"/>
    <cellStyle name="Input 2" xfId="96" xr:uid="{00000000-0005-0000-0000-000064000000}"/>
    <cellStyle name="Input 2 2" xfId="193" xr:uid="{00000000-0005-0000-0000-000065000000}"/>
    <cellStyle name="Input 2 3" xfId="191" xr:uid="{00000000-0005-0000-0000-000066000000}"/>
    <cellStyle name="Input Fixed [0]" xfId="97" xr:uid="{00000000-0005-0000-0000-000067000000}"/>
    <cellStyle name="Integer" xfId="98" xr:uid="{00000000-0005-0000-0000-000068000000}"/>
    <cellStyle name="Inverse Header" xfId="99" xr:uid="{00000000-0005-0000-0000-000069000000}"/>
    <cellStyle name="Item" xfId="100" xr:uid="{00000000-0005-0000-0000-00006A000000}"/>
    <cellStyle name="ItemTypeClass" xfId="101" xr:uid="{00000000-0005-0000-0000-00006B000000}"/>
    <cellStyle name="ItemTypeClass 2" xfId="194" xr:uid="{00000000-0005-0000-0000-00006C000000}"/>
    <cellStyle name="ItemTypeClass 3" xfId="190" xr:uid="{00000000-0005-0000-0000-00006D000000}"/>
    <cellStyle name="Linked Cell 2" xfId="102" xr:uid="{00000000-0005-0000-0000-00006E000000}"/>
    <cellStyle name="LTGR" xfId="103" xr:uid="{00000000-0005-0000-0000-00006F000000}"/>
    <cellStyle name="m" xfId="104" xr:uid="{00000000-0005-0000-0000-000070000000}"/>
    <cellStyle name="m$" xfId="105" xr:uid="{00000000-0005-0000-0000-000071000000}"/>
    <cellStyle name="m_CW's MAKER MODEL" xfId="106" xr:uid="{00000000-0005-0000-0000-000072000000}"/>
    <cellStyle name="m_valuation" xfId="107" xr:uid="{00000000-0005-0000-0000-000073000000}"/>
    <cellStyle name="Margin" xfId="108" xr:uid="{00000000-0005-0000-0000-000074000000}"/>
    <cellStyle name="Margins" xfId="109" xr:uid="{00000000-0005-0000-0000-000075000000}"/>
    <cellStyle name="mm" xfId="110" xr:uid="{00000000-0005-0000-0000-000076000000}"/>
    <cellStyle name="Multiple" xfId="111" xr:uid="{00000000-0005-0000-0000-000077000000}"/>
    <cellStyle name="NA is zero" xfId="112" xr:uid="{00000000-0005-0000-0000-000078000000}"/>
    <cellStyle name="Neutral 2" xfId="113" xr:uid="{00000000-0005-0000-0000-000079000000}"/>
    <cellStyle name="Normal" xfId="0" builtinId="0"/>
    <cellStyle name="Normal [0]" xfId="114" xr:uid="{00000000-0005-0000-0000-00007B000000}"/>
    <cellStyle name="Normal [1]" xfId="115" xr:uid="{00000000-0005-0000-0000-00007C000000}"/>
    <cellStyle name="Normal [2]" xfId="116" xr:uid="{00000000-0005-0000-0000-00007D000000}"/>
    <cellStyle name="Normal [3]" xfId="117" xr:uid="{00000000-0005-0000-0000-00007E000000}"/>
    <cellStyle name="Normal 2" xfId="118" xr:uid="{00000000-0005-0000-0000-00007F000000}"/>
    <cellStyle name="Normal Bold" xfId="119" xr:uid="{00000000-0005-0000-0000-000080000000}"/>
    <cellStyle name="Normal Pct" xfId="120" xr:uid="{00000000-0005-0000-0000-000081000000}"/>
    <cellStyle name="NormalX" xfId="121" xr:uid="{00000000-0005-0000-0000-000082000000}"/>
    <cellStyle name="Note 2" xfId="122" xr:uid="{00000000-0005-0000-0000-000083000000}"/>
    <cellStyle name="Note 2 2" xfId="195" xr:uid="{00000000-0005-0000-0000-000084000000}"/>
    <cellStyle name="Note 2 3" xfId="189" xr:uid="{00000000-0005-0000-0000-000085000000}"/>
    <cellStyle name="NPPESalesPct" xfId="123" xr:uid="{00000000-0005-0000-0000-000086000000}"/>
    <cellStyle name="Number" xfId="124" xr:uid="{00000000-0005-0000-0000-000087000000}"/>
    <cellStyle name="NWI%S" xfId="125" xr:uid="{00000000-0005-0000-0000-000088000000}"/>
    <cellStyle name="Output 2" xfId="126" xr:uid="{00000000-0005-0000-0000-000089000000}"/>
    <cellStyle name="Output 2 2" xfId="196" xr:uid="{00000000-0005-0000-0000-00008A000000}"/>
    <cellStyle name="Output 2 3" xfId="188" xr:uid="{00000000-0005-0000-0000-00008B000000}"/>
    <cellStyle name="P/E" xfId="127" xr:uid="{00000000-0005-0000-0000-00008C000000}"/>
    <cellStyle name="Palatino" xfId="128" xr:uid="{00000000-0005-0000-0000-00008D000000}"/>
    <cellStyle name="pc1" xfId="129" xr:uid="{00000000-0005-0000-0000-00008E000000}"/>
    <cellStyle name="pe" xfId="130" xr:uid="{00000000-0005-0000-0000-00008F000000}"/>
    <cellStyle name="PE/LTGR" xfId="131" xr:uid="{00000000-0005-0000-0000-000090000000}"/>
    <cellStyle name="PEG" xfId="132" xr:uid="{00000000-0005-0000-0000-000091000000}"/>
    <cellStyle name="Percent [0]" xfId="133" xr:uid="{00000000-0005-0000-0000-000092000000}"/>
    <cellStyle name="Percent [1]" xfId="134" xr:uid="{00000000-0005-0000-0000-000093000000}"/>
    <cellStyle name="Percent [2]" xfId="135" xr:uid="{00000000-0005-0000-0000-000094000000}"/>
    <cellStyle name="PercentChange" xfId="136" xr:uid="{00000000-0005-0000-0000-000095000000}"/>
    <cellStyle name="PercentPresentation" xfId="137" xr:uid="{00000000-0005-0000-0000-000096000000}"/>
    <cellStyle name="PerShare" xfId="138" xr:uid="{00000000-0005-0000-0000-000097000000}"/>
    <cellStyle name="POPS" xfId="139" xr:uid="{00000000-0005-0000-0000-000098000000}"/>
    <cellStyle name="Presentation" xfId="140" xr:uid="{00000000-0005-0000-0000-000099000000}"/>
    <cellStyle name="PresentationZero" xfId="141" xr:uid="{00000000-0005-0000-0000-00009A000000}"/>
    <cellStyle name="price" xfId="142" xr:uid="{00000000-0005-0000-0000-00009B000000}"/>
    <cellStyle name="price 2" xfId="198" xr:uid="{00000000-0005-0000-0000-00009C000000}"/>
    <cellStyle name="price 3" xfId="186" xr:uid="{00000000-0005-0000-0000-00009D000000}"/>
    <cellStyle name="q" xfId="143" xr:uid="{00000000-0005-0000-0000-00009E000000}"/>
    <cellStyle name="q_CW's MAKER MODEL" xfId="144" xr:uid="{00000000-0005-0000-0000-00009F000000}"/>
    <cellStyle name="QEPS-h" xfId="145" xr:uid="{00000000-0005-0000-0000-0000A0000000}"/>
    <cellStyle name="QEPS-H1" xfId="146" xr:uid="{00000000-0005-0000-0000-0000A1000000}"/>
    <cellStyle name="qRange" xfId="147" xr:uid="{00000000-0005-0000-0000-0000A2000000}"/>
    <cellStyle name="range" xfId="148" xr:uid="{00000000-0005-0000-0000-0000A3000000}"/>
    <cellStyle name="RatioX" xfId="149" xr:uid="{00000000-0005-0000-0000-0000A4000000}"/>
    <cellStyle name="Report" xfId="150" xr:uid="{00000000-0005-0000-0000-0000A5000000}"/>
    <cellStyle name="Right" xfId="151" xr:uid="{00000000-0005-0000-0000-0000A6000000}"/>
    <cellStyle name="SectionHeading" xfId="152" xr:uid="{00000000-0005-0000-0000-0000A7000000}"/>
    <cellStyle name="SectionHeading 2" xfId="185" xr:uid="{00000000-0005-0000-0000-0000A8000000}"/>
    <cellStyle name="Shares" xfId="153" xr:uid="{00000000-0005-0000-0000-0000A9000000}"/>
    <cellStyle name="StockPrice" xfId="154" xr:uid="{00000000-0005-0000-0000-0000AA000000}"/>
    <cellStyle name="Style 1" xfId="155" xr:uid="{00000000-0005-0000-0000-0000AB000000}"/>
    <cellStyle name="Style 21" xfId="156" xr:uid="{00000000-0005-0000-0000-0000AC000000}"/>
    <cellStyle name="Style 22" xfId="157" xr:uid="{00000000-0005-0000-0000-0000AD000000}"/>
    <cellStyle name="Style 23" xfId="158" xr:uid="{00000000-0005-0000-0000-0000AE000000}"/>
    <cellStyle name="Style 24" xfId="159" xr:uid="{00000000-0005-0000-0000-0000AF000000}"/>
    <cellStyle name="Style 26" xfId="160" xr:uid="{00000000-0005-0000-0000-0000B0000000}"/>
    <cellStyle name="Style 27" xfId="161" xr:uid="{00000000-0005-0000-0000-0000B1000000}"/>
    <cellStyle name="Style 34" xfId="162" xr:uid="{00000000-0005-0000-0000-0000B2000000}"/>
    <cellStyle name="Style 37" xfId="163" xr:uid="{00000000-0005-0000-0000-0000B3000000}"/>
    <cellStyle name="Style 63" xfId="164" xr:uid="{00000000-0005-0000-0000-0000B4000000}"/>
    <cellStyle name="SubDollar" xfId="165" xr:uid="{00000000-0005-0000-0000-0000B5000000}"/>
    <cellStyle name="SubGrowth" xfId="166" xr:uid="{00000000-0005-0000-0000-0000B6000000}"/>
    <cellStyle name="SubGrowthRate" xfId="167" xr:uid="{00000000-0005-0000-0000-0000B7000000}"/>
    <cellStyle name="SubMargins" xfId="168" xr:uid="{00000000-0005-0000-0000-0000B8000000}"/>
    <cellStyle name="SubPenetration" xfId="169" xr:uid="{00000000-0005-0000-0000-0000B9000000}"/>
    <cellStyle name="Subscribers" xfId="170" xr:uid="{00000000-0005-0000-0000-0000BA000000}"/>
    <cellStyle name="SubVariable" xfId="171" xr:uid="{00000000-0005-0000-0000-0000BB000000}"/>
    <cellStyle name="tcn" xfId="172" xr:uid="{00000000-0005-0000-0000-0000BC000000}"/>
    <cellStyle name="Times [1]" xfId="173" xr:uid="{00000000-0005-0000-0000-0000BD000000}"/>
    <cellStyle name="Times [2]" xfId="174" xr:uid="{00000000-0005-0000-0000-0000BE000000}"/>
    <cellStyle name="Title 2" xfId="175" xr:uid="{00000000-0005-0000-0000-0000BF000000}"/>
    <cellStyle name="title2" xfId="176" xr:uid="{00000000-0005-0000-0000-0000C0000000}"/>
    <cellStyle name="TitleII" xfId="177" xr:uid="{00000000-0005-0000-0000-0000C1000000}"/>
    <cellStyle name="Titles" xfId="178" xr:uid="{00000000-0005-0000-0000-0000C2000000}"/>
    <cellStyle name="TitleSub" xfId="179" xr:uid="{00000000-0005-0000-0000-0000C3000000}"/>
    <cellStyle name="tn" xfId="180" xr:uid="{00000000-0005-0000-0000-0000C4000000}"/>
    <cellStyle name="Total 2" xfId="181" xr:uid="{00000000-0005-0000-0000-0000C5000000}"/>
    <cellStyle name="Total 2 2" xfId="199" xr:uid="{00000000-0005-0000-0000-0000C6000000}"/>
    <cellStyle name="Total 2 3" xfId="200" xr:uid="{00000000-0005-0000-0000-0000C7000000}"/>
    <cellStyle name="Warning Text 2" xfId="182" xr:uid="{00000000-0005-0000-0000-0000C8000000}"/>
    <cellStyle name="WholeNumber" xfId="183" xr:uid="{00000000-0005-0000-0000-0000C9000000}"/>
    <cellStyle name="Year&quot;E&quot;" xfId="184" xr:uid="{00000000-0005-0000-0000-0000CA000000}"/>
  </cellStyles>
  <dxfs count="6">
    <dxf>
      <font>
        <color theme="2"/>
      </font>
      <fill>
        <patternFill>
          <bgColor theme="5" tint="0.39994506668294322"/>
        </patternFill>
      </fill>
    </dxf>
    <dxf>
      <font>
        <color theme="2"/>
      </font>
      <fill>
        <patternFill>
          <bgColor theme="5" tint="-0.24994659260841701"/>
        </patternFill>
      </fill>
    </dxf>
    <dxf>
      <font>
        <color theme="3" tint="-0.499984740745262"/>
      </font>
      <fill>
        <patternFill>
          <bgColor theme="5" tint="0.39994506668294322"/>
        </patternFill>
      </fill>
    </dxf>
    <dxf>
      <font>
        <color rgb="FF9C0006"/>
      </font>
      <fill>
        <patternFill>
          <bgColor rgb="FFFFC7CE"/>
        </patternFill>
      </fill>
    </dxf>
    <dxf>
      <numFmt numFmtId="14" formatCode="0.00%"/>
    </dxf>
    <dxf>
      <numFmt numFmtId="225" formatCode="#,##0.0_);\(#,##0.0\);@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dr:oneCellAnchor>
    <xdr:from>
      <xdr:col>18</xdr:col>
      <xdr:colOff>1238250</xdr:colOff>
      <xdr:row>21</xdr:row>
      <xdr:rowOff>114300</xdr:rowOff>
    </xdr:from>
    <xdr:ext cx="184731" cy="264560"/>
    <xdr:sp macro="" textlink="">
      <xdr:nvSpPr>
        <xdr:cNvPr id="3" name="TextBox 2">
          <a:extLst>
            <a:ext uri="{FF2B5EF4-FFF2-40B4-BE49-F238E27FC236}">
              <a16:creationId xmlns:a16="http://schemas.microsoft.com/office/drawing/2014/main" id="{00000000-0008-0000-1500-000003000000}"/>
            </a:ext>
          </a:extLst>
        </xdr:cNvPr>
        <xdr:cNvSpPr txBox="1"/>
      </xdr:nvSpPr>
      <xdr:spPr>
        <a:xfrm>
          <a:off x="14458950" y="4124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18</xdr:col>
      <xdr:colOff>1238250</xdr:colOff>
      <xdr:row>21</xdr:row>
      <xdr:rowOff>114300</xdr:rowOff>
    </xdr:from>
    <xdr:ext cx="184731" cy="264560"/>
    <xdr:sp macro="" textlink="">
      <xdr:nvSpPr>
        <xdr:cNvPr id="2" name="TextBox 1">
          <a:extLst>
            <a:ext uri="{FF2B5EF4-FFF2-40B4-BE49-F238E27FC236}">
              <a16:creationId xmlns:a16="http://schemas.microsoft.com/office/drawing/2014/main" id="{00000000-0008-0000-1600-000002000000}"/>
            </a:ext>
          </a:extLst>
        </xdr:cNvPr>
        <xdr:cNvSpPr txBox="1"/>
      </xdr:nvSpPr>
      <xdr:spPr>
        <a:xfrm>
          <a:off x="15830550" y="42291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6</xdr:col>
      <xdr:colOff>95250</xdr:colOff>
      <xdr:row>0</xdr:row>
      <xdr:rowOff>104775</xdr:rowOff>
    </xdr:from>
    <xdr:ext cx="3891734" cy="1304925"/>
    <xdr:sp macro="" textlink="">
      <xdr:nvSpPr>
        <xdr:cNvPr id="2" name="TextBox 1">
          <a:extLst>
            <a:ext uri="{FF2B5EF4-FFF2-40B4-BE49-F238E27FC236}">
              <a16:creationId xmlns:a16="http://schemas.microsoft.com/office/drawing/2014/main" id="{00000000-0008-0000-2400-000002000000}"/>
            </a:ext>
          </a:extLst>
        </xdr:cNvPr>
        <xdr:cNvSpPr txBox="1"/>
      </xdr:nvSpPr>
      <xdr:spPr>
        <a:xfrm>
          <a:off x="4486275" y="104775"/>
          <a:ext cx="3891734" cy="1304925"/>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100"/>
            <a:t>A company reports financial results on </a:t>
          </a:r>
          <a:r>
            <a:rPr lang="en-US" sz="1100" b="1"/>
            <a:t>May 31 </a:t>
          </a:r>
          <a:r>
            <a:rPr lang="en-US" sz="1100"/>
            <a:t>and </a:t>
          </a:r>
          <a:r>
            <a:rPr lang="en-US" sz="1100" b="1"/>
            <a:t>November 30 </a:t>
          </a:r>
          <a:r>
            <a:rPr lang="en-US" sz="1100"/>
            <a:t>of each year.  Below is a list of transacations along with correspodning transaction dates.  Transactions occuring between May 31 and November 30 are reported in the company's November 30 results, while all other transactions are reported in the May 31 results.  In column C, write a formula that will output the apprproiate period-end date for each transaction.</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Users/Matan/Dropbox%20(Wall%20Street%20Prep)/Course%20Materials-%20WSP/Excel%202013%20&amp;%202010%20Crash%20Course/Archives/Excel%20Files/Excel%20Practice%20Sheet%200_ans.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Users/mfeldman/Dropbox/Course%20Materials-%20WSP/Excel%20Crash%20Course%20-%202007/Excel%20templates/Excel%20Practice%20Sheet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Income Statement"/>
      <sheetName val="Sheet3"/>
      <sheetName val="Sheet5"/>
    </sheetNames>
    <sheetDataSet>
      <sheetData sheetId="0"/>
      <sheetData sheetId="1">
        <row r="5">
          <cell r="C5">
            <v>800</v>
          </cell>
        </row>
        <row r="6">
          <cell r="C6">
            <v>300</v>
          </cell>
        </row>
      </sheetData>
      <sheetData sheetId="2"/>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5"/>
      <sheetName val="Sheet3"/>
      <sheetName val="Data validation"/>
      <sheetName val="Income Statement"/>
      <sheetName val="Sheet1"/>
      <sheetName val="Sheet4"/>
      <sheetName val="Sheet2A"/>
      <sheetName val="Sheet2B"/>
      <sheetName val="Sheet2"/>
      <sheetName val="Sheet7"/>
      <sheetName val="Sheet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5">
          <cell r="C5">
            <v>800</v>
          </cell>
        </row>
        <row r="6">
          <cell r="C6">
            <v>300</v>
          </cell>
        </row>
      </sheetData>
      <sheetData sheetId="9"/>
      <sheetData sheetId="1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all Street Prep" refreshedDate="41710.631142592596" createdVersion="4" refreshedVersion="4" minRefreshableVersion="3" recordCount="54" xr:uid="{00000000-000A-0000-FFFF-FFFF00000000}">
  <cacheSource type="worksheet">
    <worksheetSource ref="A1:E55" sheet="PT Input"/>
  </cacheSource>
  <cacheFields count="5">
    <cacheField name="REIT" numFmtId="0">
      <sharedItems count="3">
        <s v="BRE Properties"/>
        <s v="Capital Properties"/>
        <s v="Equity Residential"/>
      </sharedItems>
    </cacheField>
    <cacheField name="Property Type" numFmtId="0">
      <sharedItems count="4">
        <s v="Residential"/>
        <s v="Retail"/>
        <s v="Office"/>
        <s v="Leisure"/>
      </sharedItems>
    </cacheField>
    <cacheField name="Region" numFmtId="0">
      <sharedItems count="4">
        <s v="East"/>
        <s v="West"/>
        <s v="North"/>
        <s v="South"/>
      </sharedItems>
    </cacheField>
    <cacheField name="Sq. Ft." numFmtId="37">
      <sharedItems containsSemiMixedTypes="0" containsString="0" containsNumber="1" containsInteger="1" minValue="388" maxValue="8683"/>
    </cacheField>
    <cacheField name="Property Value _x000a_($ in 000's)" numFmtId="5">
      <sharedItems containsSemiMixedTypes="0" containsString="0" containsNumber="1" containsInteger="1" minValue="280" maxValue="312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4">
  <r>
    <x v="0"/>
    <x v="0"/>
    <x v="0"/>
    <n v="5800"/>
    <n v="1391"/>
  </r>
  <r>
    <x v="1"/>
    <x v="1"/>
    <x v="1"/>
    <n v="2000"/>
    <n v="845"/>
  </r>
  <r>
    <x v="2"/>
    <x v="2"/>
    <x v="2"/>
    <n v="6558"/>
    <n v="1391"/>
  </r>
  <r>
    <x v="2"/>
    <x v="3"/>
    <x v="3"/>
    <n v="8683"/>
    <n v="1823"/>
  </r>
  <r>
    <x v="1"/>
    <x v="0"/>
    <x v="3"/>
    <n v="769"/>
    <n v="280"/>
  </r>
  <r>
    <x v="0"/>
    <x v="1"/>
    <x v="0"/>
    <n v="3900"/>
    <n v="1174"/>
  </r>
  <r>
    <x v="0"/>
    <x v="2"/>
    <x v="2"/>
    <n v="980"/>
    <n v="680"/>
  </r>
  <r>
    <x v="1"/>
    <x v="1"/>
    <x v="2"/>
    <n v="4000"/>
    <n v="1887"/>
  </r>
  <r>
    <x v="1"/>
    <x v="2"/>
    <x v="2"/>
    <n v="3850"/>
    <n v="1724"/>
  </r>
  <r>
    <x v="2"/>
    <x v="1"/>
    <x v="3"/>
    <n v="450"/>
    <n v="346"/>
  </r>
  <r>
    <x v="0"/>
    <x v="2"/>
    <x v="0"/>
    <n v="6000"/>
    <n v="1355"/>
  </r>
  <r>
    <x v="1"/>
    <x v="3"/>
    <x v="1"/>
    <n v="826"/>
    <n v="869"/>
  </r>
  <r>
    <x v="2"/>
    <x v="1"/>
    <x v="1"/>
    <n v="5401"/>
    <n v="1644"/>
  </r>
  <r>
    <x v="2"/>
    <x v="2"/>
    <x v="0"/>
    <n v="4392"/>
    <n v="1904"/>
  </r>
  <r>
    <x v="1"/>
    <x v="2"/>
    <x v="2"/>
    <n v="2974"/>
    <n v="1267"/>
  </r>
  <r>
    <x v="0"/>
    <x v="3"/>
    <x v="3"/>
    <n v="1429"/>
    <n v="1563"/>
  </r>
  <r>
    <x v="0"/>
    <x v="3"/>
    <x v="3"/>
    <n v="2590"/>
    <n v="1005"/>
  </r>
  <r>
    <x v="1"/>
    <x v="0"/>
    <x v="2"/>
    <n v="1511"/>
    <n v="959"/>
  </r>
  <r>
    <x v="0"/>
    <x v="3"/>
    <x v="1"/>
    <n v="2234"/>
    <n v="1246"/>
  </r>
  <r>
    <x v="2"/>
    <x v="0"/>
    <x v="0"/>
    <n v="1928"/>
    <n v="1223"/>
  </r>
  <r>
    <x v="1"/>
    <x v="0"/>
    <x v="3"/>
    <n v="4898"/>
    <n v="1667"/>
  </r>
  <r>
    <x v="0"/>
    <x v="3"/>
    <x v="2"/>
    <n v="4200"/>
    <n v="1250"/>
  </r>
  <r>
    <x v="2"/>
    <x v="0"/>
    <x v="2"/>
    <n v="1785"/>
    <n v="1034"/>
  </r>
  <r>
    <x v="1"/>
    <x v="0"/>
    <x v="3"/>
    <n v="1100"/>
    <n v="642"/>
  </r>
  <r>
    <x v="1"/>
    <x v="1"/>
    <x v="1"/>
    <n v="3214"/>
    <n v="1200"/>
  </r>
  <r>
    <x v="0"/>
    <x v="2"/>
    <x v="0"/>
    <n v="2931"/>
    <n v="1827"/>
  </r>
  <r>
    <x v="2"/>
    <x v="2"/>
    <x v="3"/>
    <n v="4875"/>
    <n v="1752"/>
  </r>
  <r>
    <x v="2"/>
    <x v="3"/>
    <x v="2"/>
    <n v="3165"/>
    <n v="1271"/>
  </r>
  <r>
    <x v="1"/>
    <x v="0"/>
    <x v="2"/>
    <n v="726"/>
    <n v="418"/>
  </r>
  <r>
    <x v="1"/>
    <x v="1"/>
    <x v="1"/>
    <n v="644"/>
    <n v="633"/>
  </r>
  <r>
    <x v="2"/>
    <x v="1"/>
    <x v="2"/>
    <n v="2502"/>
    <n v="934"/>
  </r>
  <r>
    <x v="0"/>
    <x v="2"/>
    <x v="3"/>
    <n v="930"/>
    <n v="777"/>
  </r>
  <r>
    <x v="0"/>
    <x v="0"/>
    <x v="0"/>
    <n v="4169"/>
    <n v="1990"/>
  </r>
  <r>
    <x v="2"/>
    <x v="3"/>
    <x v="2"/>
    <n v="388"/>
    <n v="854"/>
  </r>
  <r>
    <x v="0"/>
    <x v="0"/>
    <x v="3"/>
    <n v="829"/>
    <n v="535"/>
  </r>
  <r>
    <x v="2"/>
    <x v="3"/>
    <x v="1"/>
    <n v="774"/>
    <n v="472"/>
  </r>
  <r>
    <x v="1"/>
    <x v="0"/>
    <x v="0"/>
    <n v="1264"/>
    <n v="697"/>
  </r>
  <r>
    <x v="2"/>
    <x v="1"/>
    <x v="0"/>
    <n v="7809"/>
    <n v="2685"/>
  </r>
  <r>
    <x v="0"/>
    <x v="2"/>
    <x v="0"/>
    <n v="2469"/>
    <n v="1548"/>
  </r>
  <r>
    <x v="1"/>
    <x v="1"/>
    <x v="2"/>
    <n v="2315"/>
    <n v="1409"/>
  </r>
  <r>
    <x v="2"/>
    <x v="3"/>
    <x v="1"/>
    <n v="1050"/>
    <n v="613"/>
  </r>
  <r>
    <x v="0"/>
    <x v="0"/>
    <x v="0"/>
    <n v="5143"/>
    <n v="1642"/>
  </r>
  <r>
    <x v="1"/>
    <x v="2"/>
    <x v="3"/>
    <n v="965"/>
    <n v="823"/>
  </r>
  <r>
    <x v="1"/>
    <x v="1"/>
    <x v="3"/>
    <n v="4490"/>
    <n v="1610"/>
  </r>
  <r>
    <x v="0"/>
    <x v="2"/>
    <x v="0"/>
    <n v="5021"/>
    <n v="1731"/>
  </r>
  <r>
    <x v="2"/>
    <x v="1"/>
    <x v="1"/>
    <n v="429"/>
    <n v="647"/>
  </r>
  <r>
    <x v="2"/>
    <x v="2"/>
    <x v="2"/>
    <n v="1533"/>
    <n v="976"/>
  </r>
  <r>
    <x v="2"/>
    <x v="3"/>
    <x v="3"/>
    <n v="7901"/>
    <n v="3127"/>
  </r>
  <r>
    <x v="1"/>
    <x v="0"/>
    <x v="0"/>
    <n v="1459"/>
    <n v="980"/>
  </r>
  <r>
    <x v="2"/>
    <x v="1"/>
    <x v="1"/>
    <n v="2402"/>
    <n v="1240"/>
  </r>
  <r>
    <x v="0"/>
    <x v="2"/>
    <x v="2"/>
    <n v="675"/>
    <n v="291"/>
  </r>
  <r>
    <x v="0"/>
    <x v="3"/>
    <x v="2"/>
    <n v="4024"/>
    <n v="1595"/>
  </r>
  <r>
    <x v="1"/>
    <x v="0"/>
    <x v="3"/>
    <n v="1196"/>
    <n v="927"/>
  </r>
  <r>
    <x v="1"/>
    <x v="1"/>
    <x v="0"/>
    <n v="4069"/>
    <n v="19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1E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G13:L18" firstHeaderRow="1" firstDataRow="2" firstDataCol="1"/>
  <pivotFields count="5">
    <pivotField axis="axisRow" showAll="0">
      <items count="4">
        <item x="0"/>
        <item x="1"/>
        <item x="2"/>
        <item t="default"/>
      </items>
    </pivotField>
    <pivotField showAll="0">
      <items count="5">
        <item x="3"/>
        <item x="2"/>
        <item x="0"/>
        <item x="1"/>
        <item t="default"/>
      </items>
    </pivotField>
    <pivotField axis="axisCol" showAll="0">
      <items count="5">
        <item x="0"/>
        <item x="2"/>
        <item x="3"/>
        <item x="1"/>
        <item t="default"/>
      </items>
    </pivotField>
    <pivotField numFmtId="37" showAll="0"/>
    <pivotField dataField="1" numFmtId="5" showAll="0"/>
  </pivotFields>
  <rowFields count="1">
    <field x="0"/>
  </rowFields>
  <rowItems count="4">
    <i>
      <x/>
    </i>
    <i>
      <x v="1"/>
    </i>
    <i>
      <x v="2"/>
    </i>
    <i t="grand">
      <x/>
    </i>
  </rowItems>
  <colFields count="1">
    <field x="2"/>
  </colFields>
  <colItems count="5">
    <i>
      <x/>
    </i>
    <i>
      <x v="1"/>
    </i>
    <i>
      <x v="2"/>
    </i>
    <i>
      <x v="3"/>
    </i>
    <i t="grand">
      <x/>
    </i>
  </colItems>
  <dataFields count="1">
    <dataField name="Count of Property Value " fld="4" subtotal="count" showDataAs="percentOfCol" baseField="0" baseItem="2" numFmtId="10"/>
  </dataFields>
  <formats count="2">
    <format dxfId="5">
      <pivotArea grandRow="1" outline="0" collapsedLevelsAreSubtotals="1" fieldPosition="0"/>
    </format>
    <format dxfId="4">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Millstein">
  <a:themeElements>
    <a:clrScheme name="Millstein">
      <a:dk1>
        <a:sysClr val="windowText" lastClr="000000"/>
      </a:dk1>
      <a:lt1>
        <a:sysClr val="window" lastClr="FFFFFF"/>
      </a:lt1>
      <a:dk2>
        <a:srgbClr val="8790BC"/>
      </a:dk2>
      <a:lt2>
        <a:srgbClr val="660025"/>
      </a:lt2>
      <a:accent1>
        <a:srgbClr val="3D642B"/>
      </a:accent1>
      <a:accent2>
        <a:srgbClr val="D6CA72"/>
      </a:accent2>
      <a:accent3>
        <a:srgbClr val="1D3170"/>
      </a:accent3>
      <a:accent4>
        <a:srgbClr val="999999"/>
      </a:accent4>
      <a:accent5>
        <a:srgbClr val="532765"/>
      </a:accent5>
      <a:accent6>
        <a:srgbClr val="664D2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custClrLst>
    <a:custClr name="Color 1">
      <a:srgbClr val="660025"/>
    </a:custClr>
    <a:custClr name="Color 2">
      <a:srgbClr val="8790BC"/>
    </a:custClr>
    <a:custClr name="Color 3">
      <a:srgbClr val="3D642B"/>
    </a:custClr>
    <a:custClr name="Color 4">
      <a:srgbClr val="D6CA72"/>
    </a:custClr>
    <a:custClr name="Color 5">
      <a:srgbClr val="1D3170"/>
    </a:custClr>
    <a:custClr name="Color 6">
      <a:srgbClr val="999999"/>
    </a:custClr>
    <a:custClr name="Color 7">
      <a:srgbClr val="532765"/>
    </a:custClr>
    <a:custClr name="Color 8">
      <a:srgbClr val="664D20"/>
    </a:custClr>
  </a:custClr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6.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7.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6">
    <pageSetUpPr fitToPage="1"/>
  </sheetPr>
  <dimension ref="A1:F5"/>
  <sheetViews>
    <sheetView zoomScaleNormal="100" workbookViewId="0">
      <selection activeCell="C26" sqref="C26"/>
    </sheetView>
  </sheetViews>
  <sheetFormatPr defaultColWidth="9.109375" defaultRowHeight="14.4"/>
  <cols>
    <col min="1" max="1" width="9.109375" style="221"/>
    <col min="2" max="2" width="17.6640625" style="221" bestFit="1" customWidth="1"/>
    <col min="3" max="6" width="9.109375" style="221" customWidth="1"/>
    <col min="7" max="16384" width="9.109375" style="221"/>
  </cols>
  <sheetData>
    <row r="1" spans="1:6">
      <c r="C1" s="67" t="s">
        <v>3328</v>
      </c>
      <c r="D1" s="67"/>
      <c r="E1" s="67" t="s">
        <v>414</v>
      </c>
      <c r="F1" s="67"/>
    </row>
    <row r="2" spans="1:6">
      <c r="A2" s="285" t="s">
        <v>433</v>
      </c>
      <c r="C2" s="223">
        <v>2005</v>
      </c>
      <c r="D2" s="223">
        <v>2006</v>
      </c>
      <c r="E2" s="223">
        <v>2007</v>
      </c>
      <c r="F2" s="223">
        <v>2008</v>
      </c>
    </row>
    <row r="3" spans="1:6">
      <c r="B3" s="221" t="s">
        <v>36</v>
      </c>
      <c r="C3" s="61">
        <v>100</v>
      </c>
      <c r="D3" s="61">
        <v>125</v>
      </c>
      <c r="E3" s="61">
        <v>150</v>
      </c>
      <c r="F3" s="61">
        <v>175</v>
      </c>
    </row>
    <row r="4" spans="1:6">
      <c r="B4" s="221" t="s">
        <v>37</v>
      </c>
      <c r="C4" s="61">
        <v>50</v>
      </c>
      <c r="D4" s="61">
        <v>60</v>
      </c>
      <c r="E4" s="61">
        <v>70</v>
      </c>
      <c r="F4" s="61">
        <v>80</v>
      </c>
    </row>
    <row r="5" spans="1:6">
      <c r="B5" s="221" t="s">
        <v>38</v>
      </c>
      <c r="C5" s="61">
        <f>C3-C4</f>
        <v>50</v>
      </c>
      <c r="D5" s="61">
        <f t="shared" ref="D5:F5" si="0">D3-D4</f>
        <v>65</v>
      </c>
      <c r="E5" s="61">
        <f t="shared" si="0"/>
        <v>80</v>
      </c>
      <c r="F5" s="61">
        <f t="shared" si="0"/>
        <v>95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5">
    <pageSetUpPr fitToPage="1"/>
  </sheetPr>
  <dimension ref="A1:H17"/>
  <sheetViews>
    <sheetView zoomScaleNormal="100" workbookViewId="0">
      <selection activeCell="L21" sqref="A1:XFD1048576"/>
    </sheetView>
  </sheetViews>
  <sheetFormatPr defaultColWidth="9.109375" defaultRowHeight="14.4" outlineLevelRow="1" outlineLevelCol="1"/>
  <cols>
    <col min="1" max="1" width="9.109375" style="221"/>
    <col min="2" max="2" width="40.6640625" style="221" bestFit="1" customWidth="1"/>
    <col min="3" max="3" width="13.6640625" style="221" bestFit="1" customWidth="1" outlineLevel="1"/>
    <col min="4" max="7" width="11" style="221" bestFit="1" customWidth="1"/>
    <col min="8" max="8" width="10" style="221" bestFit="1" customWidth="1"/>
    <col min="9" max="16384" width="9.109375" style="221"/>
  </cols>
  <sheetData>
    <row r="1" spans="1:8">
      <c r="B1" s="221" t="s">
        <v>3322</v>
      </c>
      <c r="C1" s="283" t="s">
        <v>34</v>
      </c>
    </row>
    <row r="3" spans="1:8">
      <c r="B3" s="221" t="str">
        <f>"Income Statement for "&amp;C1</f>
        <v>Income Statement for Lemonade Co.</v>
      </c>
      <c r="H3" s="160">
        <v>43723</v>
      </c>
    </row>
    <row r="4" spans="1:8">
      <c r="A4" s="285"/>
      <c r="B4" s="222"/>
      <c r="C4" s="286">
        <v>42004</v>
      </c>
      <c r="D4" s="286">
        <f>DATE(YEAR(C4)+1,MONTH(C4),DAY(C4))</f>
        <v>42369</v>
      </c>
      <c r="E4" s="286">
        <f t="shared" ref="E4:G4" si="0">DATE(YEAR(D4)+1,MONTH(D4),DAY(D4))</f>
        <v>42735</v>
      </c>
      <c r="F4" s="286">
        <f t="shared" si="0"/>
        <v>43100</v>
      </c>
      <c r="G4" s="286">
        <f t="shared" si="0"/>
        <v>43465</v>
      </c>
      <c r="H4" s="287">
        <f>YEARFRAC(G4,H3)</f>
        <v>0.70833333333333337</v>
      </c>
    </row>
    <row r="5" spans="1:8">
      <c r="B5" s="222" t="s">
        <v>36</v>
      </c>
      <c r="C5" s="288">
        <v>800</v>
      </c>
      <c r="D5" s="288">
        <v>1000</v>
      </c>
      <c r="E5" s="288">
        <v>1500</v>
      </c>
      <c r="F5" s="288">
        <v>2500</v>
      </c>
      <c r="G5" s="288">
        <v>4500</v>
      </c>
      <c r="H5" s="221">
        <f>G5*H4</f>
        <v>3187.5</v>
      </c>
    </row>
    <row r="6" spans="1:8" outlineLevel="1">
      <c r="B6" s="222" t="s">
        <v>37</v>
      </c>
      <c r="C6" s="288">
        <v>300</v>
      </c>
      <c r="D6" s="288">
        <v>500</v>
      </c>
      <c r="E6" s="288">
        <v>1200</v>
      </c>
      <c r="F6" s="288">
        <v>3400</v>
      </c>
      <c r="G6" s="288">
        <v>4000</v>
      </c>
    </row>
    <row r="7" spans="1:8" outlineLevel="1">
      <c r="B7" s="222" t="s">
        <v>38</v>
      </c>
      <c r="C7" s="99">
        <f>Revenues2004-COGS2004</f>
        <v>500</v>
      </c>
      <c r="D7" s="99">
        <f>D5-D6</f>
        <v>500</v>
      </c>
      <c r="E7" s="99">
        <f t="shared" ref="E7:G7" si="1">E5-E6</f>
        <v>300</v>
      </c>
      <c r="F7" s="99">
        <f t="shared" si="1"/>
        <v>-900</v>
      </c>
      <c r="G7" s="99">
        <f t="shared" si="1"/>
        <v>500</v>
      </c>
    </row>
    <row r="8" spans="1:8" outlineLevel="1">
      <c r="B8" s="222" t="s">
        <v>39</v>
      </c>
      <c r="C8" s="288">
        <v>35</v>
      </c>
      <c r="D8" s="288">
        <v>45</v>
      </c>
      <c r="E8" s="288">
        <v>55</v>
      </c>
      <c r="F8" s="288">
        <v>65</v>
      </c>
      <c r="G8" s="288">
        <v>78</v>
      </c>
    </row>
    <row r="9" spans="1:8" outlineLevel="1">
      <c r="B9" s="222" t="s">
        <v>66</v>
      </c>
      <c r="C9" s="288">
        <v>15</v>
      </c>
      <c r="D9" s="288">
        <v>15</v>
      </c>
      <c r="E9" s="288">
        <v>15</v>
      </c>
      <c r="F9" s="288">
        <v>15</v>
      </c>
      <c r="G9" s="288">
        <v>15</v>
      </c>
    </row>
    <row r="10" spans="1:8" outlineLevel="1">
      <c r="B10" s="222" t="s">
        <v>3323</v>
      </c>
      <c r="C10" s="99">
        <f>C7-C8-C9</f>
        <v>450</v>
      </c>
      <c r="D10" s="99">
        <f>D7-D8-D9</f>
        <v>440</v>
      </c>
      <c r="E10" s="99">
        <f>E7-E8-E9</f>
        <v>230</v>
      </c>
      <c r="F10" s="99">
        <f>F7-F8-F9</f>
        <v>-980</v>
      </c>
      <c r="G10" s="99">
        <f>G7-G8-G9</f>
        <v>407</v>
      </c>
    </row>
    <row r="11" spans="1:8" outlineLevel="1">
      <c r="B11" s="229" t="s">
        <v>3324</v>
      </c>
      <c r="C11" s="61">
        <f>IF($C$14,C10*$C14,"No tax")</f>
        <v>157.5</v>
      </c>
      <c r="D11" s="61">
        <f t="shared" ref="D11:G11" si="2">IF($C$14,D10*$C14,"No tax")</f>
        <v>154</v>
      </c>
      <c r="E11" s="61">
        <f t="shared" si="2"/>
        <v>80.5</v>
      </c>
      <c r="F11" s="61">
        <f t="shared" si="2"/>
        <v>-343</v>
      </c>
      <c r="G11" s="61">
        <f t="shared" si="2"/>
        <v>142.44999999999999</v>
      </c>
    </row>
    <row r="12" spans="1:8">
      <c r="B12" s="229" t="s">
        <v>3325</v>
      </c>
      <c r="C12" s="61">
        <f>IFERROR(C10-C11,"NM")</f>
        <v>292.5</v>
      </c>
      <c r="D12" s="61">
        <f t="shared" ref="D12:G12" si="3">IFERROR(D10-D11,"NM")</f>
        <v>286</v>
      </c>
      <c r="E12" s="61">
        <f t="shared" si="3"/>
        <v>149.5</v>
      </c>
      <c r="F12" s="61">
        <f t="shared" si="3"/>
        <v>-637</v>
      </c>
      <c r="G12" s="61">
        <f t="shared" si="3"/>
        <v>264.55</v>
      </c>
    </row>
    <row r="14" spans="1:8">
      <c r="B14" s="221" t="s">
        <v>35</v>
      </c>
      <c r="C14" s="289">
        <v>0.35</v>
      </c>
    </row>
    <row r="16" spans="1:8">
      <c r="B16" s="221" t="s">
        <v>3326</v>
      </c>
      <c r="D16" s="290">
        <v>5000</v>
      </c>
    </row>
    <row r="17" spans="2:4">
      <c r="B17" s="221" t="s">
        <v>3327</v>
      </c>
      <c r="D17" s="101">
        <f>IF(D16,D16,C10*5)</f>
        <v>5000</v>
      </c>
    </row>
  </sheetData>
  <pageMargins left="0.7" right="0.7" top="0.75" bottom="0.75" header="0.3" footer="0.3"/>
  <pageSetup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B1:C21"/>
  <sheetViews>
    <sheetView zoomScaleNormal="100" workbookViewId="0">
      <selection activeCell="E21" sqref="A1:XFD1048576"/>
    </sheetView>
  </sheetViews>
  <sheetFormatPr defaultColWidth="8.77734375" defaultRowHeight="14.4"/>
  <cols>
    <col min="2" max="2" width="60.109375" bestFit="1" customWidth="1"/>
    <col min="3" max="3" width="10.6640625" customWidth="1"/>
  </cols>
  <sheetData>
    <row r="1" spans="2:3" ht="15" thickBot="1">
      <c r="B1" s="10" t="s">
        <v>14</v>
      </c>
      <c r="C1" s="11"/>
    </row>
    <row r="2" spans="2:3">
      <c r="B2" s="1" t="s">
        <v>0</v>
      </c>
    </row>
    <row r="3" spans="2:3">
      <c r="B3" t="s">
        <v>1</v>
      </c>
      <c r="C3" s="2">
        <v>25</v>
      </c>
    </row>
    <row r="4" spans="2:3">
      <c r="B4" t="s">
        <v>2</v>
      </c>
      <c r="C4" s="2">
        <v>17</v>
      </c>
    </row>
    <row r="6" spans="2:3">
      <c r="B6" s="1" t="s">
        <v>3</v>
      </c>
      <c r="C6" s="3" t="s">
        <v>4</v>
      </c>
    </row>
    <row r="7" spans="2:3">
      <c r="B7" s="4" t="s">
        <v>5</v>
      </c>
      <c r="C7" s="5"/>
    </row>
    <row r="8" spans="2:3">
      <c r="B8" s="4" t="s">
        <v>6</v>
      </c>
      <c r="C8" s="6"/>
    </row>
    <row r="9" spans="2:3">
      <c r="B9" s="4" t="s">
        <v>7</v>
      </c>
      <c r="C9" s="7"/>
    </row>
    <row r="11" spans="2:3" ht="15" thickBot="1">
      <c r="B11" s="10" t="s">
        <v>15</v>
      </c>
      <c r="C11" s="11"/>
    </row>
    <row r="12" spans="2:3">
      <c r="B12" s="1" t="s">
        <v>0</v>
      </c>
    </row>
    <row r="13" spans="2:3">
      <c r="B13" t="s">
        <v>8</v>
      </c>
      <c r="C13" s="2">
        <v>300</v>
      </c>
    </row>
    <row r="14" spans="2:3">
      <c r="B14" t="s">
        <v>9</v>
      </c>
      <c r="C14" s="2">
        <v>400</v>
      </c>
    </row>
    <row r="16" spans="2:3">
      <c r="B16" t="s">
        <v>10</v>
      </c>
      <c r="C16" s="2">
        <v>50</v>
      </c>
    </row>
    <row r="17" spans="2:3">
      <c r="B17" t="s">
        <v>11</v>
      </c>
      <c r="C17" s="2">
        <v>60</v>
      </c>
    </row>
    <row r="19" spans="2:3">
      <c r="B19" s="1" t="s">
        <v>3</v>
      </c>
      <c r="C19" s="3" t="s">
        <v>4</v>
      </c>
    </row>
    <row r="20" spans="2:3">
      <c r="B20" s="4" t="s">
        <v>12</v>
      </c>
      <c r="C20" s="5"/>
    </row>
    <row r="21" spans="2:3">
      <c r="B21" s="4" t="s">
        <v>13</v>
      </c>
      <c r="C21" s="6"/>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B1:D21"/>
  <sheetViews>
    <sheetView zoomScaleNormal="100" workbookViewId="0"/>
  </sheetViews>
  <sheetFormatPr defaultColWidth="9.109375" defaultRowHeight="14.4"/>
  <cols>
    <col min="1" max="1" width="9.109375" style="221"/>
    <col min="2" max="2" width="60.109375" style="221" bestFit="1" customWidth="1"/>
    <col min="3" max="3" width="10.6640625" style="221" customWidth="1"/>
    <col min="4" max="16384" width="9.109375" style="221"/>
  </cols>
  <sheetData>
    <row r="1" spans="2:4" ht="15" thickBot="1">
      <c r="B1" s="10" t="s">
        <v>14</v>
      </c>
      <c r="C1" s="226"/>
    </row>
    <row r="2" spans="2:4">
      <c r="B2" s="223" t="s">
        <v>0</v>
      </c>
    </row>
    <row r="3" spans="2:4">
      <c r="B3" s="221" t="s">
        <v>1</v>
      </c>
      <c r="C3" s="224">
        <v>25</v>
      </c>
    </row>
    <row r="4" spans="2:4">
      <c r="B4" s="221" t="s">
        <v>2</v>
      </c>
      <c r="C4" s="224">
        <v>17</v>
      </c>
    </row>
    <row r="6" spans="2:4">
      <c r="B6" s="223" t="s">
        <v>3</v>
      </c>
      <c r="C6" s="225" t="s">
        <v>4</v>
      </c>
    </row>
    <row r="7" spans="2:4">
      <c r="B7" s="222" t="s">
        <v>5</v>
      </c>
      <c r="C7" s="5" t="str">
        <f>IF(C3&gt;=18,"yes","no")</f>
        <v>yes</v>
      </c>
    </row>
    <row r="8" spans="2:4">
      <c r="B8" s="222" t="s">
        <v>6</v>
      </c>
      <c r="C8" s="6">
        <f>IF(C7="yes",C3-18,0)</f>
        <v>7</v>
      </c>
    </row>
    <row r="9" spans="2:4">
      <c r="B9" s="222" t="s">
        <v>7</v>
      </c>
      <c r="C9" s="7" t="str">
        <f>IF(C7="yes",IF(C4&gt;=18,"yes","no"),"no")</f>
        <v>no</v>
      </c>
      <c r="D9" s="221" t="str">
        <f>IF(AND(C7="yes",C4&gt;=18),"yes","no")</f>
        <v>no</v>
      </c>
    </row>
    <row r="11" spans="2:4" ht="15" thickBot="1">
      <c r="B11" s="10" t="s">
        <v>15</v>
      </c>
      <c r="C11" s="226"/>
    </row>
    <row r="12" spans="2:4">
      <c r="B12" s="223" t="s">
        <v>0</v>
      </c>
    </row>
    <row r="13" spans="2:4">
      <c r="B13" s="221" t="s">
        <v>8</v>
      </c>
      <c r="C13" s="224">
        <v>300</v>
      </c>
    </row>
    <row r="14" spans="2:4">
      <c r="B14" s="221" t="s">
        <v>9</v>
      </c>
      <c r="C14" s="224">
        <v>400</v>
      </c>
    </row>
    <row r="16" spans="2:4">
      <c r="B16" s="221" t="s">
        <v>10</v>
      </c>
      <c r="C16" s="224">
        <v>50</v>
      </c>
    </row>
    <row r="17" spans="2:3">
      <c r="B17" s="221" t="s">
        <v>11</v>
      </c>
      <c r="C17" s="224">
        <v>60</v>
      </c>
    </row>
    <row r="19" spans="2:3">
      <c r="B19" s="223" t="s">
        <v>3</v>
      </c>
      <c r="C19" s="225" t="s">
        <v>4</v>
      </c>
    </row>
    <row r="20" spans="2:3">
      <c r="B20" s="222" t="s">
        <v>12</v>
      </c>
      <c r="C20" s="5" t="str">
        <f>IF(C14&gt;C13,"yes","no")</f>
        <v>yes</v>
      </c>
    </row>
    <row r="21" spans="2:3">
      <c r="B21" s="222" t="s">
        <v>13</v>
      </c>
      <c r="C21" s="6" t="str">
        <f>IF(AND(C20="yes",C17&gt;C16),"yes","no")</f>
        <v>yes</v>
      </c>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B2:H20"/>
  <sheetViews>
    <sheetView zoomScale="104" zoomScaleNormal="100" workbookViewId="0">
      <selection activeCell="B24" sqref="A1:XFD1048576"/>
    </sheetView>
  </sheetViews>
  <sheetFormatPr defaultColWidth="9.109375" defaultRowHeight="14.4"/>
  <cols>
    <col min="1" max="1" width="9.109375" style="221"/>
    <col min="2" max="2" width="52" style="221" bestFit="1" customWidth="1"/>
    <col min="3" max="16384" width="9.109375" style="221"/>
  </cols>
  <sheetData>
    <row r="2" spans="2:8">
      <c r="B2" s="221" t="s">
        <v>412</v>
      </c>
      <c r="H2" s="268">
        <v>1</v>
      </c>
    </row>
    <row r="3" spans="2:8">
      <c r="C3" s="269" t="s">
        <v>413</v>
      </c>
      <c r="D3" s="269"/>
      <c r="E3" s="269"/>
      <c r="F3" s="269" t="s">
        <v>414</v>
      </c>
      <c r="G3" s="269"/>
      <c r="H3" s="269"/>
    </row>
    <row r="4" spans="2:8">
      <c r="C4" s="8">
        <v>2013</v>
      </c>
      <c r="D4" s="8">
        <v>2014</v>
      </c>
      <c r="E4" s="8">
        <v>2015</v>
      </c>
      <c r="F4" s="8">
        <v>2016</v>
      </c>
      <c r="G4" s="8">
        <v>2016</v>
      </c>
      <c r="H4" s="8">
        <v>2016</v>
      </c>
    </row>
    <row r="5" spans="2:8">
      <c r="B5" s="221" t="s">
        <v>73</v>
      </c>
      <c r="C5" s="111">
        <v>1376</v>
      </c>
      <c r="D5" s="111">
        <v>1487</v>
      </c>
      <c r="E5" s="111">
        <v>1532</v>
      </c>
      <c r="F5" s="101">
        <f>E5*(1+F12)</f>
        <v>1577.96</v>
      </c>
      <c r="G5" s="101">
        <f>F5*(1+G12)</f>
        <v>1625.2988</v>
      </c>
      <c r="H5" s="101">
        <f>G5*(1+H12)</f>
        <v>1674.0577640000001</v>
      </c>
    </row>
    <row r="6" spans="2:8">
      <c r="B6" s="221" t="s">
        <v>415</v>
      </c>
      <c r="C6" s="111">
        <v>467</v>
      </c>
      <c r="D6" s="111">
        <v>540</v>
      </c>
      <c r="E6" s="111">
        <v>564</v>
      </c>
      <c r="F6" s="101">
        <f>F5*F13</f>
        <v>583.84519999999998</v>
      </c>
      <c r="G6" s="101">
        <f>G5*G13</f>
        <v>601.36055599999997</v>
      </c>
      <c r="H6" s="101">
        <f>H5*H13</f>
        <v>619.40137268000001</v>
      </c>
    </row>
    <row r="7" spans="2:8">
      <c r="B7" s="221" t="s">
        <v>38</v>
      </c>
      <c r="C7" s="240">
        <f t="shared" ref="C7:H7" si="0">C5-C6</f>
        <v>909</v>
      </c>
      <c r="D7" s="240">
        <f t="shared" si="0"/>
        <v>947</v>
      </c>
      <c r="E7" s="240">
        <f t="shared" si="0"/>
        <v>968</v>
      </c>
      <c r="F7" s="240">
        <f t="shared" si="0"/>
        <v>994.11480000000006</v>
      </c>
      <c r="G7" s="240">
        <f t="shared" si="0"/>
        <v>1023.9382440000001</v>
      </c>
      <c r="H7" s="240">
        <f t="shared" si="0"/>
        <v>1054.6563913200002</v>
      </c>
    </row>
    <row r="8" spans="2:8">
      <c r="B8" s="221" t="s">
        <v>416</v>
      </c>
      <c r="C8" s="111">
        <v>121</v>
      </c>
      <c r="D8" s="111">
        <v>146</v>
      </c>
      <c r="E8" s="111">
        <v>167</v>
      </c>
      <c r="F8" s="99">
        <f>F5*F14</f>
        <v>172.01000000000002</v>
      </c>
      <c r="G8" s="99">
        <f>G5*G14</f>
        <v>177.1703</v>
      </c>
      <c r="H8" s="99">
        <f>H5*H14</f>
        <v>182.48540900000003</v>
      </c>
    </row>
    <row r="9" spans="2:8">
      <c r="B9" s="221" t="s">
        <v>417</v>
      </c>
      <c r="C9" s="101">
        <f t="shared" ref="C9:H9" si="1">C7-C8</f>
        <v>788</v>
      </c>
      <c r="D9" s="101">
        <f t="shared" si="1"/>
        <v>801</v>
      </c>
      <c r="E9" s="101">
        <f t="shared" si="1"/>
        <v>801</v>
      </c>
      <c r="F9" s="101">
        <f t="shared" si="1"/>
        <v>822.10480000000007</v>
      </c>
      <c r="G9" s="101">
        <f t="shared" si="1"/>
        <v>846.76794400000006</v>
      </c>
      <c r="H9" s="101">
        <f t="shared" si="1"/>
        <v>872.17098232000023</v>
      </c>
    </row>
    <row r="11" spans="2:8">
      <c r="B11" s="223" t="s">
        <v>418</v>
      </c>
    </row>
    <row r="12" spans="2:8">
      <c r="B12" s="221" t="s">
        <v>419</v>
      </c>
      <c r="C12" s="270"/>
      <c r="D12" s="270">
        <f>D5/C5-1</f>
        <v>8.0668604651162878E-2</v>
      </c>
      <c r="E12" s="270">
        <f>E5/D5-1</f>
        <v>3.0262273032952258E-2</v>
      </c>
      <c r="F12" s="271">
        <v>0.03</v>
      </c>
      <c r="G12" s="271">
        <v>0.03</v>
      </c>
      <c r="H12" s="271">
        <v>0.03</v>
      </c>
    </row>
    <row r="13" spans="2:8">
      <c r="B13" s="221" t="s">
        <v>420</v>
      </c>
      <c r="C13" s="270">
        <f>C6/C5</f>
        <v>0.33938953488372092</v>
      </c>
      <c r="D13" s="270">
        <f>D6/D5</f>
        <v>0.36314727639542704</v>
      </c>
      <c r="E13" s="270">
        <f>E6/E5</f>
        <v>0.36814621409921672</v>
      </c>
      <c r="F13" s="271">
        <v>0.37</v>
      </c>
      <c r="G13" s="271">
        <v>0.37</v>
      </c>
      <c r="H13" s="271">
        <v>0.37</v>
      </c>
    </row>
    <row r="14" spans="2:8">
      <c r="B14" s="221" t="s">
        <v>426</v>
      </c>
      <c r="C14" s="270">
        <f>C8/C5</f>
        <v>8.7936046511627911E-2</v>
      </c>
      <c r="D14" s="270">
        <f>D8/D5</f>
        <v>9.8184263618022863E-2</v>
      </c>
      <c r="E14" s="270">
        <f>E8/E5</f>
        <v>0.10900783289817233</v>
      </c>
      <c r="F14" s="270">
        <f>IF($H$2=1,E14,IF($H$2=2,AVERAGE(C14:E14),IF($H$2=3,AVERAGE(D14:E14),E8/F5)))</f>
        <v>0.10900783289817233</v>
      </c>
      <c r="G14" s="270">
        <f>IF($H$2=1,F14,IF($H$2=2,AVERAGE(D14:F14),IF($H$2=3,AVERAGE(E14:F14),F8/G5)))</f>
        <v>0.10900783289817233</v>
      </c>
      <c r="H14" s="270">
        <f>IF($H$2=1,G14,IF($H$2=2,AVERAGE(E14:G14),IF($H$2=3,AVERAGE(F14:G14),G8/H5)))</f>
        <v>0.10900783289817233</v>
      </c>
    </row>
    <row r="15" spans="2:8">
      <c r="B15" s="221" t="s">
        <v>427</v>
      </c>
      <c r="F15" s="272"/>
      <c r="G15" s="272"/>
      <c r="H15" s="272"/>
    </row>
    <row r="16" spans="2:8">
      <c r="B16" s="37" t="s">
        <v>421</v>
      </c>
    </row>
    <row r="17" spans="2:2">
      <c r="B17" s="221" t="s">
        <v>422</v>
      </c>
    </row>
    <row r="18" spans="2:2">
      <c r="B18" s="221" t="s">
        <v>423</v>
      </c>
    </row>
    <row r="19" spans="2:2">
      <c r="B19" s="221" t="s">
        <v>424</v>
      </c>
    </row>
    <row r="20" spans="2:2">
      <c r="B20" s="221" t="s">
        <v>425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B2:H20"/>
  <sheetViews>
    <sheetView zoomScaleNormal="100" workbookViewId="0"/>
  </sheetViews>
  <sheetFormatPr defaultColWidth="9.109375" defaultRowHeight="14.4"/>
  <cols>
    <col min="1" max="1" width="9.109375" style="221"/>
    <col min="2" max="2" width="52" style="221" bestFit="1" customWidth="1"/>
    <col min="3" max="16384" width="9.109375" style="221"/>
  </cols>
  <sheetData>
    <row r="2" spans="2:8">
      <c r="B2" s="221" t="s">
        <v>412</v>
      </c>
      <c r="H2" s="268">
        <v>1</v>
      </c>
    </row>
    <row r="3" spans="2:8">
      <c r="C3" s="269" t="s">
        <v>413</v>
      </c>
      <c r="D3" s="269"/>
      <c r="E3" s="269"/>
      <c r="F3" s="269" t="s">
        <v>414</v>
      </c>
      <c r="G3" s="269"/>
      <c r="H3" s="269"/>
    </row>
    <row r="4" spans="2:8">
      <c r="C4" s="8">
        <v>2013</v>
      </c>
      <c r="D4" s="8">
        <v>2014</v>
      </c>
      <c r="E4" s="8">
        <v>2015</v>
      </c>
      <c r="F4" s="8">
        <v>2016</v>
      </c>
      <c r="G4" s="8">
        <v>2016</v>
      </c>
      <c r="H4" s="8">
        <v>2016</v>
      </c>
    </row>
    <row r="5" spans="2:8">
      <c r="B5" s="221" t="s">
        <v>73</v>
      </c>
      <c r="C5" s="111">
        <v>1376</v>
      </c>
      <c r="D5" s="111">
        <v>1487</v>
      </c>
      <c r="E5" s="111">
        <v>1532</v>
      </c>
      <c r="F5" s="101">
        <f>E5*(1+F12)</f>
        <v>1577.96</v>
      </c>
      <c r="G5" s="101">
        <f>F5*(1+G12)</f>
        <v>1625.2988</v>
      </c>
      <c r="H5" s="101">
        <f>G5*(1+H12)</f>
        <v>1674.0577640000001</v>
      </c>
    </row>
    <row r="6" spans="2:8">
      <c r="B6" s="221" t="s">
        <v>415</v>
      </c>
      <c r="C6" s="111">
        <v>467</v>
      </c>
      <c r="D6" s="111">
        <v>540</v>
      </c>
      <c r="E6" s="111">
        <v>564</v>
      </c>
      <c r="F6" s="101">
        <f>F5*F13</f>
        <v>583.84519999999998</v>
      </c>
      <c r="G6" s="101">
        <f>G5*G13</f>
        <v>601.36055599999997</v>
      </c>
      <c r="H6" s="101">
        <f>H5*H13</f>
        <v>619.40137268000001</v>
      </c>
    </row>
    <row r="7" spans="2:8">
      <c r="B7" s="221" t="s">
        <v>38</v>
      </c>
      <c r="C7" s="240">
        <f t="shared" ref="C7:H7" si="0">C5-C6</f>
        <v>909</v>
      </c>
      <c r="D7" s="240">
        <f t="shared" si="0"/>
        <v>947</v>
      </c>
      <c r="E7" s="240">
        <f t="shared" si="0"/>
        <v>968</v>
      </c>
      <c r="F7" s="240">
        <f t="shared" si="0"/>
        <v>994.11480000000006</v>
      </c>
      <c r="G7" s="240">
        <f t="shared" si="0"/>
        <v>1023.9382440000001</v>
      </c>
      <c r="H7" s="240">
        <f t="shared" si="0"/>
        <v>1054.6563913200002</v>
      </c>
    </row>
    <row r="8" spans="2:8">
      <c r="B8" s="221" t="s">
        <v>416</v>
      </c>
      <c r="C8" s="111">
        <v>121</v>
      </c>
      <c r="D8" s="111">
        <v>146</v>
      </c>
      <c r="E8" s="111">
        <v>167</v>
      </c>
      <c r="F8" s="99">
        <f>F5*F14</f>
        <v>172.01000000000002</v>
      </c>
      <c r="G8" s="99">
        <f>G5*G14</f>
        <v>177.1703</v>
      </c>
      <c r="H8" s="99">
        <f>H5*H14</f>
        <v>182.48540900000003</v>
      </c>
    </row>
    <row r="9" spans="2:8">
      <c r="B9" s="221" t="s">
        <v>417</v>
      </c>
      <c r="C9" s="101">
        <f t="shared" ref="C9:H9" si="1">C7-C8</f>
        <v>788</v>
      </c>
      <c r="D9" s="101">
        <f t="shared" si="1"/>
        <v>801</v>
      </c>
      <c r="E9" s="101">
        <f t="shared" si="1"/>
        <v>801</v>
      </c>
      <c r="F9" s="101">
        <f t="shared" si="1"/>
        <v>822.10480000000007</v>
      </c>
      <c r="G9" s="101">
        <f t="shared" si="1"/>
        <v>846.76794400000006</v>
      </c>
      <c r="H9" s="101">
        <f t="shared" si="1"/>
        <v>872.17098232000023</v>
      </c>
    </row>
    <row r="11" spans="2:8">
      <c r="B11" s="223" t="s">
        <v>418</v>
      </c>
    </row>
    <row r="12" spans="2:8">
      <c r="B12" s="221" t="s">
        <v>419</v>
      </c>
      <c r="C12" s="270"/>
      <c r="D12" s="270">
        <f>D5/C5-1</f>
        <v>8.0668604651162878E-2</v>
      </c>
      <c r="E12" s="270">
        <f>E5/D5-1</f>
        <v>3.0262273032952258E-2</v>
      </c>
      <c r="F12" s="271">
        <v>0.03</v>
      </c>
      <c r="G12" s="271">
        <v>0.03</v>
      </c>
      <c r="H12" s="271">
        <v>0.03</v>
      </c>
    </row>
    <row r="13" spans="2:8">
      <c r="B13" s="221" t="s">
        <v>420</v>
      </c>
      <c r="C13" s="270">
        <f>C6/C5</f>
        <v>0.33938953488372092</v>
      </c>
      <c r="D13" s="270">
        <f>D6/D5</f>
        <v>0.36314727639542704</v>
      </c>
      <c r="E13" s="270">
        <f>E6/E5</f>
        <v>0.36814621409921672</v>
      </c>
      <c r="F13" s="271">
        <v>0.37</v>
      </c>
      <c r="G13" s="271">
        <v>0.37</v>
      </c>
      <c r="H13" s="271">
        <v>0.37</v>
      </c>
    </row>
    <row r="14" spans="2:8">
      <c r="B14" s="221" t="s">
        <v>426</v>
      </c>
      <c r="C14" s="270">
        <f>C8/C5</f>
        <v>8.7936046511627911E-2</v>
      </c>
      <c r="D14" s="270">
        <f>D8/D5</f>
        <v>9.8184263618022863E-2</v>
      </c>
      <c r="E14" s="270">
        <f>E8/E5</f>
        <v>0.10900783289817233</v>
      </c>
      <c r="F14" s="270">
        <f>IF($H$2=1,E14,IF($H$2=2,AVERAGE(C14:E14),IF($H$2=3,AVERAGE(D14:E14),E8/F5)))</f>
        <v>0.10900783289817233</v>
      </c>
      <c r="G14" s="270">
        <f>IF($H$2=1,F14,IF($H$2=2,AVERAGE(D14:F14),IF($H$2=3,AVERAGE(E14:F14),F8/G5)))</f>
        <v>0.10900783289817233</v>
      </c>
      <c r="H14" s="270">
        <f>IF($H$2=1,G14,IF($H$2=2,AVERAGE(E14:G14),IF($H$2=3,AVERAGE(F14:G14),G8/H5)))</f>
        <v>0.10900783289817233</v>
      </c>
    </row>
    <row r="15" spans="2:8">
      <c r="B15" s="221" t="s">
        <v>427</v>
      </c>
      <c r="F15" s="272">
        <f>_xlfn.IFS($H$2=1,E14,$H$2=2,AVERAGE(C14:E14),$H$2=3,AVERAGE(D14:E14),TRUE,E8/F5)</f>
        <v>0.10900783289817233</v>
      </c>
      <c r="G15" s="272">
        <f t="shared" ref="G15:H15" si="2">_xlfn.IFS($H$2=1,F14,$H$2=2,AVERAGE(D14:F14),$H$2=3,AVERAGE(E14:F14),TRUE,F8/G5)</f>
        <v>0.10900783289817233</v>
      </c>
      <c r="H15" s="272">
        <f t="shared" si="2"/>
        <v>0.10900783289817233</v>
      </c>
    </row>
    <row r="16" spans="2:8">
      <c r="B16" s="37" t="s">
        <v>421</v>
      </c>
    </row>
    <row r="17" spans="2:2">
      <c r="B17" s="221" t="s">
        <v>422</v>
      </c>
    </row>
    <row r="18" spans="2:2">
      <c r="B18" s="221" t="s">
        <v>423</v>
      </c>
    </row>
    <row r="19" spans="2:2">
      <c r="B19" s="221" t="s">
        <v>424</v>
      </c>
    </row>
    <row r="20" spans="2:2">
      <c r="B20" s="221" t="s">
        <v>425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B2:E5"/>
  <sheetViews>
    <sheetView zoomScaleNormal="100" workbookViewId="0"/>
  </sheetViews>
  <sheetFormatPr defaultColWidth="8.77734375" defaultRowHeight="14.4"/>
  <cols>
    <col min="2" max="2" width="22.44140625" bestFit="1" customWidth="1"/>
    <col min="3" max="5" width="9.109375" customWidth="1"/>
  </cols>
  <sheetData>
    <row r="2" spans="2:5">
      <c r="C2" s="12">
        <v>2014</v>
      </c>
      <c r="D2" s="12">
        <f>C2+1</f>
        <v>2015</v>
      </c>
      <c r="E2" s="12">
        <f>D2+1</f>
        <v>2016</v>
      </c>
    </row>
    <row r="3" spans="2:5">
      <c r="B3" t="s">
        <v>16</v>
      </c>
      <c r="C3" s="16">
        <v>1500</v>
      </c>
      <c r="D3" s="16">
        <v>1850</v>
      </c>
      <c r="E3" s="16">
        <v>2130</v>
      </c>
    </row>
    <row r="4" spans="2:5">
      <c r="B4" t="s">
        <v>17</v>
      </c>
      <c r="C4" s="17">
        <v>0</v>
      </c>
      <c r="D4" s="17">
        <v>50</v>
      </c>
      <c r="E4" s="17">
        <v>75</v>
      </c>
    </row>
    <row r="5" spans="2:5">
      <c r="B5" t="s">
        <v>18</v>
      </c>
      <c r="C5" s="20"/>
      <c r="D5" s="18"/>
      <c r="E5" s="19"/>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B2:E5"/>
  <sheetViews>
    <sheetView zoomScaleNormal="100" workbookViewId="0"/>
  </sheetViews>
  <sheetFormatPr defaultColWidth="9.109375" defaultRowHeight="14.4"/>
  <cols>
    <col min="1" max="1" width="9.109375" style="221"/>
    <col min="2" max="2" width="22.44140625" style="221" bestFit="1" customWidth="1"/>
    <col min="3" max="5" width="9.109375" style="221" customWidth="1"/>
    <col min="6" max="16384" width="9.109375" style="221"/>
  </cols>
  <sheetData>
    <row r="2" spans="2:5">
      <c r="C2" s="12">
        <v>2014</v>
      </c>
      <c r="D2" s="12">
        <f>C2+1</f>
        <v>2015</v>
      </c>
      <c r="E2" s="12">
        <f>D2+1</f>
        <v>2016</v>
      </c>
    </row>
    <row r="3" spans="2:5">
      <c r="B3" s="221" t="s">
        <v>16</v>
      </c>
      <c r="C3" s="16">
        <v>1500</v>
      </c>
      <c r="D3" s="16">
        <v>1850</v>
      </c>
      <c r="E3" s="16">
        <v>2130</v>
      </c>
    </row>
    <row r="4" spans="2:5">
      <c r="B4" s="221" t="s">
        <v>17</v>
      </c>
      <c r="C4" s="17">
        <v>0</v>
      </c>
      <c r="D4" s="17">
        <v>50</v>
      </c>
      <c r="E4" s="17">
        <v>75</v>
      </c>
    </row>
    <row r="5" spans="2:5">
      <c r="B5" s="221" t="s">
        <v>18</v>
      </c>
      <c r="C5" s="20" t="str">
        <f>IFERROR(C3/C4,"NM")</f>
        <v>NM</v>
      </c>
      <c r="D5" s="18">
        <f t="shared" ref="D5:E5" si="0">IFERROR(D3/D4,"NM")</f>
        <v>37</v>
      </c>
      <c r="E5" s="19">
        <f t="shared" si="0"/>
        <v>28.4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B1:H15"/>
  <sheetViews>
    <sheetView zoomScaleNormal="100" workbookViewId="0"/>
  </sheetViews>
  <sheetFormatPr defaultColWidth="8.77734375" defaultRowHeight="14.4"/>
  <cols>
    <col min="3" max="8" width="16.6640625" customWidth="1"/>
  </cols>
  <sheetData>
    <row r="1" spans="2:8">
      <c r="B1" s="3" t="s">
        <v>19</v>
      </c>
    </row>
    <row r="2" spans="2:8">
      <c r="C2" s="21" t="s">
        <v>20</v>
      </c>
      <c r="D2" s="8"/>
      <c r="E2" s="8"/>
      <c r="F2" s="8"/>
      <c r="G2" s="8"/>
      <c r="H2" s="8"/>
    </row>
    <row r="3" spans="2:8">
      <c r="C3" s="22" t="s">
        <v>21</v>
      </c>
      <c r="D3" s="22" t="s">
        <v>22</v>
      </c>
      <c r="E3" s="22" t="s">
        <v>23</v>
      </c>
      <c r="F3" s="22" t="s">
        <v>24</v>
      </c>
      <c r="G3" s="22" t="s">
        <v>25</v>
      </c>
      <c r="H3" s="22" t="s">
        <v>26</v>
      </c>
    </row>
    <row r="4" spans="2:8">
      <c r="C4" t="s">
        <v>27</v>
      </c>
      <c r="D4" s="2">
        <v>25</v>
      </c>
      <c r="E4" s="23">
        <v>53140</v>
      </c>
      <c r="F4" s="2">
        <v>0</v>
      </c>
      <c r="G4" s="2">
        <v>10</v>
      </c>
      <c r="H4" s="24"/>
    </row>
    <row r="5" spans="2:8">
      <c r="C5" t="s">
        <v>28</v>
      </c>
      <c r="D5" s="2">
        <v>48</v>
      </c>
      <c r="E5" s="23">
        <v>110662</v>
      </c>
      <c r="F5" s="2">
        <v>11</v>
      </c>
      <c r="G5" s="2">
        <v>2</v>
      </c>
      <c r="H5" s="24"/>
    </row>
    <row r="6" spans="2:8">
      <c r="C6" t="s">
        <v>29</v>
      </c>
      <c r="D6" s="2">
        <v>48</v>
      </c>
      <c r="E6" s="23">
        <v>117294</v>
      </c>
      <c r="F6" s="2">
        <v>17</v>
      </c>
      <c r="G6" s="2">
        <v>8</v>
      </c>
      <c r="H6" s="24"/>
    </row>
    <row r="7" spans="2:8">
      <c r="B7" s="1"/>
      <c r="C7" t="s">
        <v>30</v>
      </c>
      <c r="D7" s="2">
        <v>34</v>
      </c>
      <c r="E7" s="23">
        <v>114373</v>
      </c>
      <c r="F7" s="2">
        <v>19</v>
      </c>
      <c r="G7" s="2">
        <v>10</v>
      </c>
      <c r="H7" s="24"/>
    </row>
    <row r="8" spans="2:8">
      <c r="B8" s="1"/>
      <c r="D8" s="2"/>
      <c r="E8" s="23"/>
      <c r="F8" s="2"/>
      <c r="G8" s="2"/>
      <c r="H8" s="27"/>
    </row>
    <row r="9" spans="2:8">
      <c r="B9" s="3" t="s">
        <v>31</v>
      </c>
      <c r="H9" s="25"/>
    </row>
    <row r="10" spans="2:8">
      <c r="C10" s="21" t="s">
        <v>32</v>
      </c>
      <c r="D10" s="8"/>
      <c r="E10" s="26"/>
      <c r="F10" s="8"/>
      <c r="G10" s="8"/>
      <c r="H10" s="8"/>
    </row>
    <row r="11" spans="2:8">
      <c r="C11" s="22" t="s">
        <v>21</v>
      </c>
      <c r="D11" s="22" t="s">
        <v>22</v>
      </c>
      <c r="E11" s="22" t="s">
        <v>23</v>
      </c>
      <c r="F11" s="22" t="s">
        <v>24</v>
      </c>
      <c r="G11" s="22" t="s">
        <v>25</v>
      </c>
      <c r="H11" s="22" t="s">
        <v>26</v>
      </c>
    </row>
    <row r="12" spans="2:8">
      <c r="C12" t="s">
        <v>27</v>
      </c>
      <c r="D12" s="2">
        <v>25</v>
      </c>
      <c r="E12" s="23">
        <v>53140</v>
      </c>
      <c r="F12" s="2">
        <v>0</v>
      </c>
      <c r="G12" s="2">
        <v>10</v>
      </c>
      <c r="H12" s="24"/>
    </row>
    <row r="13" spans="2:8">
      <c r="C13" t="s">
        <v>28</v>
      </c>
      <c r="D13" s="2">
        <v>48</v>
      </c>
      <c r="E13" s="23">
        <v>110662</v>
      </c>
      <c r="F13" s="2">
        <v>11</v>
      </c>
      <c r="G13" s="2">
        <v>2</v>
      </c>
      <c r="H13" s="24"/>
    </row>
    <row r="14" spans="2:8">
      <c r="C14" t="s">
        <v>29</v>
      </c>
      <c r="D14" s="2">
        <v>48</v>
      </c>
      <c r="E14" s="23">
        <v>117294</v>
      </c>
      <c r="F14" s="2">
        <v>17</v>
      </c>
      <c r="G14" s="2">
        <v>8</v>
      </c>
      <c r="H14" s="24"/>
    </row>
    <row r="15" spans="2:8">
      <c r="C15" t="s">
        <v>30</v>
      </c>
      <c r="D15" s="2">
        <v>34</v>
      </c>
      <c r="E15" s="23">
        <v>114373</v>
      </c>
      <c r="F15" s="2">
        <v>19</v>
      </c>
      <c r="G15" s="2">
        <v>10</v>
      </c>
      <c r="H15" s="24"/>
    </row>
  </sheetData>
  <pageMargins left="0.7" right="0.7" top="0.75" bottom="0.75" header="0.3" footer="0.3"/>
  <pageSetup scale="61"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B1:H15"/>
  <sheetViews>
    <sheetView zoomScaleNormal="100" workbookViewId="0"/>
  </sheetViews>
  <sheetFormatPr defaultColWidth="9.109375" defaultRowHeight="14.4"/>
  <cols>
    <col min="1" max="2" width="9.109375" style="221"/>
    <col min="3" max="8" width="16.6640625" style="221" customWidth="1"/>
    <col min="9" max="16384" width="9.109375" style="221"/>
  </cols>
  <sheetData>
    <row r="1" spans="2:8">
      <c r="B1" s="225" t="s">
        <v>19</v>
      </c>
    </row>
    <row r="2" spans="2:8">
      <c r="C2" s="21" t="s">
        <v>20</v>
      </c>
      <c r="D2" s="8"/>
      <c r="E2" s="8"/>
      <c r="F2" s="8"/>
      <c r="G2" s="8"/>
      <c r="H2" s="8"/>
    </row>
    <row r="3" spans="2:8">
      <c r="C3" s="22" t="s">
        <v>21</v>
      </c>
      <c r="D3" s="22" t="s">
        <v>22</v>
      </c>
      <c r="E3" s="22" t="s">
        <v>23</v>
      </c>
      <c r="F3" s="22" t="s">
        <v>24</v>
      </c>
      <c r="G3" s="22" t="s">
        <v>25</v>
      </c>
      <c r="H3" s="22" t="s">
        <v>26</v>
      </c>
    </row>
    <row r="4" spans="2:8">
      <c r="C4" s="221" t="s">
        <v>27</v>
      </c>
      <c r="D4" s="224">
        <v>25</v>
      </c>
      <c r="E4" s="23">
        <v>53140</v>
      </c>
      <c r="F4" s="224">
        <v>0</v>
      </c>
      <c r="G4" s="224">
        <v>10</v>
      </c>
      <c r="H4" s="24" t="str">
        <f t="shared" ref="H4:H6" si="0">IF(AND(F4&gt;5,G4&gt;=8),E4*1.05,"No raise")</f>
        <v>No raise</v>
      </c>
    </row>
    <row r="5" spans="2:8">
      <c r="C5" s="221" t="s">
        <v>28</v>
      </c>
      <c r="D5" s="224">
        <v>48</v>
      </c>
      <c r="E5" s="23">
        <v>110662</v>
      </c>
      <c r="F5" s="224">
        <v>11</v>
      </c>
      <c r="G5" s="224">
        <v>2</v>
      </c>
      <c r="H5" s="24" t="str">
        <f t="shared" si="0"/>
        <v>No raise</v>
      </c>
    </row>
    <row r="6" spans="2:8">
      <c r="C6" s="221" t="s">
        <v>29</v>
      </c>
      <c r="D6" s="224">
        <v>48</v>
      </c>
      <c r="E6" s="23">
        <v>117294</v>
      </c>
      <c r="F6" s="224">
        <v>17</v>
      </c>
      <c r="G6" s="224">
        <v>8</v>
      </c>
      <c r="H6" s="24">
        <f t="shared" si="0"/>
        <v>123158.70000000001</v>
      </c>
    </row>
    <row r="7" spans="2:8">
      <c r="B7" s="223"/>
      <c r="C7" s="221" t="s">
        <v>30</v>
      </c>
      <c r="D7" s="224">
        <v>34</v>
      </c>
      <c r="E7" s="23">
        <v>114373</v>
      </c>
      <c r="F7" s="224">
        <v>19</v>
      </c>
      <c r="G7" s="224">
        <v>10</v>
      </c>
      <c r="H7" s="24">
        <f>IF(AND(F7&gt;5,G7&gt;=8),E7*1.05,"No raise")</f>
        <v>120091.65000000001</v>
      </c>
    </row>
    <row r="8" spans="2:8">
      <c r="B8" s="223"/>
      <c r="D8" s="224"/>
      <c r="E8" s="23"/>
      <c r="F8" s="224"/>
      <c r="G8" s="224"/>
      <c r="H8" s="27"/>
    </row>
    <row r="9" spans="2:8">
      <c r="B9" s="225" t="s">
        <v>31</v>
      </c>
      <c r="H9" s="25"/>
    </row>
    <row r="10" spans="2:8">
      <c r="C10" s="21" t="s">
        <v>32</v>
      </c>
      <c r="D10" s="8"/>
      <c r="E10" s="26"/>
      <c r="F10" s="8"/>
      <c r="G10" s="8"/>
      <c r="H10" s="8"/>
    </row>
    <row r="11" spans="2:8">
      <c r="C11" s="22" t="s">
        <v>21</v>
      </c>
      <c r="D11" s="22" t="s">
        <v>22</v>
      </c>
      <c r="E11" s="22" t="s">
        <v>23</v>
      </c>
      <c r="F11" s="22" t="s">
        <v>24</v>
      </c>
      <c r="G11" s="22" t="s">
        <v>25</v>
      </c>
      <c r="H11" s="22" t="s">
        <v>26</v>
      </c>
    </row>
    <row r="12" spans="2:8">
      <c r="C12" s="221" t="s">
        <v>27</v>
      </c>
      <c r="D12" s="224">
        <v>25</v>
      </c>
      <c r="E12" s="23">
        <v>53140</v>
      </c>
      <c r="F12" s="224">
        <v>0</v>
      </c>
      <c r="G12" s="224">
        <v>10</v>
      </c>
      <c r="H12" s="24">
        <f>IF(OR(F12&gt;5,G12&gt;=8),E12*1.05,"No raise")</f>
        <v>55797</v>
      </c>
    </row>
    <row r="13" spans="2:8">
      <c r="C13" s="221" t="s">
        <v>28</v>
      </c>
      <c r="D13" s="224">
        <v>48</v>
      </c>
      <c r="E13" s="23">
        <v>110662</v>
      </c>
      <c r="F13" s="224">
        <v>11</v>
      </c>
      <c r="G13" s="224">
        <v>2</v>
      </c>
      <c r="H13" s="24">
        <f t="shared" ref="H13:H15" si="1">IF(OR(F13&gt;5,G13&gt;=8),E13*1.05,"No raise")</f>
        <v>116195.1</v>
      </c>
    </row>
    <row r="14" spans="2:8">
      <c r="C14" s="221" t="s">
        <v>29</v>
      </c>
      <c r="D14" s="224">
        <v>48</v>
      </c>
      <c r="E14" s="23">
        <v>117294</v>
      </c>
      <c r="F14" s="224">
        <v>17</v>
      </c>
      <c r="G14" s="224">
        <v>8</v>
      </c>
      <c r="H14" s="24">
        <f t="shared" si="1"/>
        <v>123158.70000000001</v>
      </c>
    </row>
    <row r="15" spans="2:8">
      <c r="C15" s="221" t="s">
        <v>30</v>
      </c>
      <c r="D15" s="224">
        <v>34</v>
      </c>
      <c r="E15" s="23">
        <v>114373</v>
      </c>
      <c r="F15" s="224">
        <v>19</v>
      </c>
      <c r="G15" s="224">
        <v>10</v>
      </c>
      <c r="H15" s="24">
        <f t="shared" si="1"/>
        <v>120091.65000000001</v>
      </c>
    </row>
  </sheetData>
  <pageMargins left="0.7" right="0.7" top="0.75" bottom="0.75" header="0.3" footer="0.3"/>
  <pageSetup scale="61"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G17"/>
  <sheetViews>
    <sheetView zoomScaleNormal="100" workbookViewId="0"/>
  </sheetViews>
  <sheetFormatPr defaultColWidth="9.109375" defaultRowHeight="14.4"/>
  <cols>
    <col min="1" max="1" width="9.109375" style="221"/>
    <col min="2" max="2" width="17.6640625" style="221" bestFit="1" customWidth="1"/>
    <col min="3" max="3" width="13.77734375" style="221" customWidth="1"/>
    <col min="4" max="6" width="9.109375" style="221"/>
    <col min="7" max="7" width="14.44140625" style="221" bestFit="1" customWidth="1"/>
    <col min="8" max="16384" width="9.109375" style="221"/>
  </cols>
  <sheetData>
    <row r="1" spans="1:7">
      <c r="A1" s="223" t="s">
        <v>433</v>
      </c>
      <c r="C1" s="230">
        <v>2005</v>
      </c>
      <c r="D1" s="230">
        <v>2006</v>
      </c>
      <c r="E1" s="230">
        <v>2007</v>
      </c>
      <c r="F1" s="230">
        <v>2008</v>
      </c>
    </row>
    <row r="2" spans="1:7">
      <c r="B2" s="221" t="s">
        <v>36</v>
      </c>
      <c r="C2" s="273">
        <f>Sheet1!C3+'Income Statement'!D5</f>
        <v>1100</v>
      </c>
      <c r="D2" s="273">
        <f>Sheet1!D3+'Income Statement'!E5</f>
        <v>1625</v>
      </c>
      <c r="E2" s="273">
        <f>Sheet1!E3+'Income Statement'!F5</f>
        <v>2650</v>
      </c>
      <c r="F2" s="273">
        <f>Sheet1!F3+'Income Statement'!G5</f>
        <v>4675</v>
      </c>
      <c r="G2" s="61"/>
    </row>
    <row r="3" spans="1:7">
      <c r="B3" s="221" t="s">
        <v>37</v>
      </c>
      <c r="C3" s="273">
        <f>Sheet1!C4+'Income Statement'!D6</f>
        <v>550</v>
      </c>
      <c r="D3" s="273">
        <f>Sheet1!D4+'Income Statement'!E6</f>
        <v>1260</v>
      </c>
      <c r="E3" s="273">
        <f>Sheet1!E4+'Income Statement'!F6</f>
        <v>3470</v>
      </c>
      <c r="F3" s="273">
        <f>Sheet1!F4+'Income Statement'!G6</f>
        <v>4080</v>
      </c>
    </row>
    <row r="4" spans="1:7">
      <c r="B4" s="221" t="s">
        <v>38</v>
      </c>
      <c r="C4" s="61">
        <f>C2-C3</f>
        <v>550</v>
      </c>
      <c r="D4" s="61">
        <f>D2-D3</f>
        <v>365</v>
      </c>
      <c r="E4" s="61">
        <f>E2-E3</f>
        <v>-820</v>
      </c>
      <c r="F4" s="61">
        <f>F2-F3</f>
        <v>595</v>
      </c>
      <c r="G4" s="61"/>
    </row>
    <row r="6" spans="1:7">
      <c r="B6" s="221" t="s">
        <v>434</v>
      </c>
      <c r="C6" s="221">
        <v>2006</v>
      </c>
    </row>
    <row r="8" spans="1:7">
      <c r="C8" s="221" t="s">
        <v>38</v>
      </c>
    </row>
    <row r="9" spans="1:7">
      <c r="B9" s="221" t="s">
        <v>435</v>
      </c>
      <c r="C9" s="274"/>
    </row>
    <row r="10" spans="1:7">
      <c r="B10" s="221" t="s">
        <v>436</v>
      </c>
      <c r="C10" s="275"/>
    </row>
    <row r="11" spans="1:7">
      <c r="B11" s="221" t="s">
        <v>437</v>
      </c>
      <c r="C11" s="276"/>
    </row>
    <row r="12" spans="1:7">
      <c r="B12" s="221" t="s">
        <v>438</v>
      </c>
      <c r="C12" s="276"/>
    </row>
    <row r="14" spans="1:7">
      <c r="B14" s="221" t="s">
        <v>439</v>
      </c>
      <c r="C14" s="221" t="s">
        <v>36</v>
      </c>
    </row>
    <row r="16" spans="1:7">
      <c r="C16" s="221" t="s">
        <v>440</v>
      </c>
    </row>
    <row r="17" spans="2:3">
      <c r="B17" s="221" t="s">
        <v>441</v>
      </c>
      <c r="C17" s="275"/>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G17"/>
  <sheetViews>
    <sheetView tabSelected="1" zoomScale="160" zoomScaleNormal="160" workbookViewId="0">
      <selection activeCell="G7" sqref="G7"/>
    </sheetView>
  </sheetViews>
  <sheetFormatPr defaultColWidth="9.109375" defaultRowHeight="14.4"/>
  <cols>
    <col min="1" max="1" width="9.109375" style="221"/>
    <col min="2" max="2" width="17.6640625" style="221" bestFit="1" customWidth="1"/>
    <col min="3" max="3" width="13.77734375" style="221" customWidth="1"/>
    <col min="4" max="6" width="9.109375" style="221"/>
    <col min="7" max="7" width="14.44140625" style="221" bestFit="1" customWidth="1"/>
    <col min="8" max="16384" width="9.109375" style="221"/>
  </cols>
  <sheetData>
    <row r="1" spans="1:7">
      <c r="A1" s="223" t="s">
        <v>433</v>
      </c>
      <c r="C1" s="230">
        <v>2005</v>
      </c>
      <c r="D1" s="230">
        <v>2006</v>
      </c>
      <c r="E1" s="230">
        <v>2007</v>
      </c>
      <c r="F1" s="230">
        <v>2008</v>
      </c>
    </row>
    <row r="2" spans="1:7">
      <c r="B2" s="221" t="s">
        <v>36</v>
      </c>
      <c r="C2" s="273">
        <f>Sheet1!C3+'Income Statement'!D5</f>
        <v>1100</v>
      </c>
      <c r="D2" s="273">
        <f>Sheet1!D3+'Income Statement'!E5</f>
        <v>1625</v>
      </c>
      <c r="E2" s="273">
        <f>Sheet1!E3+'Income Statement'!F5</f>
        <v>2650</v>
      </c>
      <c r="F2" s="273">
        <f>Sheet1!F3+'Income Statement'!G5</f>
        <v>4675</v>
      </c>
      <c r="G2" s="61"/>
    </row>
    <row r="3" spans="1:7">
      <c r="B3" s="221" t="s">
        <v>37</v>
      </c>
      <c r="C3" s="273">
        <f>Sheet1!C4+'Income Statement'!D6</f>
        <v>550</v>
      </c>
      <c r="D3" s="273">
        <f>Sheet1!D4+'Income Statement'!E6</f>
        <v>1260</v>
      </c>
      <c r="E3" s="273">
        <f>Sheet1!E4+'Income Statement'!F6</f>
        <v>3470</v>
      </c>
      <c r="F3" s="273">
        <f>Sheet1!F4+'Income Statement'!G6</f>
        <v>4080</v>
      </c>
    </row>
    <row r="4" spans="1:7">
      <c r="B4" s="221" t="s">
        <v>38</v>
      </c>
      <c r="C4" s="61">
        <f>C2-C3</f>
        <v>550</v>
      </c>
      <c r="D4" s="61">
        <f>D2-D3</f>
        <v>365</v>
      </c>
      <c r="E4" s="61">
        <f>E2-E3</f>
        <v>-820</v>
      </c>
      <c r="F4" s="61">
        <f>F2-F3</f>
        <v>595</v>
      </c>
      <c r="G4" s="61"/>
    </row>
    <row r="6" spans="1:7">
      <c r="B6" s="221" t="s">
        <v>434</v>
      </c>
      <c r="C6" s="221">
        <v>2006</v>
      </c>
    </row>
    <row r="8" spans="1:7">
      <c r="C8" s="221" t="s">
        <v>38</v>
      </c>
    </row>
    <row r="9" spans="1:7">
      <c r="B9" s="221" t="s">
        <v>435</v>
      </c>
      <c r="C9" s="274">
        <f>HLOOKUP(C6,B1:F4,ROW()-5,0)</f>
        <v>365</v>
      </c>
      <c r="F9" s="221">
        <f>COLUMN(H6)</f>
        <v>8</v>
      </c>
    </row>
    <row r="10" spans="1:7">
      <c r="B10" s="221" t="s">
        <v>436</v>
      </c>
      <c r="C10" s="275">
        <f>INDEX(B1:F4,ROW(C4),COLUMN(D4)-1)</f>
        <v>365</v>
      </c>
      <c r="F10" s="221">
        <f>ROW(H7)</f>
        <v>7</v>
      </c>
    </row>
    <row r="11" spans="1:7">
      <c r="B11" s="221" t="s">
        <v>437</v>
      </c>
      <c r="C11" s="276">
        <f>CHOOSE(2,C4,D4,E4,F4)</f>
        <v>365</v>
      </c>
      <c r="F11" s="221">
        <f>ROWS(1:4)</f>
        <v>4</v>
      </c>
    </row>
    <row r="12" spans="1:7">
      <c r="B12" s="221" t="s">
        <v>438</v>
      </c>
      <c r="C12" s="276">
        <f ca="1">OFFSET(B1,ROW(B4)-1,COLUMN(D4)-2)</f>
        <v>365</v>
      </c>
      <c r="F12" s="221">
        <f>COLUMNS(A:C)</f>
        <v>3</v>
      </c>
    </row>
    <row r="14" spans="1:7">
      <c r="B14" s="221" t="s">
        <v>439</v>
      </c>
      <c r="C14" s="221" t="s">
        <v>36</v>
      </c>
    </row>
    <row r="16" spans="1:7">
      <c r="C16" s="221" t="s">
        <v>440</v>
      </c>
    </row>
    <row r="17" spans="2:3">
      <c r="B17" s="221" t="s">
        <v>441</v>
      </c>
      <c r="C17" s="275">
        <f>VLOOKUP(C14,B1:F4,COLUMN(F1)-1,0)</f>
        <v>4675</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1"/>
  <dimension ref="B2:AG27"/>
  <sheetViews>
    <sheetView zoomScaleNormal="100" workbookViewId="0"/>
  </sheetViews>
  <sheetFormatPr defaultColWidth="8.77734375" defaultRowHeight="14.4"/>
  <cols>
    <col min="2" max="2" width="34.77734375" customWidth="1"/>
    <col min="3" max="3" width="13.6640625" bestFit="1" customWidth="1"/>
    <col min="4" max="21" width="9.109375" customWidth="1"/>
  </cols>
  <sheetData>
    <row r="2" spans="2:18">
      <c r="B2" s="4" t="s">
        <v>33</v>
      </c>
      <c r="C2" s="43" t="s">
        <v>34</v>
      </c>
      <c r="D2" s="4"/>
      <c r="E2" s="4"/>
      <c r="F2" s="4"/>
      <c r="G2" s="4"/>
      <c r="H2" s="4"/>
      <c r="I2" s="4"/>
      <c r="J2" s="4"/>
      <c r="K2" s="4"/>
      <c r="L2" s="4"/>
      <c r="M2" s="4"/>
      <c r="N2" s="4"/>
      <c r="O2" s="4"/>
      <c r="P2" s="4"/>
      <c r="Q2" s="4"/>
      <c r="R2" s="4"/>
    </row>
    <row r="3" spans="2:18">
      <c r="B3" s="28" t="s">
        <v>35</v>
      </c>
      <c r="C3" s="42">
        <v>0.35</v>
      </c>
      <c r="G3" s="4"/>
    </row>
    <row r="4" spans="2:18">
      <c r="B4" s="29" t="str">
        <f>"Income Statement for "&amp;C2</f>
        <v>Income Statement for Lemonade Co.</v>
      </c>
      <c r="C4" s="30"/>
      <c r="H4" s="29"/>
    </row>
    <row r="5" spans="2:18">
      <c r="B5" s="31"/>
      <c r="C5" s="40">
        <v>42004</v>
      </c>
      <c r="D5" s="41">
        <f>EOMONTH(C5,12)</f>
        <v>42369</v>
      </c>
      <c r="E5" s="41">
        <f t="shared" ref="E5:G5" si="0">EOMONTH(D5,12)</f>
        <v>42735</v>
      </c>
      <c r="F5" s="41">
        <f t="shared" si="0"/>
        <v>43100</v>
      </c>
      <c r="G5" s="41">
        <f t="shared" si="0"/>
        <v>43465</v>
      </c>
    </row>
    <row r="6" spans="2:18">
      <c r="B6" t="s">
        <v>36</v>
      </c>
      <c r="C6" s="2">
        <v>800</v>
      </c>
      <c r="D6" s="2">
        <v>1000</v>
      </c>
      <c r="E6" s="2">
        <v>1500</v>
      </c>
      <c r="F6" s="2">
        <v>2500</v>
      </c>
      <c r="G6" s="2">
        <v>4500</v>
      </c>
    </row>
    <row r="7" spans="2:18">
      <c r="B7" t="s">
        <v>37</v>
      </c>
      <c r="C7" s="2">
        <v>300</v>
      </c>
      <c r="D7" s="2">
        <v>500</v>
      </c>
      <c r="E7" s="2">
        <v>1200</v>
      </c>
      <c r="F7" s="2">
        <v>3400</v>
      </c>
      <c r="G7" s="2">
        <v>4000</v>
      </c>
    </row>
    <row r="8" spans="2:18">
      <c r="B8" s="1" t="s">
        <v>38</v>
      </c>
      <c r="C8" s="32">
        <f>C6-C7</f>
        <v>500</v>
      </c>
      <c r="D8" s="32">
        <f>D6-D7</f>
        <v>500</v>
      </c>
      <c r="E8" s="32">
        <f>E6-E7</f>
        <v>300</v>
      </c>
      <c r="F8" s="32">
        <f>F6-F7</f>
        <v>-900</v>
      </c>
      <c r="G8" s="32">
        <f>G6-G7</f>
        <v>500</v>
      </c>
      <c r="K8" s="12" t="s">
        <v>58</v>
      </c>
    </row>
    <row r="9" spans="2:18">
      <c r="B9" t="s">
        <v>39</v>
      </c>
      <c r="C9" s="2">
        <v>35</v>
      </c>
      <c r="D9" s="2">
        <v>45</v>
      </c>
      <c r="E9" s="2">
        <v>55</v>
      </c>
      <c r="F9" s="2">
        <v>65</v>
      </c>
      <c r="G9" s="2">
        <v>78</v>
      </c>
      <c r="K9" t="s">
        <v>61</v>
      </c>
    </row>
    <row r="10" spans="2:18">
      <c r="B10" s="1" t="s">
        <v>40</v>
      </c>
      <c r="C10" s="32">
        <f>C8-C9</f>
        <v>465</v>
      </c>
      <c r="D10" s="32">
        <f>D8-D9</f>
        <v>455</v>
      </c>
      <c r="E10" s="32">
        <f>E8-E9</f>
        <v>245</v>
      </c>
      <c r="F10" s="32">
        <f>F8-F9</f>
        <v>-965</v>
      </c>
      <c r="G10" s="32">
        <f>G8-G9</f>
        <v>422</v>
      </c>
      <c r="K10" t="s">
        <v>62</v>
      </c>
    </row>
    <row r="11" spans="2:18">
      <c r="B11" t="s">
        <v>41</v>
      </c>
      <c r="C11" s="33">
        <f>C10*$C$4</f>
        <v>0</v>
      </c>
      <c r="D11" s="33">
        <f>D10*$C$4</f>
        <v>0</v>
      </c>
      <c r="E11" s="33">
        <f>E10*$C$4</f>
        <v>0</v>
      </c>
      <c r="F11" s="33">
        <f>F10*$C$4</f>
        <v>0</v>
      </c>
      <c r="G11" s="33">
        <f>G10*$C$4</f>
        <v>0</v>
      </c>
      <c r="K11" s="48" t="s">
        <v>60</v>
      </c>
    </row>
    <row r="12" spans="2:18">
      <c r="B12" s="3" t="s">
        <v>42</v>
      </c>
      <c r="C12" s="32">
        <f>C10-C11</f>
        <v>465</v>
      </c>
      <c r="D12" s="32">
        <f>D10-D11</f>
        <v>455</v>
      </c>
      <c r="E12" s="32">
        <f>E10-E11</f>
        <v>245</v>
      </c>
      <c r="F12" s="32">
        <f>F10-F11</f>
        <v>-965</v>
      </c>
      <c r="G12" s="32">
        <f>G10-G11</f>
        <v>422</v>
      </c>
    </row>
    <row r="13" spans="2:18">
      <c r="B13" s="4" t="s">
        <v>43</v>
      </c>
      <c r="C13" s="2">
        <v>100</v>
      </c>
      <c r="D13" s="2">
        <v>110</v>
      </c>
      <c r="E13" s="2">
        <v>115</v>
      </c>
      <c r="F13" s="2">
        <v>120</v>
      </c>
      <c r="G13" s="2">
        <v>125</v>
      </c>
      <c r="K13" s="12" t="s">
        <v>55</v>
      </c>
    </row>
    <row r="14" spans="2:18">
      <c r="B14" s="34" t="s">
        <v>44</v>
      </c>
      <c r="C14" s="35">
        <f>IFERROR(C12/C13,"NM")</f>
        <v>4.6500000000000004</v>
      </c>
      <c r="D14" s="35">
        <f>IFERROR(D12/D13,"NM")</f>
        <v>4.1363636363636367</v>
      </c>
      <c r="E14" s="35">
        <f>IFERROR(E12/E13,"NM")</f>
        <v>2.1304347826086958</v>
      </c>
      <c r="F14" s="35">
        <f>IFERROR(F12/F13,"NM")</f>
        <v>-8.0416666666666661</v>
      </c>
      <c r="G14" s="35">
        <f>IFERROR(G12/G13,"NM")</f>
        <v>3.3759999999999999</v>
      </c>
      <c r="K14" t="s">
        <v>59</v>
      </c>
    </row>
    <row r="15" spans="2:18">
      <c r="C15" s="4"/>
      <c r="K15" t="s">
        <v>56</v>
      </c>
    </row>
    <row r="16" spans="2:18">
      <c r="B16" s="28" t="s">
        <v>45</v>
      </c>
      <c r="C16" s="36">
        <v>42735</v>
      </c>
      <c r="D16" s="4"/>
      <c r="K16" t="s">
        <v>57</v>
      </c>
    </row>
    <row r="17" spans="2:33">
      <c r="B17" s="28" t="s">
        <v>47</v>
      </c>
      <c r="C17" s="36" t="s">
        <v>38</v>
      </c>
      <c r="D17" s="4"/>
    </row>
    <row r="18" spans="2:33">
      <c r="B18" s="28"/>
      <c r="C18" s="28"/>
      <c r="D18" s="4"/>
    </row>
    <row r="20" spans="2:33" ht="18.600000000000001" thickBot="1">
      <c r="B20" s="46" t="s">
        <v>48</v>
      </c>
      <c r="C20" s="47"/>
      <c r="D20" s="11"/>
      <c r="E20" s="11"/>
      <c r="F20" s="11"/>
      <c r="G20" s="11"/>
      <c r="H20" s="11"/>
      <c r="I20" s="11"/>
      <c r="J20" s="11"/>
      <c r="K20" s="11"/>
      <c r="L20" s="11"/>
      <c r="M20" s="11"/>
      <c r="N20" s="11"/>
      <c r="O20" s="11"/>
      <c r="P20" s="11"/>
      <c r="Q20" s="11"/>
    </row>
    <row r="21" spans="2:33">
      <c r="B21" s="3"/>
      <c r="C21" s="39"/>
      <c r="D21" s="4"/>
      <c r="E21" s="4"/>
      <c r="F21" s="4"/>
      <c r="G21" s="4"/>
      <c r="H21" s="4"/>
      <c r="I21" s="4"/>
      <c r="J21" s="4"/>
      <c r="K21" s="4"/>
      <c r="L21" s="4"/>
      <c r="M21" s="4"/>
      <c r="N21" s="4"/>
      <c r="O21" s="4"/>
      <c r="P21" s="4"/>
      <c r="Q21" s="4"/>
      <c r="AC21">
        <v>2014</v>
      </c>
      <c r="AD21">
        <f>AC21+1</f>
        <v>2015</v>
      </c>
      <c r="AE21">
        <f t="shared" ref="AE21:AG21" si="1">AD21+1</f>
        <v>2016</v>
      </c>
      <c r="AF21">
        <f t="shared" si="1"/>
        <v>2017</v>
      </c>
      <c r="AG21">
        <f t="shared" si="1"/>
        <v>2018</v>
      </c>
    </row>
    <row r="22" spans="2:33">
      <c r="C22" s="4"/>
      <c r="D22" s="37" t="s">
        <v>46</v>
      </c>
    </row>
    <row r="23" spans="2:33">
      <c r="B23" s="1" t="s">
        <v>49</v>
      </c>
      <c r="C23" s="49"/>
      <c r="D23" t="s">
        <v>50</v>
      </c>
      <c r="AD23" t="s">
        <v>63</v>
      </c>
      <c r="AE23" t="e">
        <f>MATCH(#REF!,AC21:AG21,0)</f>
        <v>#REF!</v>
      </c>
      <c r="AF23" s="57" t="s">
        <v>64</v>
      </c>
    </row>
    <row r="24" spans="2:33">
      <c r="C24" s="51"/>
      <c r="D24" t="s">
        <v>54</v>
      </c>
    </row>
    <row r="25" spans="2:33">
      <c r="C25" s="50"/>
      <c r="D25" t="s">
        <v>51</v>
      </c>
    </row>
    <row r="26" spans="2:33">
      <c r="C26" s="38"/>
      <c r="D26" t="s">
        <v>52</v>
      </c>
    </row>
    <row r="27" spans="2:33">
      <c r="C27" s="38"/>
      <c r="D27" t="s">
        <v>53</v>
      </c>
    </row>
  </sheetData>
  <dataValidations disablePrompts="1" count="2">
    <dataValidation type="list" allowBlank="1" showInputMessage="1" showErrorMessage="1" sqref="C16" xr:uid="{00000000-0002-0000-0C00-000000000000}">
      <formula1>$C$5:$G$5</formula1>
    </dataValidation>
    <dataValidation type="list" allowBlank="1" showInputMessage="1" showErrorMessage="1" sqref="C17" xr:uid="{00000000-0002-0000-0C00-000001000000}">
      <formula1>$B$6:$B$14</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dimension ref="B2:AG28"/>
  <sheetViews>
    <sheetView topLeftCell="A4" zoomScale="138" zoomScaleNormal="100" workbookViewId="0"/>
  </sheetViews>
  <sheetFormatPr defaultColWidth="9.109375" defaultRowHeight="14.4"/>
  <cols>
    <col min="1" max="1" width="9.109375" style="221"/>
    <col min="2" max="2" width="34.77734375" style="221" customWidth="1"/>
    <col min="3" max="3" width="13.6640625" style="221" bestFit="1" customWidth="1"/>
    <col min="4" max="21" width="9.109375" style="221" customWidth="1"/>
    <col min="22" max="16384" width="9.109375" style="221"/>
  </cols>
  <sheetData>
    <row r="2" spans="2:18">
      <c r="B2" s="222" t="s">
        <v>33</v>
      </c>
      <c r="C2" s="239" t="s">
        <v>34</v>
      </c>
      <c r="D2" s="222"/>
      <c r="E2" s="222"/>
      <c r="F2" s="222"/>
      <c r="G2" s="222"/>
      <c r="H2" s="222"/>
      <c r="I2" s="222"/>
      <c r="J2" s="222"/>
      <c r="K2" s="222"/>
      <c r="L2" s="222"/>
      <c r="M2" s="222"/>
      <c r="N2" s="222"/>
      <c r="O2" s="222"/>
      <c r="P2" s="222"/>
      <c r="Q2" s="222"/>
      <c r="R2" s="222"/>
    </row>
    <row r="3" spans="2:18">
      <c r="B3" s="227" t="s">
        <v>35</v>
      </c>
      <c r="C3" s="238">
        <v>0.35</v>
      </c>
      <c r="G3" s="222"/>
    </row>
    <row r="4" spans="2:18">
      <c r="B4" s="228" t="str">
        <f>"Income Statement for "&amp;C2</f>
        <v>Income Statement for Lemonade Co.</v>
      </c>
      <c r="C4" s="229"/>
      <c r="H4" s="228"/>
    </row>
    <row r="5" spans="2:18">
      <c r="B5" s="230"/>
      <c r="C5" s="236">
        <v>42004</v>
      </c>
      <c r="D5" s="237">
        <f>EOMONTH(C5,12)</f>
        <v>42369</v>
      </c>
      <c r="E5" s="237">
        <f t="shared" ref="E5:G5" si="0">EOMONTH(D5,12)</f>
        <v>42735</v>
      </c>
      <c r="F5" s="237">
        <f t="shared" si="0"/>
        <v>43100</v>
      </c>
      <c r="G5" s="237">
        <f t="shared" si="0"/>
        <v>43465</v>
      </c>
    </row>
    <row r="6" spans="2:18">
      <c r="B6" s="221" t="s">
        <v>36</v>
      </c>
      <c r="C6" s="224">
        <v>800</v>
      </c>
      <c r="D6" s="224">
        <v>1000</v>
      </c>
      <c r="E6" s="224">
        <v>1500</v>
      </c>
      <c r="F6" s="224">
        <v>2500</v>
      </c>
      <c r="G6" s="224">
        <v>4500</v>
      </c>
    </row>
    <row r="7" spans="2:18">
      <c r="B7" s="221" t="s">
        <v>37</v>
      </c>
      <c r="C7" s="224">
        <v>300</v>
      </c>
      <c r="D7" s="224">
        <v>500</v>
      </c>
      <c r="E7" s="224">
        <v>1200</v>
      </c>
      <c r="F7" s="224">
        <v>3400</v>
      </c>
      <c r="G7" s="224">
        <v>4000</v>
      </c>
    </row>
    <row r="8" spans="2:18">
      <c r="B8" s="223" t="s">
        <v>38</v>
      </c>
      <c r="C8" s="231">
        <f>C6-C7</f>
        <v>500</v>
      </c>
      <c r="D8" s="231">
        <f>D6-D7</f>
        <v>500</v>
      </c>
      <c r="E8" s="231">
        <f>E6-E7</f>
        <v>300</v>
      </c>
      <c r="F8" s="231">
        <f>F6-F7</f>
        <v>-900</v>
      </c>
      <c r="G8" s="231">
        <f>G6-G7</f>
        <v>500</v>
      </c>
      <c r="K8" s="12" t="s">
        <v>58</v>
      </c>
    </row>
    <row r="9" spans="2:18">
      <c r="B9" s="221" t="s">
        <v>39</v>
      </c>
      <c r="C9" s="224">
        <v>35</v>
      </c>
      <c r="D9" s="224">
        <v>45</v>
      </c>
      <c r="E9" s="224">
        <v>55</v>
      </c>
      <c r="F9" s="224">
        <v>65</v>
      </c>
      <c r="G9" s="224">
        <v>78</v>
      </c>
      <c r="K9" s="221" t="s">
        <v>61</v>
      </c>
    </row>
    <row r="10" spans="2:18">
      <c r="B10" s="223" t="s">
        <v>40</v>
      </c>
      <c r="C10" s="231">
        <f>C8-C9</f>
        <v>465</v>
      </c>
      <c r="D10" s="231">
        <f>D8-D9</f>
        <v>455</v>
      </c>
      <c r="E10" s="231">
        <f>E8-E9</f>
        <v>245</v>
      </c>
      <c r="F10" s="231">
        <f>F8-F9</f>
        <v>-965</v>
      </c>
      <c r="G10" s="231">
        <f>G8-G9</f>
        <v>422</v>
      </c>
      <c r="K10" s="221" t="s">
        <v>62</v>
      </c>
    </row>
    <row r="11" spans="2:18">
      <c r="B11" s="221" t="s">
        <v>41</v>
      </c>
      <c r="C11" s="232">
        <f>C10*$C$4</f>
        <v>0</v>
      </c>
      <c r="D11" s="232">
        <f>D10*$C$4</f>
        <v>0</v>
      </c>
      <c r="E11" s="232">
        <f>E10*$C$4</f>
        <v>0</v>
      </c>
      <c r="F11" s="232">
        <f>F10*$C$4</f>
        <v>0</v>
      </c>
      <c r="G11" s="232">
        <f>G10*$C$4</f>
        <v>0</v>
      </c>
      <c r="K11" s="48" t="s">
        <v>60</v>
      </c>
    </row>
    <row r="12" spans="2:18">
      <c r="B12" s="225" t="s">
        <v>42</v>
      </c>
      <c r="C12" s="231">
        <f>C10-C11</f>
        <v>465</v>
      </c>
      <c r="D12" s="231">
        <f>D10-D11</f>
        <v>455</v>
      </c>
      <c r="E12" s="231">
        <f>E10-E11</f>
        <v>245</v>
      </c>
      <c r="F12" s="231">
        <f>F10-F11</f>
        <v>-965</v>
      </c>
      <c r="G12" s="231">
        <f>G10-G11</f>
        <v>422</v>
      </c>
    </row>
    <row r="13" spans="2:18">
      <c r="B13" s="222" t="s">
        <v>43</v>
      </c>
      <c r="C13" s="224">
        <v>100</v>
      </c>
      <c r="D13" s="224">
        <v>110</v>
      </c>
      <c r="E13" s="224">
        <v>115</v>
      </c>
      <c r="F13" s="224">
        <v>120</v>
      </c>
      <c r="G13" s="224">
        <v>125</v>
      </c>
      <c r="K13" s="12" t="s">
        <v>55</v>
      </c>
    </row>
    <row r="14" spans="2:18">
      <c r="B14" s="233" t="s">
        <v>44</v>
      </c>
      <c r="C14" s="234">
        <f>IFERROR(C12/C13,"NM")</f>
        <v>4.6500000000000004</v>
      </c>
      <c r="D14" s="234">
        <f>IFERROR(D12/D13,"NM")</f>
        <v>4.1363636363636367</v>
      </c>
      <c r="E14" s="234">
        <f>IFERROR(E12/E13,"NM")</f>
        <v>2.1304347826086958</v>
      </c>
      <c r="F14" s="234">
        <f>IFERROR(F12/F13,"NM")</f>
        <v>-8.0416666666666661</v>
      </c>
      <c r="G14" s="234">
        <f>IFERROR(G12/G13,"NM")</f>
        <v>3.3759999999999999</v>
      </c>
      <c r="K14" s="221" t="s">
        <v>59</v>
      </c>
    </row>
    <row r="15" spans="2:18">
      <c r="C15" s="222"/>
      <c r="K15" s="221" t="s">
        <v>56</v>
      </c>
    </row>
    <row r="16" spans="2:18">
      <c r="B16" s="227" t="s">
        <v>45</v>
      </c>
      <c r="C16" s="235">
        <v>42735</v>
      </c>
      <c r="D16" s="222"/>
      <c r="K16" s="221" t="s">
        <v>57</v>
      </c>
    </row>
    <row r="17" spans="2:33">
      <c r="B17" s="227" t="s">
        <v>47</v>
      </c>
      <c r="C17" s="235" t="s">
        <v>38</v>
      </c>
      <c r="D17" s="222"/>
    </row>
    <row r="18" spans="2:33">
      <c r="B18" s="227"/>
      <c r="C18" s="227"/>
      <c r="D18" s="222"/>
    </row>
    <row r="20" spans="2:33" ht="18.600000000000001" thickBot="1">
      <c r="B20" s="46" t="s">
        <v>48</v>
      </c>
      <c r="C20" s="47"/>
      <c r="D20" s="226"/>
      <c r="E20" s="226"/>
      <c r="F20" s="226"/>
      <c r="G20" s="226"/>
      <c r="H20" s="226"/>
      <c r="I20" s="226"/>
      <c r="J20" s="226"/>
      <c r="K20" s="226"/>
      <c r="L20" s="226"/>
      <c r="M20" s="226"/>
      <c r="N20" s="226"/>
      <c r="O20" s="226"/>
      <c r="P20" s="226"/>
      <c r="Q20" s="226"/>
    </row>
    <row r="21" spans="2:33">
      <c r="B21" s="225"/>
      <c r="C21" s="39"/>
      <c r="D21" s="222"/>
      <c r="E21" s="222"/>
      <c r="F21" s="222"/>
      <c r="G21" s="222"/>
      <c r="H21" s="222"/>
      <c r="I21" s="222"/>
      <c r="J21" s="222"/>
      <c r="K21" s="222"/>
      <c r="L21" s="222"/>
      <c r="M21" s="222"/>
      <c r="N21" s="222"/>
      <c r="O21" s="222"/>
      <c r="P21" s="222"/>
      <c r="Q21" s="222"/>
      <c r="AC21" s="221">
        <v>2014</v>
      </c>
      <c r="AD21" s="221">
        <f>AC21+1</f>
        <v>2015</v>
      </c>
      <c r="AE21" s="221">
        <f t="shared" ref="AE21:AG21" si="1">AD21+1</f>
        <v>2016</v>
      </c>
      <c r="AF21" s="221">
        <f t="shared" si="1"/>
        <v>2017</v>
      </c>
      <c r="AG21" s="221">
        <f t="shared" si="1"/>
        <v>2018</v>
      </c>
    </row>
    <row r="22" spans="2:33">
      <c r="C22" s="222"/>
      <c r="D22" s="37" t="s">
        <v>46</v>
      </c>
    </row>
    <row r="23" spans="2:33">
      <c r="B23" s="223" t="s">
        <v>49</v>
      </c>
      <c r="C23" s="49">
        <f>HLOOKUP(C16,B5:G14,MATCH(C17,B5:B14,0))</f>
        <v>300</v>
      </c>
      <c r="D23" s="221" t="s">
        <v>50</v>
      </c>
      <c r="AD23" s="221" t="s">
        <v>63</v>
      </c>
      <c r="AE23" s="221" t="e">
        <f>MATCH(#REF!,AC21:AG21,0)</f>
        <v>#REF!</v>
      </c>
      <c r="AF23" s="57" t="s">
        <v>64</v>
      </c>
    </row>
    <row r="24" spans="2:33">
      <c r="C24" s="51">
        <f>VLOOKUP(C17,B5:G14,MATCH(C16,B5:G5,0),0)</f>
        <v>300</v>
      </c>
      <c r="D24" s="221" t="s">
        <v>54</v>
      </c>
    </row>
    <row r="25" spans="2:33">
      <c r="C25" s="50">
        <f ca="1">OFFSET(B5,MATCH(C17,B5:B14,0)-1,MATCH(C16,B5:G5,0)-1)</f>
        <v>300</v>
      </c>
      <c r="D25" s="221" t="s">
        <v>51</v>
      </c>
    </row>
    <row r="26" spans="2:33">
      <c r="C26" s="38">
        <f>INDEX(B5:G14,MATCH(C17,B5:B14,0),MATCH(C16,B5:G5,0))</f>
        <v>300</v>
      </c>
      <c r="D26" s="221" t="s">
        <v>52</v>
      </c>
    </row>
    <row r="27" spans="2:33">
      <c r="C27" s="49">
        <f>CHOOSE(MATCH(C16,C5:G5,0),C8,D8,E8,F8,G8)</f>
        <v>300</v>
      </c>
      <c r="D27" s="221" t="s">
        <v>53</v>
      </c>
    </row>
    <row r="28" spans="2:33">
      <c r="C28" s="241">
        <f ca="1">INDIRECT("R"&amp;MATCH(C17,B6:B14,0)+ROWS(B1:B5)&amp;"C"&amp;MATCH(C16,C5:G5,0)+COLUMNS(A5:B5),FALSE)</f>
        <v>300</v>
      </c>
      <c r="D28" s="229" t="s">
        <v>381</v>
      </c>
    </row>
  </sheetData>
  <dataValidations disablePrompts="1" count="2">
    <dataValidation type="list" allowBlank="1" showInputMessage="1" showErrorMessage="1" sqref="C17" xr:uid="{00000000-0002-0000-0D00-000000000000}">
      <formula1>$B$6:$B$14</formula1>
    </dataValidation>
    <dataValidation type="list" allowBlank="1" showInputMessage="1" showErrorMessage="1" sqref="C16" xr:uid="{00000000-0002-0000-0D00-000001000000}">
      <formula1>$C$5:$G$5</formula1>
    </dataValidation>
  </dataValidation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3"/>
  <dimension ref="B1:K55"/>
  <sheetViews>
    <sheetView zoomScaleNormal="100" workbookViewId="0"/>
  </sheetViews>
  <sheetFormatPr defaultColWidth="8.77734375" defaultRowHeight="14.4"/>
  <cols>
    <col min="2" max="2" width="21" bestFit="1" customWidth="1"/>
    <col min="3" max="8" width="10.6640625" bestFit="1" customWidth="1"/>
    <col min="9" max="9" width="17" bestFit="1" customWidth="1"/>
  </cols>
  <sheetData>
    <row r="1" spans="2:11">
      <c r="B1" t="s">
        <v>33</v>
      </c>
      <c r="C1" s="68" t="s">
        <v>34</v>
      </c>
    </row>
    <row r="3" spans="2:11" ht="22.8" thickBot="1">
      <c r="B3" s="70" t="str">
        <f>"Income Statement for "&amp;C1</f>
        <v>Income Statement for Lemonade Co.</v>
      </c>
      <c r="C3" s="11"/>
      <c r="D3" s="11"/>
      <c r="E3" s="11"/>
      <c r="F3" s="4"/>
      <c r="G3" s="11"/>
      <c r="H3" s="11"/>
    </row>
    <row r="4" spans="2:11">
      <c r="C4" s="67" t="s">
        <v>79</v>
      </c>
      <c r="D4" s="67"/>
      <c r="E4" s="67"/>
      <c r="F4" s="78" t="s">
        <v>65</v>
      </c>
      <c r="G4" s="67"/>
      <c r="H4" s="67"/>
    </row>
    <row r="5" spans="2:11">
      <c r="B5" s="31"/>
      <c r="C5" s="71">
        <v>41274</v>
      </c>
      <c r="D5" s="60">
        <f>EOMONTH(C5,12)</f>
        <v>41639</v>
      </c>
      <c r="E5" s="60">
        <f>EOMONTH(D5,12)</f>
        <v>42004</v>
      </c>
      <c r="F5" s="79">
        <f>EOMONTH(E5,12)</f>
        <v>42369</v>
      </c>
      <c r="G5" s="60">
        <f>EOMONTH(F5,12)</f>
        <v>42735</v>
      </c>
      <c r="H5" s="60">
        <f>EOMONTH(G5,12)</f>
        <v>43100</v>
      </c>
    </row>
    <row r="6" spans="2:11">
      <c r="B6" t="s">
        <v>36</v>
      </c>
      <c r="C6" s="14">
        <v>1500</v>
      </c>
      <c r="D6" s="14">
        <v>3500</v>
      </c>
      <c r="E6" s="14">
        <v>4500</v>
      </c>
      <c r="F6" s="61">
        <f>E6*(1+F21)</f>
        <v>4500</v>
      </c>
      <c r="G6" s="61">
        <f>F6*(1+G21)</f>
        <v>4500</v>
      </c>
      <c r="H6" s="61">
        <f>G6*(1+H21)</f>
        <v>4500</v>
      </c>
    </row>
    <row r="7" spans="2:11">
      <c r="B7" t="s">
        <v>37</v>
      </c>
      <c r="C7" s="14">
        <v>1200</v>
      </c>
      <c r="D7" s="14">
        <v>3400</v>
      </c>
      <c r="E7" s="14">
        <v>4000</v>
      </c>
      <c r="F7" s="61">
        <f>F6*F22</f>
        <v>0</v>
      </c>
      <c r="G7" s="61">
        <f>G6*G22</f>
        <v>0</v>
      </c>
      <c r="H7" s="61">
        <f>H6*H22</f>
        <v>0</v>
      </c>
    </row>
    <row r="8" spans="2:11">
      <c r="B8" s="1" t="s">
        <v>38</v>
      </c>
      <c r="C8" s="32">
        <f t="shared" ref="C8:H8" si="0">C6-C7</f>
        <v>300</v>
      </c>
      <c r="D8" s="32">
        <f t="shared" si="0"/>
        <v>100</v>
      </c>
      <c r="E8" s="32">
        <f t="shared" si="0"/>
        <v>500</v>
      </c>
      <c r="F8" s="32">
        <f t="shared" si="0"/>
        <v>4500</v>
      </c>
      <c r="G8" s="32">
        <f t="shared" si="0"/>
        <v>4500</v>
      </c>
      <c r="H8" s="32">
        <f t="shared" si="0"/>
        <v>4500</v>
      </c>
      <c r="I8" s="1"/>
      <c r="J8" s="1"/>
      <c r="K8" s="1"/>
    </row>
    <row r="9" spans="2:11">
      <c r="B9" t="s">
        <v>39</v>
      </c>
      <c r="C9" s="14">
        <v>55</v>
      </c>
      <c r="D9" s="14">
        <v>65</v>
      </c>
      <c r="E9" s="14">
        <v>78</v>
      </c>
      <c r="F9" s="14">
        <v>78</v>
      </c>
      <c r="G9" s="14">
        <v>78</v>
      </c>
      <c r="H9" s="14">
        <v>78</v>
      </c>
    </row>
    <row r="10" spans="2:11">
      <c r="B10" t="s">
        <v>66</v>
      </c>
      <c r="C10" s="14">
        <v>15</v>
      </c>
      <c r="D10" s="14">
        <v>15</v>
      </c>
      <c r="E10" s="14">
        <v>15</v>
      </c>
      <c r="F10" s="14">
        <v>15</v>
      </c>
      <c r="G10" s="14">
        <v>15</v>
      </c>
      <c r="H10" s="14">
        <v>15</v>
      </c>
    </row>
    <row r="11" spans="2:11">
      <c r="B11" s="1" t="s">
        <v>40</v>
      </c>
      <c r="C11" s="32">
        <f t="shared" ref="C11:H11" si="1">C8-C9-C10</f>
        <v>230</v>
      </c>
      <c r="D11" s="32">
        <f t="shared" si="1"/>
        <v>20</v>
      </c>
      <c r="E11" s="32">
        <f t="shared" si="1"/>
        <v>407</v>
      </c>
      <c r="F11" s="32">
        <f t="shared" si="1"/>
        <v>4407</v>
      </c>
      <c r="G11" s="32">
        <f t="shared" si="1"/>
        <v>4407</v>
      </c>
      <c r="H11" s="32">
        <f t="shared" si="1"/>
        <v>4407</v>
      </c>
    </row>
    <row r="12" spans="2:11">
      <c r="B12" t="s">
        <v>41</v>
      </c>
      <c r="C12" s="33">
        <v>80</v>
      </c>
      <c r="D12" s="33">
        <v>5</v>
      </c>
      <c r="E12" s="33">
        <v>141.6</v>
      </c>
      <c r="F12" s="33">
        <f t="shared" ref="F12:H12" si="2">F11*F13</f>
        <v>1542.4499999999998</v>
      </c>
      <c r="G12" s="33">
        <f t="shared" si="2"/>
        <v>1542.4499999999998</v>
      </c>
      <c r="H12" s="33">
        <f t="shared" si="2"/>
        <v>1542.4499999999998</v>
      </c>
    </row>
    <row r="13" spans="2:11">
      <c r="B13" s="80" t="s">
        <v>35</v>
      </c>
      <c r="C13" s="83">
        <f>C12/C11</f>
        <v>0.34782608695652173</v>
      </c>
      <c r="D13" s="83">
        <f>D12/D11</f>
        <v>0.25</v>
      </c>
      <c r="E13" s="83">
        <f>E12/E11</f>
        <v>0.34791154791154788</v>
      </c>
      <c r="F13" s="82">
        <v>0.35</v>
      </c>
      <c r="G13" s="82">
        <v>0.35</v>
      </c>
      <c r="H13" s="82">
        <v>0.35</v>
      </c>
    </row>
    <row r="14" spans="2:11">
      <c r="B14" s="3" t="s">
        <v>42</v>
      </c>
      <c r="C14" s="32">
        <f t="shared" ref="C14:H14" si="3">C11-C12</f>
        <v>150</v>
      </c>
      <c r="D14" s="32">
        <f t="shared" si="3"/>
        <v>15</v>
      </c>
      <c r="E14" s="32">
        <f t="shared" si="3"/>
        <v>265.39999999999998</v>
      </c>
      <c r="F14" s="32">
        <f t="shared" si="3"/>
        <v>2864.55</v>
      </c>
      <c r="G14" s="32">
        <f t="shared" si="3"/>
        <v>2864.55</v>
      </c>
      <c r="H14" s="32">
        <f t="shared" si="3"/>
        <v>2864.55</v>
      </c>
      <c r="I14" s="1"/>
      <c r="J14" s="1"/>
      <c r="K14" s="1"/>
    </row>
    <row r="15" spans="2:11">
      <c r="B15" s="4" t="s">
        <v>67</v>
      </c>
      <c r="C15" s="14">
        <v>115</v>
      </c>
      <c r="D15" s="14">
        <v>120</v>
      </c>
      <c r="E15" s="14">
        <v>125</v>
      </c>
      <c r="F15" s="14">
        <v>125</v>
      </c>
      <c r="G15" s="14">
        <v>125</v>
      </c>
      <c r="H15" s="14">
        <v>125</v>
      </c>
      <c r="I15" s="1"/>
      <c r="J15" s="1"/>
      <c r="K15" s="1"/>
    </row>
    <row r="16" spans="2:11">
      <c r="B16" s="3" t="s">
        <v>68</v>
      </c>
      <c r="C16" s="62">
        <f t="shared" ref="C16:H16" si="4">IF(C15,C14/C15,"NA")</f>
        <v>1.3043478260869565</v>
      </c>
      <c r="D16" s="62">
        <f t="shared" si="4"/>
        <v>0.125</v>
      </c>
      <c r="E16" s="62">
        <f t="shared" si="4"/>
        <v>2.1231999999999998</v>
      </c>
      <c r="F16" s="62">
        <f t="shared" si="4"/>
        <v>22.916400000000003</v>
      </c>
      <c r="G16" s="62">
        <f t="shared" si="4"/>
        <v>22.916400000000003</v>
      </c>
      <c r="H16" s="62">
        <f t="shared" si="4"/>
        <v>22.916400000000003</v>
      </c>
      <c r="I16" s="1"/>
      <c r="J16" s="1"/>
      <c r="K16" s="1"/>
    </row>
    <row r="18" spans="2:9">
      <c r="B18" s="28"/>
      <c r="E18" s="12"/>
    </row>
    <row r="19" spans="2:9">
      <c r="B19" s="28" t="s">
        <v>69</v>
      </c>
      <c r="C19" s="53"/>
      <c r="D19" t="s">
        <v>80</v>
      </c>
      <c r="E19" s="12"/>
      <c r="F19" s="29"/>
      <c r="G19" s="29"/>
      <c r="H19" s="29"/>
      <c r="I19" s="29"/>
    </row>
    <row r="20" spans="2:9">
      <c r="B20" s="28"/>
      <c r="E20" s="12"/>
      <c r="F20" s="29"/>
      <c r="G20" s="29"/>
      <c r="H20" s="29"/>
      <c r="I20" s="29"/>
    </row>
    <row r="21" spans="2:9">
      <c r="B21" s="30" t="s">
        <v>71</v>
      </c>
      <c r="C21" s="64"/>
      <c r="D21" s="64"/>
      <c r="E21" s="64"/>
      <c r="F21" s="72"/>
      <c r="G21" s="73"/>
      <c r="H21" s="74"/>
      <c r="I21" s="29" t="s">
        <v>81</v>
      </c>
    </row>
    <row r="22" spans="2:9">
      <c r="B22" s="30" t="s">
        <v>72</v>
      </c>
      <c r="C22" s="65"/>
      <c r="D22" s="65"/>
      <c r="E22" s="65"/>
      <c r="F22" s="75"/>
      <c r="G22" s="76"/>
      <c r="H22" s="77"/>
      <c r="I22" s="29" t="s">
        <v>82</v>
      </c>
    </row>
    <row r="23" spans="2:9">
      <c r="B23" s="30"/>
    </row>
    <row r="24" spans="2:9">
      <c r="B24" s="1" t="s">
        <v>73</v>
      </c>
    </row>
    <row r="25" spans="2:9">
      <c r="B25" s="30" t="s">
        <v>74</v>
      </c>
      <c r="F25" s="63">
        <v>0.24</v>
      </c>
      <c r="G25" s="63">
        <f t="shared" ref="G25:H27" si="5">F25+0.02</f>
        <v>0.26</v>
      </c>
      <c r="H25" s="63">
        <f t="shared" si="5"/>
        <v>0.28000000000000003</v>
      </c>
      <c r="I25" s="63"/>
    </row>
    <row r="26" spans="2:9">
      <c r="B26" s="30" t="s">
        <v>70</v>
      </c>
      <c r="F26" s="63">
        <v>0.2</v>
      </c>
      <c r="G26" s="63">
        <f t="shared" si="5"/>
        <v>0.22</v>
      </c>
      <c r="H26" s="63">
        <f t="shared" si="5"/>
        <v>0.24</v>
      </c>
      <c r="I26" s="63"/>
    </row>
    <row r="27" spans="2:9">
      <c r="B27" s="30" t="s">
        <v>75</v>
      </c>
      <c r="F27" s="63">
        <v>0.16</v>
      </c>
      <c r="G27" s="63">
        <f t="shared" si="5"/>
        <v>0.18</v>
      </c>
      <c r="H27" s="63">
        <f t="shared" si="5"/>
        <v>0.19999999999999998</v>
      </c>
      <c r="I27" s="63"/>
    </row>
    <row r="28" spans="2:9">
      <c r="F28" s="63"/>
      <c r="G28" s="63"/>
      <c r="H28" s="63"/>
      <c r="I28" s="63"/>
    </row>
    <row r="29" spans="2:9">
      <c r="B29" s="1" t="s">
        <v>76</v>
      </c>
      <c r="F29" s="63"/>
      <c r="G29" s="63"/>
      <c r="H29" s="63"/>
      <c r="I29" s="63"/>
    </row>
    <row r="30" spans="2:9">
      <c r="B30" s="30" t="s">
        <v>74</v>
      </c>
      <c r="F30" s="63">
        <v>0.35</v>
      </c>
      <c r="G30" s="63">
        <v>0.4</v>
      </c>
      <c r="H30" s="63">
        <v>0.45</v>
      </c>
      <c r="I30" s="63"/>
    </row>
    <row r="31" spans="2:9">
      <c r="B31" s="30" t="s">
        <v>70</v>
      </c>
      <c r="F31" s="63">
        <v>0.4</v>
      </c>
      <c r="G31" s="63">
        <v>0.45</v>
      </c>
      <c r="H31" s="63">
        <v>0.5</v>
      </c>
      <c r="I31" s="63"/>
    </row>
    <row r="32" spans="2:9">
      <c r="B32" s="30" t="s">
        <v>75</v>
      </c>
      <c r="F32" s="63">
        <v>0.45</v>
      </c>
      <c r="G32" s="63">
        <v>0.5</v>
      </c>
      <c r="H32" s="63">
        <v>0.55000000000000004</v>
      </c>
      <c r="I32" s="63"/>
    </row>
    <row r="34" spans="2:11">
      <c r="D34" s="4"/>
      <c r="E34" s="66">
        <f>F16</f>
        <v>22.916400000000003</v>
      </c>
    </row>
    <row r="35" spans="2:11">
      <c r="C35" s="94" t="s">
        <v>84</v>
      </c>
      <c r="D35" s="89">
        <v>0.16</v>
      </c>
      <c r="E35" s="95"/>
    </row>
    <row r="36" spans="2:11">
      <c r="D36" s="89">
        <v>0.18</v>
      </c>
      <c r="E36" s="96"/>
    </row>
    <row r="37" spans="2:11">
      <c r="D37" s="89">
        <v>0.2</v>
      </c>
      <c r="E37" s="96"/>
      <c r="F37" t="s">
        <v>83</v>
      </c>
    </row>
    <row r="38" spans="2:11">
      <c r="D38" s="89">
        <v>0.22</v>
      </c>
      <c r="E38" s="96"/>
    </row>
    <row r="39" spans="2:11">
      <c r="D39" s="89">
        <v>0.24</v>
      </c>
      <c r="E39" s="97"/>
    </row>
    <row r="41" spans="2:11">
      <c r="E41" s="1" t="s">
        <v>77</v>
      </c>
    </row>
    <row r="42" spans="2:11">
      <c r="D42" s="4"/>
      <c r="E42" s="89">
        <v>0.16</v>
      </c>
      <c r="F42" s="89">
        <v>0.18</v>
      </c>
      <c r="G42" s="89">
        <v>0.2</v>
      </c>
      <c r="H42" s="89">
        <v>0.22</v>
      </c>
      <c r="I42" s="89">
        <v>0.24</v>
      </c>
    </row>
    <row r="43" spans="2:11">
      <c r="D43" s="66">
        <f>F16</f>
        <v>22.916400000000003</v>
      </c>
      <c r="E43" s="90"/>
      <c r="F43" s="91"/>
      <c r="G43" s="91"/>
      <c r="H43" s="91"/>
      <c r="I43" s="92"/>
      <c r="J43" t="s">
        <v>83</v>
      </c>
    </row>
    <row r="45" spans="2:11">
      <c r="B45" s="88" t="s">
        <v>85</v>
      </c>
      <c r="C45" s="9"/>
      <c r="D45" s="9"/>
      <c r="E45" s="9"/>
      <c r="F45" s="9"/>
      <c r="G45" s="9"/>
      <c r="H45" s="9"/>
      <c r="I45" s="9"/>
      <c r="J45" s="9"/>
      <c r="K45" s="9"/>
    </row>
    <row r="46" spans="2:11">
      <c r="B46" s="84" t="s">
        <v>77</v>
      </c>
      <c r="C46" s="85"/>
      <c r="D46" s="85"/>
      <c r="E46" s="85"/>
      <c r="F46" s="86">
        <v>0.16</v>
      </c>
      <c r="G46" s="86">
        <f>F46+0.02</f>
        <v>0.18</v>
      </c>
      <c r="H46" s="86">
        <v>0.2</v>
      </c>
      <c r="I46" s="86">
        <v>0.22</v>
      </c>
      <c r="J46" s="86">
        <v>0.24</v>
      </c>
      <c r="K46" s="87"/>
    </row>
    <row r="47" spans="2:11">
      <c r="B47" s="84" t="s">
        <v>78</v>
      </c>
      <c r="C47" s="87"/>
      <c r="D47" s="87"/>
      <c r="E47" s="87"/>
      <c r="F47" s="86">
        <v>0.35</v>
      </c>
      <c r="G47" s="86">
        <v>0.37</v>
      </c>
      <c r="H47" s="86">
        <v>0.39</v>
      </c>
      <c r="I47" s="86">
        <v>0.41</v>
      </c>
      <c r="J47" s="86">
        <v>0.43</v>
      </c>
      <c r="K47" s="86">
        <v>0.45</v>
      </c>
    </row>
    <row r="49" spans="4:9">
      <c r="D49" s="15">
        <f>F16</f>
        <v>22.916400000000003</v>
      </c>
      <c r="E49" s="89">
        <v>0.16</v>
      </c>
      <c r="F49" s="89">
        <f>E49+0.02</f>
        <v>0.18</v>
      </c>
      <c r="G49" s="89">
        <v>0.2</v>
      </c>
      <c r="H49" s="89">
        <v>0.22</v>
      </c>
      <c r="I49" s="89">
        <v>0.24</v>
      </c>
    </row>
    <row r="50" spans="4:9">
      <c r="D50" s="89">
        <v>0.39</v>
      </c>
      <c r="E50" s="98"/>
      <c r="F50" s="98"/>
      <c r="G50" s="98"/>
      <c r="H50" s="98"/>
      <c r="I50" s="98"/>
    </row>
    <row r="51" spans="4:9">
      <c r="D51" s="89">
        <v>0.38</v>
      </c>
      <c r="E51" s="98"/>
      <c r="F51" s="98"/>
      <c r="G51" s="98"/>
      <c r="H51" s="98"/>
      <c r="I51" s="98"/>
    </row>
    <row r="52" spans="4:9">
      <c r="D52" s="89">
        <v>0.37</v>
      </c>
      <c r="E52" s="98"/>
      <c r="F52" s="98"/>
      <c r="G52" s="98"/>
      <c r="H52" s="98"/>
      <c r="I52" s="98"/>
    </row>
    <row r="53" spans="4:9">
      <c r="D53" s="89">
        <v>0.36</v>
      </c>
      <c r="E53" s="98"/>
      <c r="F53" s="98"/>
      <c r="G53" s="98"/>
      <c r="H53" s="98"/>
      <c r="I53" s="98"/>
    </row>
    <row r="54" spans="4:9">
      <c r="D54" s="89">
        <v>0.35</v>
      </c>
      <c r="E54" s="98"/>
      <c r="F54" s="98"/>
      <c r="G54" s="98"/>
      <c r="H54" s="98"/>
      <c r="I54" s="98"/>
    </row>
    <row r="55" spans="4:9">
      <c r="D55" s="89">
        <v>0.33999999999999997</v>
      </c>
      <c r="E55" s="98"/>
      <c r="F55" s="98"/>
      <c r="G55" s="98"/>
      <c r="H55" s="98"/>
      <c r="I55" s="98"/>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4"/>
  <dimension ref="B1:K55"/>
  <sheetViews>
    <sheetView zoomScaleNormal="100" workbookViewId="0"/>
  </sheetViews>
  <sheetFormatPr defaultColWidth="9.109375" defaultRowHeight="14.4"/>
  <cols>
    <col min="1" max="1" width="9.109375" style="221"/>
    <col min="2" max="2" width="21" style="221" bestFit="1" customWidth="1"/>
    <col min="3" max="8" width="10.6640625" style="221" bestFit="1" customWidth="1"/>
    <col min="9" max="9" width="17" style="221" bestFit="1" customWidth="1"/>
    <col min="10" max="16384" width="9.109375" style="221"/>
  </cols>
  <sheetData>
    <row r="1" spans="2:11">
      <c r="B1" s="221" t="s">
        <v>33</v>
      </c>
      <c r="C1" s="68" t="s">
        <v>34</v>
      </c>
    </row>
    <row r="3" spans="2:11" ht="22.8" thickBot="1">
      <c r="B3" s="70" t="str">
        <f>"Income Statement for "&amp;C1</f>
        <v>Income Statement for Lemonade Co.</v>
      </c>
      <c r="C3" s="226"/>
      <c r="D3" s="226"/>
      <c r="E3" s="226"/>
      <c r="F3" s="222"/>
      <c r="G3" s="226"/>
      <c r="H3" s="226"/>
    </row>
    <row r="4" spans="2:11">
      <c r="C4" s="67" t="s">
        <v>79</v>
      </c>
      <c r="D4" s="67"/>
      <c r="E4" s="67"/>
      <c r="F4" s="78" t="s">
        <v>65</v>
      </c>
      <c r="G4" s="67"/>
      <c r="H4" s="67"/>
    </row>
    <row r="5" spans="2:11">
      <c r="B5" s="230"/>
      <c r="C5" s="71">
        <v>41274</v>
      </c>
      <c r="D5" s="60">
        <f>EOMONTH(C5,12)</f>
        <v>41639</v>
      </c>
      <c r="E5" s="60">
        <f>EOMONTH(D5,12)</f>
        <v>42004</v>
      </c>
      <c r="F5" s="79">
        <f>EOMONTH(E5,12)</f>
        <v>42369</v>
      </c>
      <c r="G5" s="60">
        <f>EOMONTH(F5,12)</f>
        <v>42735</v>
      </c>
      <c r="H5" s="60">
        <f>EOMONTH(G5,12)</f>
        <v>43100</v>
      </c>
    </row>
    <row r="6" spans="2:11">
      <c r="B6" s="221" t="s">
        <v>36</v>
      </c>
      <c r="C6" s="14">
        <v>1500</v>
      </c>
      <c r="D6" s="14">
        <v>3500</v>
      </c>
      <c r="E6" s="14">
        <v>4500</v>
      </c>
      <c r="F6" s="61">
        <f ca="1">E6*(1+F21)</f>
        <v>5220</v>
      </c>
      <c r="G6" s="61">
        <f ca="1">F6*(1+G21)</f>
        <v>6159.5999999999995</v>
      </c>
      <c r="H6" s="61">
        <f ca="1">G6*(1+H21)</f>
        <v>7391.5199999999986</v>
      </c>
    </row>
    <row r="7" spans="2:11">
      <c r="B7" s="221" t="s">
        <v>37</v>
      </c>
      <c r="C7" s="14">
        <v>1200</v>
      </c>
      <c r="D7" s="14">
        <v>3400</v>
      </c>
      <c r="E7" s="14">
        <v>4000</v>
      </c>
      <c r="F7" s="61">
        <f ca="1">F6*F22</f>
        <v>2088</v>
      </c>
      <c r="G7" s="61">
        <f ca="1">G6*G22</f>
        <v>2771.8199999999997</v>
      </c>
      <c r="H7" s="61">
        <f ca="1">H6*H22</f>
        <v>3695.7599999999993</v>
      </c>
    </row>
    <row r="8" spans="2:11">
      <c r="B8" s="223" t="s">
        <v>38</v>
      </c>
      <c r="C8" s="231">
        <f t="shared" ref="C8:H8" si="0">C6-C7</f>
        <v>300</v>
      </c>
      <c r="D8" s="231">
        <f t="shared" si="0"/>
        <v>100</v>
      </c>
      <c r="E8" s="231">
        <f t="shared" si="0"/>
        <v>500</v>
      </c>
      <c r="F8" s="231">
        <f t="shared" ca="1" si="0"/>
        <v>3132</v>
      </c>
      <c r="G8" s="231">
        <f t="shared" ca="1" si="0"/>
        <v>3387.7799999999997</v>
      </c>
      <c r="H8" s="231">
        <f t="shared" ca="1" si="0"/>
        <v>3695.7599999999993</v>
      </c>
      <c r="I8" s="223"/>
      <c r="J8" s="223"/>
      <c r="K8" s="223"/>
    </row>
    <row r="9" spans="2:11">
      <c r="B9" s="221" t="s">
        <v>39</v>
      </c>
      <c r="C9" s="14">
        <v>55</v>
      </c>
      <c r="D9" s="14">
        <v>65</v>
      </c>
      <c r="E9" s="14">
        <v>78</v>
      </c>
      <c r="F9" s="14">
        <v>78</v>
      </c>
      <c r="G9" s="14">
        <v>78</v>
      </c>
      <c r="H9" s="14">
        <v>78</v>
      </c>
    </row>
    <row r="10" spans="2:11">
      <c r="B10" s="221" t="s">
        <v>66</v>
      </c>
      <c r="C10" s="14">
        <v>15</v>
      </c>
      <c r="D10" s="14">
        <v>15</v>
      </c>
      <c r="E10" s="14">
        <v>15</v>
      </c>
      <c r="F10" s="14">
        <v>15</v>
      </c>
      <c r="G10" s="14">
        <v>15</v>
      </c>
      <c r="H10" s="14">
        <v>15</v>
      </c>
    </row>
    <row r="11" spans="2:11">
      <c r="B11" s="223" t="s">
        <v>40</v>
      </c>
      <c r="C11" s="231">
        <f t="shared" ref="C11:H11" si="1">C8-C9-C10</f>
        <v>230</v>
      </c>
      <c r="D11" s="231">
        <f t="shared" si="1"/>
        <v>20</v>
      </c>
      <c r="E11" s="231">
        <f t="shared" si="1"/>
        <v>407</v>
      </c>
      <c r="F11" s="231">
        <f t="shared" ca="1" si="1"/>
        <v>3039</v>
      </c>
      <c r="G11" s="231">
        <f t="shared" ca="1" si="1"/>
        <v>3294.7799999999997</v>
      </c>
      <c r="H11" s="231">
        <f t="shared" ca="1" si="1"/>
        <v>3602.7599999999993</v>
      </c>
    </row>
    <row r="12" spans="2:11">
      <c r="B12" s="221" t="s">
        <v>41</v>
      </c>
      <c r="C12" s="232">
        <v>80</v>
      </c>
      <c r="D12" s="232">
        <v>5</v>
      </c>
      <c r="E12" s="232">
        <v>141.6</v>
      </c>
      <c r="F12" s="232">
        <f t="shared" ref="F12:H12" ca="1" si="2">F11*F13</f>
        <v>1063.6499999999999</v>
      </c>
      <c r="G12" s="232">
        <f t="shared" ca="1" si="2"/>
        <v>1153.1729999999998</v>
      </c>
      <c r="H12" s="232">
        <f t="shared" ca="1" si="2"/>
        <v>1260.9659999999997</v>
      </c>
    </row>
    <row r="13" spans="2:11">
      <c r="B13" s="80" t="s">
        <v>35</v>
      </c>
      <c r="C13" s="83">
        <f>C12/C11</f>
        <v>0.34782608695652173</v>
      </c>
      <c r="D13" s="83">
        <f>D12/D11</f>
        <v>0.25</v>
      </c>
      <c r="E13" s="83">
        <f>E12/E11</f>
        <v>0.34791154791154788</v>
      </c>
      <c r="F13" s="82">
        <v>0.35</v>
      </c>
      <c r="G13" s="82">
        <v>0.35</v>
      </c>
      <c r="H13" s="82">
        <v>0.35</v>
      </c>
    </row>
    <row r="14" spans="2:11">
      <c r="B14" s="225" t="s">
        <v>42</v>
      </c>
      <c r="C14" s="231">
        <f t="shared" ref="C14:H14" si="3">C11-C12</f>
        <v>150</v>
      </c>
      <c r="D14" s="231">
        <f t="shared" si="3"/>
        <v>15</v>
      </c>
      <c r="E14" s="231">
        <f t="shared" si="3"/>
        <v>265.39999999999998</v>
      </c>
      <c r="F14" s="231">
        <f t="shared" ca="1" si="3"/>
        <v>1975.3500000000001</v>
      </c>
      <c r="G14" s="231">
        <f t="shared" ca="1" si="3"/>
        <v>2141.607</v>
      </c>
      <c r="H14" s="231">
        <f t="shared" ca="1" si="3"/>
        <v>2341.7939999999999</v>
      </c>
      <c r="I14" s="223"/>
      <c r="J14" s="223"/>
      <c r="K14" s="223"/>
    </row>
    <row r="15" spans="2:11">
      <c r="B15" s="222" t="s">
        <v>67</v>
      </c>
      <c r="C15" s="14">
        <v>115</v>
      </c>
      <c r="D15" s="14">
        <v>120</v>
      </c>
      <c r="E15" s="14">
        <v>125</v>
      </c>
      <c r="F15" s="14">
        <v>125</v>
      </c>
      <c r="G15" s="14">
        <v>125</v>
      </c>
      <c r="H15" s="14">
        <v>125</v>
      </c>
      <c r="I15" s="223"/>
      <c r="J15" s="223"/>
      <c r="K15" s="223"/>
    </row>
    <row r="16" spans="2:11">
      <c r="B16" s="225" t="s">
        <v>68</v>
      </c>
      <c r="C16" s="62">
        <f t="shared" ref="C16:H16" si="4">IF(C15,C14/C15,"NA")</f>
        <v>1.3043478260869565</v>
      </c>
      <c r="D16" s="62">
        <f t="shared" si="4"/>
        <v>0.125</v>
      </c>
      <c r="E16" s="62">
        <f t="shared" si="4"/>
        <v>2.1231999999999998</v>
      </c>
      <c r="F16" s="62">
        <f t="shared" ca="1" si="4"/>
        <v>15.802800000000001</v>
      </c>
      <c r="G16" s="62">
        <f t="shared" ca="1" si="4"/>
        <v>17.132856</v>
      </c>
      <c r="H16" s="62">
        <f t="shared" ca="1" si="4"/>
        <v>18.734351999999998</v>
      </c>
      <c r="I16" s="223"/>
      <c r="J16" s="223"/>
      <c r="K16" s="223"/>
    </row>
    <row r="18" spans="2:9">
      <c r="B18" s="227"/>
      <c r="E18" s="12"/>
    </row>
    <row r="19" spans="2:9">
      <c r="B19" s="227" t="s">
        <v>69</v>
      </c>
      <c r="C19" s="53" t="s">
        <v>70</v>
      </c>
      <c r="D19" s="221" t="s">
        <v>80</v>
      </c>
      <c r="E19" s="12"/>
      <c r="F19" s="228"/>
      <c r="G19" s="228"/>
      <c r="H19" s="228"/>
      <c r="I19" s="228"/>
    </row>
    <row r="20" spans="2:9">
      <c r="B20" s="227"/>
      <c r="E20" s="12"/>
      <c r="F20" s="228"/>
      <c r="G20" s="228"/>
      <c r="H20" s="228"/>
      <c r="I20" s="228"/>
    </row>
    <row r="21" spans="2:9">
      <c r="B21" s="229" t="s">
        <v>71</v>
      </c>
      <c r="C21" s="64"/>
      <c r="D21" s="64"/>
      <c r="E21" s="64"/>
      <c r="F21" s="72">
        <f ca="1">OFFSET(F24,MATCH($C$19,$B$25:$B$27,0),0)</f>
        <v>0.16</v>
      </c>
      <c r="G21" s="73">
        <f t="shared" ref="G21:H21" ca="1" si="5">OFFSET(G24,MATCH($C$19,$B$25:$B$27,0),0)</f>
        <v>0.18</v>
      </c>
      <c r="H21" s="74">
        <f t="shared" ca="1" si="5"/>
        <v>0.19999999999999998</v>
      </c>
      <c r="I21" s="228" t="s">
        <v>81</v>
      </c>
    </row>
    <row r="22" spans="2:9">
      <c r="B22" s="229" t="s">
        <v>72</v>
      </c>
      <c r="C22" s="65"/>
      <c r="D22" s="65"/>
      <c r="E22" s="65"/>
      <c r="F22" s="75">
        <f ca="1">OFFSET(F29,MATCH($C$19,$B$30:$B$32,0),0)</f>
        <v>0.4</v>
      </c>
      <c r="G22" s="76">
        <f t="shared" ref="G22:H22" ca="1" si="6">OFFSET(G29,MATCH($C$19,$B$30:$B$32,0),0)</f>
        <v>0.45</v>
      </c>
      <c r="H22" s="77">
        <f t="shared" ca="1" si="6"/>
        <v>0.5</v>
      </c>
      <c r="I22" s="228" t="s">
        <v>82</v>
      </c>
    </row>
    <row r="23" spans="2:9">
      <c r="B23" s="229"/>
    </row>
    <row r="24" spans="2:9">
      <c r="B24" s="223" t="s">
        <v>73</v>
      </c>
    </row>
    <row r="25" spans="2:9">
      <c r="B25" s="229" t="s">
        <v>74</v>
      </c>
      <c r="F25" s="63">
        <v>0.24</v>
      </c>
      <c r="G25" s="63">
        <f t="shared" ref="G25:H27" si="7">F25+0.02</f>
        <v>0.26</v>
      </c>
      <c r="H25" s="63">
        <f t="shared" si="7"/>
        <v>0.28000000000000003</v>
      </c>
      <c r="I25" s="63"/>
    </row>
    <row r="26" spans="2:9">
      <c r="B26" s="229" t="s">
        <v>70</v>
      </c>
      <c r="F26" s="63">
        <v>0.16</v>
      </c>
      <c r="G26" s="63">
        <f t="shared" si="7"/>
        <v>0.18</v>
      </c>
      <c r="H26" s="63">
        <f t="shared" si="7"/>
        <v>0.19999999999999998</v>
      </c>
      <c r="I26" s="63"/>
    </row>
    <row r="27" spans="2:9">
      <c r="B27" s="229" t="s">
        <v>75</v>
      </c>
      <c r="F27" s="63">
        <v>0.16</v>
      </c>
      <c r="G27" s="63">
        <f t="shared" si="7"/>
        <v>0.18</v>
      </c>
      <c r="H27" s="63">
        <f t="shared" si="7"/>
        <v>0.19999999999999998</v>
      </c>
      <c r="I27" s="63"/>
    </row>
    <row r="28" spans="2:9">
      <c r="F28" s="63"/>
      <c r="G28" s="63"/>
      <c r="H28" s="63"/>
      <c r="I28" s="63"/>
    </row>
    <row r="29" spans="2:9">
      <c r="B29" s="223" t="s">
        <v>76</v>
      </c>
      <c r="F29" s="63"/>
      <c r="G29" s="63"/>
      <c r="H29" s="63"/>
      <c r="I29" s="63"/>
    </row>
    <row r="30" spans="2:9">
      <c r="B30" s="229" t="s">
        <v>74</v>
      </c>
      <c r="F30" s="63">
        <v>0.35</v>
      </c>
      <c r="G30" s="63">
        <v>0.4</v>
      </c>
      <c r="H30" s="63">
        <v>0.45</v>
      </c>
      <c r="I30" s="63"/>
    </row>
    <row r="31" spans="2:9">
      <c r="B31" s="229" t="s">
        <v>70</v>
      </c>
      <c r="F31" s="63">
        <v>0.4</v>
      </c>
      <c r="G31" s="63">
        <v>0.45</v>
      </c>
      <c r="H31" s="63">
        <v>0.5</v>
      </c>
      <c r="I31" s="63"/>
    </row>
    <row r="32" spans="2:9">
      <c r="B32" s="229" t="s">
        <v>75</v>
      </c>
      <c r="F32" s="63">
        <v>0.45</v>
      </c>
      <c r="G32" s="63">
        <v>0.5</v>
      </c>
      <c r="H32" s="63">
        <v>0.55000000000000004</v>
      </c>
      <c r="I32" s="63"/>
    </row>
    <row r="34" spans="2:11">
      <c r="D34" s="222"/>
      <c r="E34" s="66">
        <f ca="1">F16</f>
        <v>15.802800000000001</v>
      </c>
    </row>
    <row r="35" spans="2:11">
      <c r="C35" s="94" t="s">
        <v>84</v>
      </c>
      <c r="D35" s="89">
        <v>0.16</v>
      </c>
      <c r="E35" s="95">
        <f t="dataTable" ref="E35:E39" dt2D="0" dtr="0" r1="F21" ca="1"/>
        <v>15.802800000000001</v>
      </c>
    </row>
    <row r="36" spans="2:11">
      <c r="D36" s="89">
        <v>0.18</v>
      </c>
      <c r="E36" s="96">
        <v>16.083600000000001</v>
      </c>
    </row>
    <row r="37" spans="2:11">
      <c r="D37" s="89">
        <v>0.2</v>
      </c>
      <c r="E37" s="96">
        <v>16.3644</v>
      </c>
      <c r="F37" s="221" t="s">
        <v>83</v>
      </c>
    </row>
    <row r="38" spans="2:11">
      <c r="D38" s="89">
        <v>0.22</v>
      </c>
      <c r="E38" s="96">
        <v>16.645199999999999</v>
      </c>
    </row>
    <row r="39" spans="2:11">
      <c r="D39" s="89">
        <v>0.24</v>
      </c>
      <c r="E39" s="97">
        <v>16.925999999999998</v>
      </c>
    </row>
    <row r="41" spans="2:11">
      <c r="E41" s="223" t="s">
        <v>77</v>
      </c>
    </row>
    <row r="42" spans="2:11">
      <c r="D42" s="222"/>
      <c r="E42" s="89">
        <v>0.16</v>
      </c>
      <c r="F42" s="89">
        <v>0.18</v>
      </c>
      <c r="G42" s="89">
        <v>0.2</v>
      </c>
      <c r="H42" s="89">
        <v>0.22</v>
      </c>
      <c r="I42" s="89">
        <v>0.24</v>
      </c>
    </row>
    <row r="43" spans="2:11">
      <c r="D43" s="66">
        <f ca="1">F16</f>
        <v>15.802800000000001</v>
      </c>
      <c r="E43" s="90">
        <f t="dataTable" ref="E43:I43" dt2D="0" dtr="1" r1="F21" ca="1"/>
        <v>15.802800000000001</v>
      </c>
      <c r="F43" s="91">
        <v>16.083600000000001</v>
      </c>
      <c r="G43" s="91">
        <v>16.3644</v>
      </c>
      <c r="H43" s="91">
        <v>16.645199999999999</v>
      </c>
      <c r="I43" s="92">
        <v>16.925999999999998</v>
      </c>
      <c r="J43" s="221" t="s">
        <v>83</v>
      </c>
    </row>
    <row r="45" spans="2:11">
      <c r="B45" s="88" t="s">
        <v>85</v>
      </c>
      <c r="C45" s="9"/>
      <c r="D45" s="9"/>
      <c r="E45" s="9"/>
      <c r="F45" s="9"/>
      <c r="G45" s="9"/>
      <c r="H45" s="9"/>
      <c r="I45" s="9"/>
      <c r="J45" s="9"/>
      <c r="K45" s="9"/>
    </row>
    <row r="46" spans="2:11">
      <c r="B46" s="84" t="s">
        <v>77</v>
      </c>
      <c r="C46" s="85"/>
      <c r="D46" s="85"/>
      <c r="E46" s="85"/>
      <c r="F46" s="86">
        <v>0.16</v>
      </c>
      <c r="G46" s="86">
        <f>F46+0.02</f>
        <v>0.18</v>
      </c>
      <c r="H46" s="86">
        <v>0.2</v>
      </c>
      <c r="I46" s="86">
        <v>0.22</v>
      </c>
      <c r="J46" s="86">
        <v>0.24</v>
      </c>
      <c r="K46" s="87"/>
    </row>
    <row r="47" spans="2:11">
      <c r="B47" s="84" t="s">
        <v>78</v>
      </c>
      <c r="C47" s="87"/>
      <c r="D47" s="87"/>
      <c r="E47" s="87"/>
      <c r="F47" s="86">
        <v>0.35</v>
      </c>
      <c r="G47" s="86">
        <v>0.37</v>
      </c>
      <c r="H47" s="86">
        <v>0.39</v>
      </c>
      <c r="I47" s="86">
        <v>0.41</v>
      </c>
      <c r="J47" s="86">
        <v>0.43</v>
      </c>
      <c r="K47" s="86">
        <v>0.45</v>
      </c>
    </row>
    <row r="49" spans="4:9">
      <c r="D49" s="15">
        <f ca="1">F16</f>
        <v>15.802800000000001</v>
      </c>
      <c r="E49" s="89">
        <v>0.16</v>
      </c>
      <c r="F49" s="89">
        <f>E49+0.02</f>
        <v>0.18</v>
      </c>
      <c r="G49" s="89">
        <v>0.2</v>
      </c>
      <c r="H49" s="89">
        <v>0.22</v>
      </c>
      <c r="I49" s="89">
        <v>0.24</v>
      </c>
    </row>
    <row r="50" spans="4:9">
      <c r="D50" s="89">
        <v>0.39</v>
      </c>
      <c r="E50" s="98">
        <f t="dataTable" ref="E50:I55" dt2D="1" dtr="1" r1="F21" r2="F22" ca="1"/>
        <v>16.07424</v>
      </c>
      <c r="F50" s="98">
        <v>16.359719999999999</v>
      </c>
      <c r="G50" s="98">
        <v>16.645199999999999</v>
      </c>
      <c r="H50" s="98">
        <v>16.930679999999999</v>
      </c>
      <c r="I50" s="98">
        <v>17.216159999999999</v>
      </c>
    </row>
    <row r="51" spans="4:9">
      <c r="D51" s="89">
        <v>0.38</v>
      </c>
      <c r="E51" s="98">
        <v>16.345679999999998</v>
      </c>
      <c r="F51" s="98">
        <v>16.635840000000002</v>
      </c>
      <c r="G51" s="98">
        <v>16.925999999999998</v>
      </c>
      <c r="H51" s="98">
        <v>17.216160000000002</v>
      </c>
      <c r="I51" s="98">
        <v>17.506319999999999</v>
      </c>
    </row>
    <row r="52" spans="4:9">
      <c r="D52" s="89">
        <v>0.37</v>
      </c>
      <c r="E52" s="98">
        <v>16.617120000000003</v>
      </c>
      <c r="F52" s="98">
        <v>16.911960000000001</v>
      </c>
      <c r="G52" s="98">
        <v>17.206800000000001</v>
      </c>
      <c r="H52" s="98">
        <v>17.501639999999998</v>
      </c>
      <c r="I52" s="98">
        <v>17.796480000000003</v>
      </c>
    </row>
    <row r="53" spans="4:9">
      <c r="D53" s="89">
        <v>0.36</v>
      </c>
      <c r="E53" s="98">
        <v>16.888560000000002</v>
      </c>
      <c r="F53" s="98">
        <v>17.188080000000003</v>
      </c>
      <c r="G53" s="98">
        <v>17.487599999999997</v>
      </c>
      <c r="H53" s="98">
        <v>17.787120000000002</v>
      </c>
      <c r="I53" s="98">
        <v>18.086639999999999</v>
      </c>
    </row>
    <row r="54" spans="4:9">
      <c r="D54" s="89">
        <v>0.35</v>
      </c>
      <c r="E54" s="98">
        <v>17.16</v>
      </c>
      <c r="F54" s="98">
        <v>17.464200000000002</v>
      </c>
      <c r="G54" s="98">
        <v>17.7684</v>
      </c>
      <c r="H54" s="98">
        <v>18.072599999999998</v>
      </c>
      <c r="I54" s="98">
        <v>18.376800000000003</v>
      </c>
    </row>
    <row r="55" spans="4:9">
      <c r="D55" s="89">
        <v>0.33999999999999997</v>
      </c>
      <c r="E55" s="98">
        <v>17.431440000000002</v>
      </c>
      <c r="F55" s="98">
        <v>17.740320000000004</v>
      </c>
      <c r="G55" s="98">
        <v>18.049199999999999</v>
      </c>
      <c r="H55" s="98">
        <v>18.358080000000001</v>
      </c>
      <c r="I55" s="98">
        <v>18.66696</v>
      </c>
    </row>
  </sheetData>
  <dataValidations count="1">
    <dataValidation type="list" allowBlank="1" showInputMessage="1" showErrorMessage="1" sqref="C19" xr:uid="{00000000-0002-0000-0F00-000000000000}">
      <formula1>$B$25:$B$27</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5"/>
  <dimension ref="A1:F7"/>
  <sheetViews>
    <sheetView zoomScaleNormal="100" workbookViewId="0"/>
  </sheetViews>
  <sheetFormatPr defaultColWidth="8.77734375" defaultRowHeight="14.4"/>
  <cols>
    <col min="1" max="1" width="12.109375" bestFit="1" customWidth="1"/>
  </cols>
  <sheetData>
    <row r="1" spans="1:6" s="221" customFormat="1"/>
    <row r="2" spans="1:6">
      <c r="C2" s="223" t="s">
        <v>725</v>
      </c>
    </row>
    <row r="3" spans="1:6">
      <c r="B3" s="15">
        <f ca="1">'Data table_ans'!F16</f>
        <v>15.802800000000001</v>
      </c>
      <c r="C3" s="89">
        <v>0.16</v>
      </c>
      <c r="D3" s="89">
        <v>0.18</v>
      </c>
      <c r="E3" s="89">
        <v>0.2</v>
      </c>
      <c r="F3" s="89">
        <v>0.22</v>
      </c>
    </row>
    <row r="4" spans="1:6">
      <c r="A4" s="284">
        <v>2015</v>
      </c>
      <c r="B4" s="89">
        <v>0.44</v>
      </c>
      <c r="C4" s="98">
        <f ca="1">IF(AND(C$3='Data table_ans'!$F$21,'Self Referencing IFs'!$B4='Data table_ans'!$F$22),'Data table_ans'!$F$16,'Self Referencing IFs'!C4)</f>
        <v>14.717040000000001</v>
      </c>
      <c r="D4" s="98">
        <f ca="1">IF(AND(D$3='Data table_ans'!$F$21,'Self Referencing IFs'!$B4='Data table_ans'!$F$22),'Data table_ans'!$F$16,'Self Referencing IFs'!D4)</f>
        <v>14.979119999999998</v>
      </c>
      <c r="E4" s="98">
        <f ca="1">IF(AND(E$3='Data table_ans'!$F$21,'Self Referencing IFs'!$B4='Data table_ans'!$F$22),'Data table_ans'!$F$16,'Self Referencing IFs'!E4)</f>
        <v>15.241200000000001</v>
      </c>
      <c r="F4" s="98">
        <f ca="1">IF(AND(F$3='Data table_ans'!$F$21,'Self Referencing IFs'!$B4='Data table_ans'!$F$22),'Data table_ans'!$F$16,'Self Referencing IFs'!F4)</f>
        <v>15.50328</v>
      </c>
    </row>
    <row r="5" spans="1:6">
      <c r="A5" s="284" t="s">
        <v>76</v>
      </c>
      <c r="B5" s="89">
        <v>0.42</v>
      </c>
      <c r="C5" s="98">
        <f ca="1">IF(AND(C$3='Data table_ans'!$F$21,'Self Referencing IFs'!$B5='Data table_ans'!$F$22),'Data table_ans'!$F$16,'Self Referencing IFs'!C5)</f>
        <v>15.259919999999999</v>
      </c>
      <c r="D5" s="98">
        <f ca="1">IF(AND(D$3='Data table_ans'!$F$21,'Self Referencing IFs'!$B5='Data table_ans'!$F$22),'Data table_ans'!$F$16,'Self Referencing IFs'!D5)</f>
        <v>15.531360000000001</v>
      </c>
      <c r="E5" s="98">
        <f ca="1">IF(AND(E$3='Data table_ans'!$F$21,'Self Referencing IFs'!$B5='Data table_ans'!$F$22),'Data table_ans'!$F$16,'Self Referencing IFs'!E5)</f>
        <v>15.802800000000001</v>
      </c>
      <c r="F5" s="98">
        <f ca="1">IF(AND(F$3='Data table_ans'!$F$21,'Self Referencing IFs'!$B5='Data table_ans'!$F$22),'Data table_ans'!$F$16,'Self Referencing IFs'!F5)</f>
        <v>16.074240000000003</v>
      </c>
    </row>
    <row r="6" spans="1:6">
      <c r="A6" s="284" t="s">
        <v>726</v>
      </c>
      <c r="B6" s="89">
        <v>0.4</v>
      </c>
      <c r="C6" s="98">
        <f ca="1">IF(AND(C$3='Data table_ans'!$F$21,'Self Referencing IFs'!$B6='Data table_ans'!$F$22),'Data table_ans'!$F$16,'Self Referencing IFs'!C6)</f>
        <v>15.802800000000001</v>
      </c>
      <c r="D6" s="98">
        <f ca="1">IF(AND(D$3='Data table_ans'!$F$21,'Self Referencing IFs'!$B6='Data table_ans'!$F$22),'Data table_ans'!$F$16,'Self Referencing IFs'!D6)</f>
        <v>16.083600000000001</v>
      </c>
      <c r="E6" s="98">
        <f ca="1">IF(AND(E$3='Data table_ans'!$F$21,'Self Referencing IFs'!$B6='Data table_ans'!$F$22),'Data table_ans'!$F$16,'Self Referencing IFs'!E6)</f>
        <v>16.3644</v>
      </c>
      <c r="F6" s="98">
        <f ca="1">IF(AND(F$3='Data table_ans'!$F$21,'Self Referencing IFs'!$B6='Data table_ans'!$F$22),'Data table_ans'!$F$16,'Self Referencing IFs'!F6)</f>
        <v>16.645199999999999</v>
      </c>
    </row>
    <row r="7" spans="1:6">
      <c r="A7" s="284" t="s">
        <v>727</v>
      </c>
      <c r="B7" s="89">
        <v>0.38</v>
      </c>
      <c r="C7" s="98">
        <f ca="1">IF(AND(C$3='Data table_ans'!$F$21,'Self Referencing IFs'!$B7='Data table_ans'!$F$22),'Data table_ans'!$F$16,'Self Referencing IFs'!C7)</f>
        <v>16.345679999999998</v>
      </c>
      <c r="D7" s="98">
        <f ca="1">IF(AND(D$3='Data table_ans'!$F$21,'Self Referencing IFs'!$B7='Data table_ans'!$F$22),'Data table_ans'!$F$16,'Self Referencing IFs'!D7)</f>
        <v>16.635840000000002</v>
      </c>
      <c r="E7" s="98">
        <f ca="1">IF(AND(E$3='Data table_ans'!$F$21,'Self Referencing IFs'!$B7='Data table_ans'!$F$22),'Data table_ans'!$F$16,'Self Referencing IFs'!E7)</f>
        <v>16.925999999999998</v>
      </c>
      <c r="F7" s="98">
        <f ca="1">IF(AND(F$3='Data table_ans'!$F$21,'Self Referencing IFs'!$B7='Data table_ans'!$F$22),'Data table_ans'!$F$16,'Self Referencing IFs'!F7)</f>
        <v>17.216160000000002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6">
    <pageSetUpPr fitToPage="1"/>
  </sheetPr>
  <dimension ref="A2:R38"/>
  <sheetViews>
    <sheetView zoomScaleNormal="100" workbookViewId="0"/>
  </sheetViews>
  <sheetFormatPr defaultColWidth="8.77734375" defaultRowHeight="14.4"/>
  <cols>
    <col min="2" max="2" width="101.44140625" bestFit="1" customWidth="1"/>
    <col min="3" max="3" width="16.77734375" bestFit="1" customWidth="1"/>
    <col min="4" max="4" width="9.44140625" bestFit="1" customWidth="1"/>
    <col min="5" max="5" width="22.33203125" bestFit="1" customWidth="1"/>
    <col min="6" max="8" width="9.109375" customWidth="1"/>
    <col min="10" max="10" width="34.33203125" customWidth="1"/>
    <col min="11" max="11" width="7.6640625" bestFit="1" customWidth="1"/>
    <col min="12" max="12" width="10.44140625" bestFit="1" customWidth="1"/>
    <col min="13" max="13" width="20.109375" bestFit="1" customWidth="1"/>
    <col min="14" max="14" width="44.109375" bestFit="1" customWidth="1"/>
  </cols>
  <sheetData>
    <row r="2" spans="2:18">
      <c r="B2" s="1"/>
    </row>
    <row r="3" spans="2:18" ht="15" thickBot="1">
      <c r="B3" s="1"/>
    </row>
    <row r="4" spans="2:18" ht="18.600000000000001" thickBot="1">
      <c r="B4" s="46" t="s">
        <v>94</v>
      </c>
      <c r="C4" s="11"/>
      <c r="D4" s="11"/>
      <c r="E4" s="11"/>
      <c r="F4" s="4"/>
      <c r="G4" s="4"/>
      <c r="H4" s="4"/>
      <c r="J4" s="133" t="s">
        <v>131</v>
      </c>
    </row>
    <row r="5" spans="2:18">
      <c r="B5" s="9" t="s">
        <v>95</v>
      </c>
      <c r="C5" s="9" t="s">
        <v>97</v>
      </c>
      <c r="D5" s="9" t="s">
        <v>92</v>
      </c>
      <c r="E5" s="9" t="s">
        <v>93</v>
      </c>
      <c r="F5" s="4"/>
      <c r="G5" s="4"/>
      <c r="H5" s="4"/>
      <c r="J5" s="129" t="s">
        <v>96</v>
      </c>
    </row>
    <row r="6" spans="2:18">
      <c r="B6" s="103" t="s">
        <v>86</v>
      </c>
      <c r="C6" s="4" t="s">
        <v>96</v>
      </c>
      <c r="D6">
        <v>3</v>
      </c>
      <c r="E6" s="99">
        <v>1000</v>
      </c>
      <c r="F6" s="99"/>
      <c r="G6" s="99"/>
      <c r="H6" s="99"/>
      <c r="J6" s="130" t="s">
        <v>99</v>
      </c>
    </row>
    <row r="7" spans="2:18">
      <c r="B7" s="80" t="s">
        <v>89</v>
      </c>
      <c r="C7" t="s">
        <v>96</v>
      </c>
      <c r="D7">
        <v>4</v>
      </c>
      <c r="E7" s="101">
        <v>1200</v>
      </c>
      <c r="F7" s="101"/>
      <c r="G7" s="101"/>
      <c r="H7" s="101"/>
      <c r="J7" s="130" t="s">
        <v>98</v>
      </c>
    </row>
    <row r="8" spans="2:18">
      <c r="B8" s="80" t="s">
        <v>87</v>
      </c>
      <c r="C8" t="s">
        <v>98</v>
      </c>
      <c r="D8">
        <v>7</v>
      </c>
      <c r="E8" s="101">
        <v>900</v>
      </c>
      <c r="F8" s="101"/>
      <c r="G8" s="101"/>
      <c r="H8" s="101"/>
      <c r="J8" s="131"/>
    </row>
    <row r="9" spans="2:18">
      <c r="B9" s="80" t="s">
        <v>88</v>
      </c>
      <c r="C9" t="s">
        <v>99</v>
      </c>
      <c r="D9">
        <v>4</v>
      </c>
      <c r="E9" s="101">
        <v>800</v>
      </c>
      <c r="F9" s="101"/>
      <c r="G9" s="101"/>
      <c r="H9" s="101"/>
      <c r="J9" s="130" t="s">
        <v>86</v>
      </c>
    </row>
    <row r="10" spans="2:18">
      <c r="B10" s="80" t="s">
        <v>90</v>
      </c>
      <c r="C10" t="s">
        <v>96</v>
      </c>
      <c r="D10">
        <v>8</v>
      </c>
      <c r="E10" s="101">
        <v>700</v>
      </c>
      <c r="F10" s="101"/>
      <c r="G10" s="101"/>
      <c r="H10" s="101"/>
      <c r="J10" s="130" t="s">
        <v>89</v>
      </c>
    </row>
    <row r="11" spans="2:18">
      <c r="B11" s="80" t="s">
        <v>91</v>
      </c>
      <c r="C11" t="s">
        <v>99</v>
      </c>
      <c r="D11">
        <v>5</v>
      </c>
      <c r="E11" s="101">
        <v>600</v>
      </c>
      <c r="F11" s="101"/>
      <c r="G11" s="101"/>
      <c r="H11" s="101"/>
      <c r="J11" s="130" t="s">
        <v>87</v>
      </c>
    </row>
    <row r="12" spans="2:18">
      <c r="B12" s="80" t="s">
        <v>89</v>
      </c>
      <c r="C12" t="s">
        <v>99</v>
      </c>
      <c r="D12">
        <v>2</v>
      </c>
      <c r="E12" s="101">
        <v>500</v>
      </c>
      <c r="F12" s="101"/>
      <c r="G12" s="101"/>
      <c r="H12" s="101"/>
      <c r="J12" s="130" t="s">
        <v>88</v>
      </c>
    </row>
    <row r="13" spans="2:18">
      <c r="B13" s="80" t="s">
        <v>88</v>
      </c>
      <c r="C13" t="s">
        <v>96</v>
      </c>
      <c r="D13">
        <v>1</v>
      </c>
      <c r="E13" s="101">
        <v>300</v>
      </c>
      <c r="F13" s="101"/>
      <c r="G13" s="101"/>
      <c r="H13" s="101"/>
      <c r="J13" s="130" t="s">
        <v>90</v>
      </c>
    </row>
    <row r="14" spans="2:18" ht="15" thickBot="1">
      <c r="B14" s="80" t="s">
        <v>91</v>
      </c>
      <c r="C14" t="s">
        <v>98</v>
      </c>
      <c r="D14">
        <v>1</v>
      </c>
      <c r="E14" s="101">
        <v>200</v>
      </c>
      <c r="F14" s="101"/>
      <c r="G14" s="101"/>
      <c r="H14" s="101"/>
      <c r="J14" s="132" t="s">
        <v>91</v>
      </c>
    </row>
    <row r="15" spans="2:18" ht="15" thickBot="1">
      <c r="B15" s="80" t="s">
        <v>87</v>
      </c>
      <c r="C15" t="s">
        <v>99</v>
      </c>
      <c r="D15">
        <v>2</v>
      </c>
      <c r="E15" s="101">
        <v>700</v>
      </c>
      <c r="F15" s="101"/>
      <c r="G15" s="101"/>
      <c r="H15" s="101"/>
    </row>
    <row r="16" spans="2:18">
      <c r="B16" s="80"/>
      <c r="E16" s="101"/>
      <c r="F16" s="101"/>
      <c r="G16" s="101"/>
      <c r="H16" s="101"/>
      <c r="J16" s="124"/>
      <c r="K16" s="118"/>
      <c r="L16" s="118"/>
      <c r="M16" s="118"/>
      <c r="N16" s="118"/>
      <c r="O16" s="118"/>
      <c r="P16" s="118"/>
      <c r="Q16" s="118"/>
      <c r="R16" s="119"/>
    </row>
    <row r="17" spans="1:18">
      <c r="B17" s="80" t="s">
        <v>101</v>
      </c>
      <c r="C17" s="107"/>
      <c r="J17" s="125"/>
      <c r="K17" s="8" t="s">
        <v>112</v>
      </c>
      <c r="L17" s="8" t="s">
        <v>113</v>
      </c>
      <c r="M17" s="8" t="s">
        <v>114</v>
      </c>
      <c r="N17" s="4"/>
      <c r="O17" s="4"/>
      <c r="P17" s="4"/>
      <c r="Q17" s="4"/>
      <c r="R17" s="120"/>
    </row>
    <row r="18" spans="1:18">
      <c r="B18" s="103" t="s">
        <v>102</v>
      </c>
      <c r="C18" s="54"/>
      <c r="J18" s="125" t="s">
        <v>115</v>
      </c>
      <c r="K18" s="115">
        <v>100</v>
      </c>
      <c r="L18" s="115">
        <v>10</v>
      </c>
      <c r="M18" s="116">
        <f>K18*L18</f>
        <v>1000</v>
      </c>
      <c r="N18" s="4"/>
      <c r="O18" s="4"/>
      <c r="P18" s="4"/>
      <c r="Q18" s="4"/>
      <c r="R18" s="120"/>
    </row>
    <row r="19" spans="1:18">
      <c r="B19" s="4"/>
      <c r="J19" s="125" t="s">
        <v>116</v>
      </c>
      <c r="K19" s="115">
        <v>200</v>
      </c>
      <c r="L19" s="115">
        <v>50</v>
      </c>
      <c r="M19" s="116">
        <f>K19*L19</f>
        <v>10000</v>
      </c>
      <c r="N19" s="4"/>
      <c r="O19" s="4"/>
      <c r="P19" s="4"/>
      <c r="Q19" s="4"/>
      <c r="R19" s="120"/>
    </row>
    <row r="20" spans="1:18">
      <c r="B20" s="110" t="s">
        <v>111</v>
      </c>
      <c r="J20" s="125" t="s">
        <v>117</v>
      </c>
      <c r="K20" s="115">
        <v>300</v>
      </c>
      <c r="L20" s="115">
        <v>60</v>
      </c>
      <c r="M20" s="116">
        <f>K20*L20</f>
        <v>18000</v>
      </c>
      <c r="N20" s="4"/>
      <c r="O20" s="4"/>
      <c r="P20" s="4"/>
      <c r="Q20" s="4"/>
      <c r="R20" s="120"/>
    </row>
    <row r="21" spans="1:18">
      <c r="B21" s="28" t="s">
        <v>100</v>
      </c>
      <c r="C21" s="134"/>
      <c r="J21" s="125"/>
      <c r="K21" s="4"/>
      <c r="L21" s="4"/>
      <c r="M21" s="4"/>
      <c r="N21" s="4"/>
      <c r="O21" s="4"/>
      <c r="P21" s="4"/>
      <c r="Q21" s="4"/>
      <c r="R21" s="120"/>
    </row>
    <row r="22" spans="1:18">
      <c r="A22" s="4"/>
      <c r="B22" s="106"/>
      <c r="C22" s="106"/>
      <c r="J22" s="125" t="s">
        <v>118</v>
      </c>
      <c r="K22" s="4"/>
      <c r="L22" s="4"/>
      <c r="M22" s="115">
        <v>50</v>
      </c>
      <c r="N22" s="4"/>
      <c r="O22" s="4"/>
      <c r="P22" s="4"/>
      <c r="Q22" s="4"/>
      <c r="R22" s="120"/>
    </row>
    <row r="23" spans="1:18">
      <c r="A23" s="4"/>
      <c r="B23" s="110" t="s">
        <v>110</v>
      </c>
      <c r="C23" s="106"/>
      <c r="J23" s="125" t="s">
        <v>119</v>
      </c>
      <c r="K23" s="4"/>
      <c r="L23" s="4"/>
      <c r="M23" s="99">
        <f>SUMPRODUCT(K18:K20,L18:L20*(L18:L20&lt;M22))</f>
        <v>1000</v>
      </c>
      <c r="N23" s="117"/>
      <c r="O23" s="4"/>
      <c r="P23" s="4"/>
      <c r="Q23" s="4"/>
      <c r="R23" s="120"/>
    </row>
    <row r="24" spans="1:18">
      <c r="A24" s="4"/>
      <c r="B24" s="106" t="s">
        <v>105</v>
      </c>
      <c r="C24" s="108"/>
      <c r="J24" s="125"/>
      <c r="K24" s="4"/>
      <c r="L24" s="4"/>
      <c r="M24" s="4"/>
      <c r="N24" s="4"/>
      <c r="O24" s="4"/>
      <c r="P24" s="4"/>
      <c r="Q24" s="4"/>
      <c r="R24" s="120"/>
    </row>
    <row r="25" spans="1:18" ht="15" thickBot="1">
      <c r="A25" s="4"/>
      <c r="B25" s="106" t="s">
        <v>106</v>
      </c>
      <c r="C25" s="109"/>
      <c r="J25" s="126" t="s">
        <v>120</v>
      </c>
      <c r="K25" s="11"/>
      <c r="L25" s="11"/>
      <c r="M25" s="11"/>
      <c r="N25" s="11"/>
      <c r="O25" s="11"/>
      <c r="P25" s="4"/>
      <c r="Q25" s="4"/>
      <c r="R25" s="120"/>
    </row>
    <row r="26" spans="1:18">
      <c r="A26" s="4"/>
      <c r="B26" s="106"/>
      <c r="C26" s="106"/>
      <c r="J26" s="125" t="s">
        <v>121</v>
      </c>
      <c r="K26" s="115">
        <v>600</v>
      </c>
      <c r="L26" s="4"/>
      <c r="M26" s="4"/>
      <c r="N26" s="4"/>
      <c r="O26" s="4"/>
      <c r="P26" s="4"/>
      <c r="Q26" s="4"/>
      <c r="R26" s="120"/>
    </row>
    <row r="27" spans="1:18">
      <c r="A27" s="4"/>
      <c r="B27" s="44" t="s">
        <v>109</v>
      </c>
      <c r="C27" s="28"/>
      <c r="J27" s="125" t="s">
        <v>122</v>
      </c>
      <c r="K27" s="115">
        <v>500</v>
      </c>
      <c r="L27" s="4"/>
      <c r="M27" s="4"/>
      <c r="N27" s="4"/>
      <c r="O27" s="4"/>
      <c r="P27" s="4"/>
      <c r="Q27" s="4"/>
      <c r="R27" s="120"/>
    </row>
    <row r="28" spans="1:18">
      <c r="A28" s="4"/>
      <c r="B28" s="106" t="s">
        <v>104</v>
      </c>
      <c r="C28" s="109"/>
      <c r="J28" s="125" t="s">
        <v>123</v>
      </c>
      <c r="K28" s="116" t="b">
        <f>K26&gt;K27</f>
        <v>1</v>
      </c>
      <c r="L28" s="117"/>
      <c r="M28" s="4" t="s">
        <v>124</v>
      </c>
      <c r="N28" s="4"/>
      <c r="O28" s="4"/>
      <c r="P28" s="4"/>
      <c r="Q28" s="4"/>
      <c r="R28" s="120"/>
    </row>
    <row r="29" spans="1:18">
      <c r="B29" s="106" t="s">
        <v>132</v>
      </c>
      <c r="C29" s="109"/>
      <c r="D29" s="69"/>
      <c r="J29" s="127" t="s">
        <v>125</v>
      </c>
      <c r="K29" s="116">
        <f>K28*1</f>
        <v>1</v>
      </c>
      <c r="L29" s="117"/>
      <c r="M29" s="4" t="s">
        <v>126</v>
      </c>
      <c r="N29" s="4"/>
      <c r="O29" s="4"/>
      <c r="P29" s="4"/>
      <c r="Q29" s="4"/>
      <c r="R29" s="120"/>
    </row>
    <row r="30" spans="1:18">
      <c r="B30" s="106"/>
      <c r="D30" s="69"/>
      <c r="J30" s="127" t="s">
        <v>127</v>
      </c>
      <c r="K30" s="99">
        <f>K28*TRUE</f>
        <v>1</v>
      </c>
      <c r="L30" s="117"/>
      <c r="M30" s="4" t="s">
        <v>126</v>
      </c>
      <c r="N30" s="4"/>
      <c r="O30" s="4"/>
      <c r="P30" s="4"/>
      <c r="Q30" s="4"/>
      <c r="R30" s="120"/>
    </row>
    <row r="31" spans="1:18">
      <c r="B31" s="44" t="s">
        <v>103</v>
      </c>
      <c r="D31" s="69"/>
      <c r="J31" s="127"/>
      <c r="K31" s="99"/>
      <c r="L31" s="4"/>
      <c r="M31" s="4"/>
      <c r="N31" s="4"/>
      <c r="O31" s="4"/>
      <c r="P31" s="4"/>
      <c r="Q31" s="4"/>
      <c r="R31" s="120"/>
    </row>
    <row r="32" spans="1:18">
      <c r="B32" s="106" t="s">
        <v>107</v>
      </c>
      <c r="C32" s="109"/>
      <c r="J32" s="125" t="s">
        <v>121</v>
      </c>
      <c r="K32" s="115">
        <v>200</v>
      </c>
      <c r="L32" s="4"/>
      <c r="M32" s="4"/>
      <c r="N32" s="4"/>
      <c r="O32" s="4"/>
      <c r="P32" s="4"/>
      <c r="Q32" s="4"/>
      <c r="R32" s="120"/>
    </row>
    <row r="33" spans="2:18">
      <c r="B33" s="106" t="s">
        <v>108</v>
      </c>
      <c r="C33" s="109"/>
      <c r="J33" s="125" t="s">
        <v>122</v>
      </c>
      <c r="K33" s="115">
        <v>500</v>
      </c>
      <c r="L33" s="4"/>
      <c r="M33" s="4"/>
      <c r="N33" s="4"/>
      <c r="O33" s="4"/>
      <c r="P33" s="4"/>
      <c r="Q33" s="4"/>
      <c r="R33" s="120"/>
    </row>
    <row r="34" spans="2:18">
      <c r="J34" s="125" t="s">
        <v>123</v>
      </c>
      <c r="K34" s="116" t="b">
        <f>K32&gt;K33</f>
        <v>0</v>
      </c>
      <c r="L34" s="117"/>
      <c r="M34" s="4" t="s">
        <v>128</v>
      </c>
      <c r="N34" s="4"/>
      <c r="O34" s="4"/>
      <c r="P34" s="4"/>
      <c r="Q34" s="4"/>
      <c r="R34" s="120"/>
    </row>
    <row r="35" spans="2:18">
      <c r="J35" s="127" t="s">
        <v>125</v>
      </c>
      <c r="K35" s="116">
        <f>K34*1</f>
        <v>0</v>
      </c>
      <c r="L35" s="117"/>
      <c r="M35" s="4" t="s">
        <v>129</v>
      </c>
      <c r="N35" s="4"/>
      <c r="O35" s="4"/>
      <c r="P35" s="4"/>
      <c r="Q35" s="4"/>
      <c r="R35" s="120"/>
    </row>
    <row r="36" spans="2:18">
      <c r="J36" s="127" t="s">
        <v>127</v>
      </c>
      <c r="K36" s="99">
        <f>K34*TRUE</f>
        <v>0</v>
      </c>
      <c r="L36" s="117"/>
      <c r="M36" s="4" t="s">
        <v>129</v>
      </c>
      <c r="N36" s="4"/>
      <c r="O36" s="4"/>
      <c r="P36" s="4"/>
      <c r="Q36" s="4"/>
      <c r="R36" s="120"/>
    </row>
    <row r="37" spans="2:18">
      <c r="J37" s="127"/>
      <c r="K37" s="99"/>
      <c r="L37" s="117"/>
      <c r="M37" s="4"/>
      <c r="N37" s="4"/>
      <c r="O37" s="4"/>
      <c r="P37" s="4"/>
      <c r="Q37" s="4"/>
      <c r="R37" s="120"/>
    </row>
    <row r="38" spans="2:18" ht="15" thickBot="1">
      <c r="J38" s="128" t="s">
        <v>130</v>
      </c>
      <c r="K38" s="121"/>
      <c r="L38" s="121"/>
      <c r="M38" s="121"/>
      <c r="N38" s="121"/>
      <c r="O38" s="122"/>
      <c r="P38" s="11"/>
      <c r="Q38" s="11"/>
      <c r="R38" s="123"/>
    </row>
  </sheetData>
  <pageMargins left="0.7" right="0.7" top="0.75" bottom="0.75" header="0.3" footer="0.3"/>
  <pageSetup scale="2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pageSetUpPr fitToPage="1"/>
  </sheetPr>
  <dimension ref="A2:R38"/>
  <sheetViews>
    <sheetView zoomScaleNormal="100" workbookViewId="0"/>
  </sheetViews>
  <sheetFormatPr defaultColWidth="9.109375" defaultRowHeight="14.4"/>
  <cols>
    <col min="1" max="1" width="9.109375" style="221"/>
    <col min="2" max="2" width="101.44140625" style="221" bestFit="1" customWidth="1"/>
    <col min="3" max="3" width="16.77734375" style="221" bestFit="1" customWidth="1"/>
    <col min="4" max="4" width="9.44140625" style="221" bestFit="1" customWidth="1"/>
    <col min="5" max="5" width="22.33203125" style="221" bestFit="1" customWidth="1"/>
    <col min="6" max="8" width="9.109375" style="221" customWidth="1"/>
    <col min="9" max="9" width="9.109375" style="221"/>
    <col min="10" max="10" width="34.33203125" style="221" customWidth="1"/>
    <col min="11" max="11" width="7.6640625" style="221" bestFit="1" customWidth="1"/>
    <col min="12" max="12" width="10.44140625" style="221" bestFit="1" customWidth="1"/>
    <col min="13" max="13" width="20.109375" style="221" bestFit="1" customWidth="1"/>
    <col min="14" max="14" width="44.109375" style="221" bestFit="1" customWidth="1"/>
    <col min="15" max="16384" width="9.109375" style="221"/>
  </cols>
  <sheetData>
    <row r="2" spans="2:18">
      <c r="B2" s="223"/>
    </row>
    <row r="3" spans="2:18" ht="15" thickBot="1">
      <c r="B3" s="223"/>
    </row>
    <row r="4" spans="2:18" ht="18.600000000000001" thickBot="1">
      <c r="B4" s="46" t="s">
        <v>94</v>
      </c>
      <c r="C4" s="226"/>
      <c r="D4" s="226"/>
      <c r="E4" s="226"/>
      <c r="F4" s="222"/>
      <c r="G4" s="222"/>
      <c r="H4" s="222"/>
      <c r="J4" s="133" t="s">
        <v>131</v>
      </c>
    </row>
    <row r="5" spans="2:18">
      <c r="B5" s="9" t="s">
        <v>95</v>
      </c>
      <c r="C5" s="9" t="s">
        <v>97</v>
      </c>
      <c r="D5" s="9" t="s">
        <v>92</v>
      </c>
      <c r="E5" s="9" t="s">
        <v>93</v>
      </c>
      <c r="F5" s="222"/>
      <c r="G5" s="222"/>
      <c r="H5" s="222"/>
      <c r="J5" s="129" t="s">
        <v>96</v>
      </c>
    </row>
    <row r="6" spans="2:18">
      <c r="B6" s="103" t="s">
        <v>86</v>
      </c>
      <c r="C6" s="222" t="s">
        <v>96</v>
      </c>
      <c r="D6" s="221">
        <v>3</v>
      </c>
      <c r="E6" s="99">
        <v>1000</v>
      </c>
      <c r="F6" s="99"/>
      <c r="G6" s="99"/>
      <c r="H6" s="99"/>
      <c r="J6" s="130" t="s">
        <v>99</v>
      </c>
    </row>
    <row r="7" spans="2:18">
      <c r="B7" s="80" t="s">
        <v>89</v>
      </c>
      <c r="C7" s="221" t="s">
        <v>96</v>
      </c>
      <c r="D7" s="221">
        <v>4</v>
      </c>
      <c r="E7" s="101">
        <v>1200</v>
      </c>
      <c r="F7" s="101"/>
      <c r="G7" s="101"/>
      <c r="H7" s="101"/>
      <c r="J7" s="130" t="s">
        <v>98</v>
      </c>
    </row>
    <row r="8" spans="2:18">
      <c r="B8" s="80" t="s">
        <v>87</v>
      </c>
      <c r="C8" s="221" t="s">
        <v>98</v>
      </c>
      <c r="D8" s="221">
        <v>7</v>
      </c>
      <c r="E8" s="101">
        <v>900</v>
      </c>
      <c r="F8" s="101"/>
      <c r="G8" s="101"/>
      <c r="H8" s="101"/>
      <c r="J8" s="131"/>
    </row>
    <row r="9" spans="2:18">
      <c r="B9" s="80" t="s">
        <v>88</v>
      </c>
      <c r="C9" s="221" t="s">
        <v>99</v>
      </c>
      <c r="D9" s="221">
        <v>4</v>
      </c>
      <c r="E9" s="101">
        <v>800</v>
      </c>
      <c r="F9" s="101"/>
      <c r="G9" s="101"/>
      <c r="H9" s="101"/>
      <c r="J9" s="130" t="s">
        <v>86</v>
      </c>
    </row>
    <row r="10" spans="2:18">
      <c r="B10" s="80" t="s">
        <v>90</v>
      </c>
      <c r="C10" s="221" t="s">
        <v>96</v>
      </c>
      <c r="D10" s="221">
        <v>8</v>
      </c>
      <c r="E10" s="101">
        <v>700</v>
      </c>
      <c r="F10" s="101"/>
      <c r="G10" s="101"/>
      <c r="H10" s="101"/>
      <c r="J10" s="130" t="s">
        <v>89</v>
      </c>
    </row>
    <row r="11" spans="2:18">
      <c r="B11" s="80" t="s">
        <v>91</v>
      </c>
      <c r="C11" s="221" t="s">
        <v>99</v>
      </c>
      <c r="D11" s="221">
        <v>5</v>
      </c>
      <c r="E11" s="101">
        <v>600</v>
      </c>
      <c r="F11" s="101"/>
      <c r="G11" s="101"/>
      <c r="H11" s="101"/>
      <c r="J11" s="130" t="s">
        <v>87</v>
      </c>
    </row>
    <row r="12" spans="2:18">
      <c r="B12" s="80" t="s">
        <v>89</v>
      </c>
      <c r="C12" s="221" t="s">
        <v>99</v>
      </c>
      <c r="D12" s="221">
        <v>2</v>
      </c>
      <c r="E12" s="101">
        <v>500</v>
      </c>
      <c r="F12" s="101"/>
      <c r="G12" s="101"/>
      <c r="H12" s="101"/>
      <c r="J12" s="130" t="s">
        <v>88</v>
      </c>
    </row>
    <row r="13" spans="2:18">
      <c r="B13" s="80" t="s">
        <v>88</v>
      </c>
      <c r="C13" s="221" t="s">
        <v>96</v>
      </c>
      <c r="D13" s="221">
        <v>1</v>
      </c>
      <c r="E13" s="101">
        <v>300</v>
      </c>
      <c r="F13" s="101"/>
      <c r="G13" s="101"/>
      <c r="H13" s="101"/>
      <c r="J13" s="130" t="s">
        <v>90</v>
      </c>
    </row>
    <row r="14" spans="2:18" ht="15" thickBot="1">
      <c r="B14" s="80" t="s">
        <v>91</v>
      </c>
      <c r="C14" s="221" t="s">
        <v>98</v>
      </c>
      <c r="D14" s="221">
        <v>1</v>
      </c>
      <c r="E14" s="101">
        <v>200</v>
      </c>
      <c r="F14" s="101"/>
      <c r="G14" s="101"/>
      <c r="H14" s="101"/>
      <c r="J14" s="132" t="s">
        <v>91</v>
      </c>
    </row>
    <row r="15" spans="2:18" ht="15" thickBot="1">
      <c r="B15" s="80" t="s">
        <v>87</v>
      </c>
      <c r="C15" s="221" t="s">
        <v>99</v>
      </c>
      <c r="D15" s="221">
        <v>2</v>
      </c>
      <c r="E15" s="101">
        <v>700</v>
      </c>
      <c r="F15" s="101"/>
      <c r="G15" s="101"/>
      <c r="H15" s="101"/>
    </row>
    <row r="16" spans="2:18">
      <c r="B16" s="80"/>
      <c r="E16" s="101"/>
      <c r="F16" s="101"/>
      <c r="G16" s="101"/>
      <c r="H16" s="101"/>
      <c r="J16" s="124"/>
      <c r="K16" s="118"/>
      <c r="L16" s="118"/>
      <c r="M16" s="118"/>
      <c r="N16" s="118"/>
      <c r="O16" s="118"/>
      <c r="P16" s="118"/>
      <c r="Q16" s="118"/>
      <c r="R16" s="119"/>
    </row>
    <row r="17" spans="1:18">
      <c r="B17" s="80" t="s">
        <v>101</v>
      </c>
      <c r="C17" s="107" t="s">
        <v>99</v>
      </c>
      <c r="J17" s="125"/>
      <c r="K17" s="8" t="s">
        <v>112</v>
      </c>
      <c r="L17" s="8" t="s">
        <v>113</v>
      </c>
      <c r="M17" s="8" t="s">
        <v>114</v>
      </c>
      <c r="N17" s="222"/>
      <c r="O17" s="222"/>
      <c r="P17" s="222"/>
      <c r="Q17" s="222"/>
      <c r="R17" s="120"/>
    </row>
    <row r="18" spans="1:18">
      <c r="B18" s="103" t="s">
        <v>102</v>
      </c>
      <c r="C18" s="54" t="s">
        <v>89</v>
      </c>
      <c r="J18" s="125" t="s">
        <v>115</v>
      </c>
      <c r="K18" s="115">
        <v>100</v>
      </c>
      <c r="L18" s="115">
        <v>10</v>
      </c>
      <c r="M18" s="116">
        <f>K18*L18</f>
        <v>1000</v>
      </c>
      <c r="N18" s="222"/>
      <c r="O18" s="222"/>
      <c r="P18" s="222"/>
      <c r="Q18" s="222"/>
      <c r="R18" s="120"/>
    </row>
    <row r="19" spans="1:18">
      <c r="B19" s="222"/>
      <c r="J19" s="125" t="s">
        <v>116</v>
      </c>
      <c r="K19" s="115">
        <v>200</v>
      </c>
      <c r="L19" s="115">
        <v>50</v>
      </c>
      <c r="M19" s="116">
        <f>K19*L19</f>
        <v>10000</v>
      </c>
      <c r="N19" s="222"/>
      <c r="O19" s="222"/>
      <c r="P19" s="222"/>
      <c r="Q19" s="222"/>
      <c r="R19" s="120"/>
    </row>
    <row r="20" spans="1:18">
      <c r="B20" s="110" t="s">
        <v>111</v>
      </c>
      <c r="J20" s="125" t="s">
        <v>117</v>
      </c>
      <c r="K20" s="115">
        <v>300</v>
      </c>
      <c r="L20" s="115">
        <v>60</v>
      </c>
      <c r="M20" s="116">
        <f>K20*L20</f>
        <v>18000</v>
      </c>
      <c r="N20" s="222"/>
      <c r="O20" s="222"/>
      <c r="P20" s="222"/>
      <c r="Q20" s="222"/>
      <c r="R20" s="120"/>
    </row>
    <row r="21" spans="1:18">
      <c r="B21" s="227" t="s">
        <v>100</v>
      </c>
      <c r="C21" s="134">
        <f>SUMPRODUCT(D6:D15,E6:E15)</f>
        <v>28800</v>
      </c>
      <c r="J21" s="125"/>
      <c r="K21" s="222"/>
      <c r="L21" s="222"/>
      <c r="M21" s="222"/>
      <c r="N21" s="222"/>
      <c r="O21" s="222"/>
      <c r="P21" s="222"/>
      <c r="Q21" s="222"/>
      <c r="R21" s="120"/>
    </row>
    <row r="22" spans="1:18">
      <c r="A22" s="222"/>
      <c r="B22" s="106"/>
      <c r="C22" s="106"/>
      <c r="J22" s="125" t="s">
        <v>118</v>
      </c>
      <c r="K22" s="222"/>
      <c r="L22" s="222"/>
      <c r="M22" s="115">
        <v>50</v>
      </c>
      <c r="N22" s="222"/>
      <c r="O22" s="222"/>
      <c r="P22" s="222"/>
      <c r="Q22" s="222"/>
      <c r="R22" s="120"/>
    </row>
    <row r="23" spans="1:18">
      <c r="A23" s="222"/>
      <c r="B23" s="110" t="s">
        <v>110</v>
      </c>
      <c r="C23" s="106"/>
      <c r="J23" s="125" t="s">
        <v>119</v>
      </c>
      <c r="K23" s="222"/>
      <c r="L23" s="222"/>
      <c r="M23" s="99">
        <f>SUMPRODUCT(K18:K20,L18:L20*(L18:L20&lt;M22))</f>
        <v>1000</v>
      </c>
      <c r="N23" s="117"/>
      <c r="O23" s="222"/>
      <c r="P23" s="222"/>
      <c r="Q23" s="222"/>
      <c r="R23" s="120"/>
    </row>
    <row r="24" spans="1:18">
      <c r="A24" s="222"/>
      <c r="B24" s="106" t="s">
        <v>105</v>
      </c>
      <c r="C24" s="108">
        <f>SUMPRODUCT((B6:B15=C18)*(C6:C15=C17),E6:E15)</f>
        <v>500</v>
      </c>
      <c r="J24" s="125"/>
      <c r="K24" s="222"/>
      <c r="L24" s="222"/>
      <c r="M24" s="222"/>
      <c r="N24" s="222"/>
      <c r="O24" s="222"/>
      <c r="P24" s="222"/>
      <c r="Q24" s="222"/>
      <c r="R24" s="120"/>
    </row>
    <row r="25" spans="1:18" ht="15" thickBot="1">
      <c r="A25" s="222"/>
      <c r="B25" s="106" t="s">
        <v>106</v>
      </c>
      <c r="C25" s="109">
        <f>SUMPRODUCT((B6:B15=C18)*(C6:C15=C17),E6:E15,D6:D15)</f>
        <v>1000</v>
      </c>
      <c r="J25" s="126" t="s">
        <v>120</v>
      </c>
      <c r="K25" s="226"/>
      <c r="L25" s="226"/>
      <c r="M25" s="226"/>
      <c r="N25" s="226"/>
      <c r="O25" s="226"/>
      <c r="P25" s="222"/>
      <c r="Q25" s="222"/>
      <c r="R25" s="120"/>
    </row>
    <row r="26" spans="1:18">
      <c r="A26" s="222"/>
      <c r="B26" s="106"/>
      <c r="C26" s="106"/>
      <c r="J26" s="125" t="s">
        <v>121</v>
      </c>
      <c r="K26" s="115">
        <v>600</v>
      </c>
      <c r="L26" s="222"/>
      <c r="M26" s="222"/>
      <c r="N26" s="222"/>
      <c r="O26" s="222"/>
      <c r="P26" s="222"/>
      <c r="Q26" s="222"/>
      <c r="R26" s="120"/>
    </row>
    <row r="27" spans="1:18">
      <c r="A27" s="222"/>
      <c r="B27" s="44" t="s">
        <v>109</v>
      </c>
      <c r="C27" s="227"/>
      <c r="J27" s="125" t="s">
        <v>122</v>
      </c>
      <c r="K27" s="115">
        <v>500</v>
      </c>
      <c r="L27" s="222"/>
      <c r="M27" s="222"/>
      <c r="N27" s="222"/>
      <c r="O27" s="222"/>
      <c r="P27" s="222"/>
      <c r="Q27" s="222"/>
      <c r="R27" s="120"/>
    </row>
    <row r="28" spans="1:18">
      <c r="A28" s="222"/>
      <c r="B28" s="106" t="s">
        <v>104</v>
      </c>
      <c r="C28" s="109">
        <f>SUMIF(C6:C15,C17,D6:D15)</f>
        <v>13</v>
      </c>
      <c r="J28" s="125" t="s">
        <v>123</v>
      </c>
      <c r="K28" s="116" t="b">
        <f>K26&gt;K27</f>
        <v>1</v>
      </c>
      <c r="L28" s="117"/>
      <c r="M28" s="222" t="s">
        <v>124</v>
      </c>
      <c r="N28" s="222"/>
      <c r="O28" s="222"/>
      <c r="P28" s="222"/>
      <c r="Q28" s="222"/>
      <c r="R28" s="120"/>
    </row>
    <row r="29" spans="1:18">
      <c r="B29" s="106" t="s">
        <v>132</v>
      </c>
      <c r="C29" s="109">
        <f>AVERAGEIF(C6:C15,C17,D6:D15)</f>
        <v>3.25</v>
      </c>
      <c r="D29" s="69"/>
      <c r="J29" s="127" t="s">
        <v>125</v>
      </c>
      <c r="K29" s="116">
        <f>K28*1</f>
        <v>1</v>
      </c>
      <c r="L29" s="117"/>
      <c r="M29" s="222" t="s">
        <v>126</v>
      </c>
      <c r="N29" s="222"/>
      <c r="O29" s="222"/>
      <c r="P29" s="222"/>
      <c r="Q29" s="222"/>
      <c r="R29" s="120"/>
    </row>
    <row r="30" spans="1:18">
      <c r="B30" s="106"/>
      <c r="D30" s="69"/>
      <c r="J30" s="127" t="s">
        <v>127</v>
      </c>
      <c r="K30" s="99">
        <f>K28*TRUE</f>
        <v>1</v>
      </c>
      <c r="L30" s="117"/>
      <c r="M30" s="222" t="s">
        <v>126</v>
      </c>
      <c r="N30" s="222"/>
      <c r="O30" s="222"/>
      <c r="P30" s="222"/>
      <c r="Q30" s="222"/>
      <c r="R30" s="120"/>
    </row>
    <row r="31" spans="1:18">
      <c r="B31" s="44" t="s">
        <v>103</v>
      </c>
      <c r="D31" s="69"/>
      <c r="J31" s="127"/>
      <c r="K31" s="99"/>
      <c r="L31" s="222"/>
      <c r="M31" s="222"/>
      <c r="N31" s="222"/>
      <c r="O31" s="222"/>
      <c r="P31" s="222"/>
      <c r="Q31" s="222"/>
      <c r="R31" s="120"/>
    </row>
    <row r="32" spans="1:18">
      <c r="B32" s="106" t="s">
        <v>107</v>
      </c>
      <c r="C32" s="109">
        <f>SUMIFS(E6:E15,C6:C15,C17,B6:B15,C18)</f>
        <v>500</v>
      </c>
      <c r="J32" s="125" t="s">
        <v>121</v>
      </c>
      <c r="K32" s="115">
        <v>200</v>
      </c>
      <c r="L32" s="222"/>
      <c r="M32" s="222"/>
      <c r="N32" s="222"/>
      <c r="O32" s="222"/>
      <c r="P32" s="222"/>
      <c r="Q32" s="222"/>
      <c r="R32" s="120"/>
    </row>
    <row r="33" spans="2:18">
      <c r="B33" s="106" t="s">
        <v>108</v>
      </c>
      <c r="C33" s="109">
        <f>SUMIFS(E6:E15,C6:C15,C17,B6:B15,C18)*SUMIFS(D6:D15,C6:C15,C17,B6:B15,C18)</f>
        <v>1000</v>
      </c>
      <c r="J33" s="125" t="s">
        <v>122</v>
      </c>
      <c r="K33" s="115">
        <v>500</v>
      </c>
      <c r="L33" s="222"/>
      <c r="M33" s="222"/>
      <c r="N33" s="222"/>
      <c r="O33" s="222"/>
      <c r="P33" s="222"/>
      <c r="Q33" s="222"/>
      <c r="R33" s="120"/>
    </row>
    <row r="34" spans="2:18">
      <c r="J34" s="125" t="s">
        <v>123</v>
      </c>
      <c r="K34" s="116" t="b">
        <f>K32&gt;K33</f>
        <v>0</v>
      </c>
      <c r="L34" s="117"/>
      <c r="M34" s="222" t="s">
        <v>128</v>
      </c>
      <c r="N34" s="222"/>
      <c r="O34" s="222"/>
      <c r="P34" s="222"/>
      <c r="Q34" s="222"/>
      <c r="R34" s="120"/>
    </row>
    <row r="35" spans="2:18">
      <c r="J35" s="127" t="s">
        <v>125</v>
      </c>
      <c r="K35" s="116">
        <f>K34*1</f>
        <v>0</v>
      </c>
      <c r="L35" s="117"/>
      <c r="M35" s="222" t="s">
        <v>129</v>
      </c>
      <c r="N35" s="222"/>
      <c r="O35" s="222"/>
      <c r="P35" s="222"/>
      <c r="Q35" s="222"/>
      <c r="R35" s="120"/>
    </row>
    <row r="36" spans="2:18">
      <c r="J36" s="127" t="s">
        <v>127</v>
      </c>
      <c r="K36" s="99">
        <f>K34*TRUE</f>
        <v>0</v>
      </c>
      <c r="L36" s="117"/>
      <c r="M36" s="222" t="s">
        <v>129</v>
      </c>
      <c r="N36" s="222"/>
      <c r="O36" s="222"/>
      <c r="P36" s="222"/>
      <c r="Q36" s="222"/>
      <c r="R36" s="120"/>
    </row>
    <row r="37" spans="2:18">
      <c r="J37" s="127"/>
      <c r="K37" s="99"/>
      <c r="L37" s="117"/>
      <c r="M37" s="222"/>
      <c r="N37" s="222"/>
      <c r="O37" s="222"/>
      <c r="P37" s="222"/>
      <c r="Q37" s="222"/>
      <c r="R37" s="120"/>
    </row>
    <row r="38" spans="2:18" ht="15" thickBot="1">
      <c r="J38" s="128" t="s">
        <v>130</v>
      </c>
      <c r="K38" s="121"/>
      <c r="L38" s="121"/>
      <c r="M38" s="121"/>
      <c r="N38" s="121"/>
      <c r="O38" s="122"/>
      <c r="P38" s="226"/>
      <c r="Q38" s="226"/>
      <c r="R38" s="123"/>
    </row>
  </sheetData>
  <dataValidations count="2">
    <dataValidation type="list" allowBlank="1" showInputMessage="1" showErrorMessage="1" sqref="C17" xr:uid="{00000000-0002-0000-1200-000000000000}">
      <formula1>$J$5:$J$7</formula1>
    </dataValidation>
    <dataValidation type="list" allowBlank="1" showInputMessage="1" showErrorMessage="1" sqref="C18" xr:uid="{00000000-0002-0000-1200-000001000000}">
      <formula1>$J$9:$J$14</formula1>
    </dataValidation>
  </dataValidations>
  <pageMargins left="0.7" right="0.7" top="0.75" bottom="0.75" header="0.3" footer="0.3"/>
  <pageSetup scale="25"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8">
    <pageSetUpPr fitToPage="1"/>
  </sheetPr>
  <dimension ref="A1:K133"/>
  <sheetViews>
    <sheetView zoomScaleNormal="100" workbookViewId="0"/>
  </sheetViews>
  <sheetFormatPr defaultColWidth="8.77734375" defaultRowHeight="14.4"/>
  <cols>
    <col min="1" max="1" width="11.6640625" bestFit="1" customWidth="1"/>
    <col min="2" max="2" width="35.44140625" customWidth="1"/>
    <col min="3" max="3" width="11.33203125" customWidth="1"/>
    <col min="4" max="6" width="10.109375" customWidth="1"/>
    <col min="7" max="7" width="9.6640625" customWidth="1"/>
    <col min="8" max="8" width="8.33203125" bestFit="1" customWidth="1"/>
  </cols>
  <sheetData>
    <row r="1" spans="1:4">
      <c r="A1" s="1" t="s">
        <v>133</v>
      </c>
    </row>
    <row r="3" spans="1:4">
      <c r="B3" t="s">
        <v>134</v>
      </c>
      <c r="C3" s="14">
        <v>-4</v>
      </c>
      <c r="D3" s="14"/>
    </row>
    <row r="4" spans="1:4">
      <c r="B4" t="s">
        <v>135</v>
      </c>
      <c r="C4" s="61">
        <f>ABS(C3)</f>
        <v>4</v>
      </c>
      <c r="D4" s="135" t="s">
        <v>136</v>
      </c>
    </row>
    <row r="6" spans="1:4">
      <c r="A6" s="1" t="s">
        <v>137</v>
      </c>
    </row>
    <row r="8" spans="1:4">
      <c r="B8" t="s">
        <v>138</v>
      </c>
      <c r="C8" s="136">
        <v>4.2300000000000004</v>
      </c>
    </row>
    <row r="9" spans="1:4">
      <c r="B9" t="s">
        <v>139</v>
      </c>
      <c r="C9" s="15">
        <f>CEILING(C8,0.1)</f>
        <v>4.3</v>
      </c>
      <c r="D9" s="137" t="s">
        <v>204</v>
      </c>
    </row>
    <row r="11" spans="1:4">
      <c r="A11" s="1" t="s">
        <v>140</v>
      </c>
    </row>
    <row r="13" spans="1:4">
      <c r="B13" t="s">
        <v>138</v>
      </c>
      <c r="C13" s="136">
        <v>4.2300000000000004</v>
      </c>
    </row>
    <row r="14" spans="1:4">
      <c r="B14" t="s">
        <v>141</v>
      </c>
      <c r="C14" s="15">
        <f>FLOOR(C13,0.05)</f>
        <v>4.2</v>
      </c>
      <c r="D14" s="137" t="s">
        <v>142</v>
      </c>
    </row>
    <row r="16" spans="1:4">
      <c r="A16" s="1" t="s">
        <v>143</v>
      </c>
    </row>
    <row r="18" spans="1:4">
      <c r="B18" t="s">
        <v>144</v>
      </c>
      <c r="C18" s="138">
        <v>15</v>
      </c>
    </row>
    <row r="19" spans="1:4">
      <c r="B19" t="s">
        <v>145</v>
      </c>
      <c r="C19" s="139">
        <f>COMBIN(C18+1,2)</f>
        <v>120</v>
      </c>
      <c r="D19" s="140" t="s">
        <v>146</v>
      </c>
    </row>
    <row r="21" spans="1:4">
      <c r="A21" s="1" t="s">
        <v>147</v>
      </c>
    </row>
    <row r="23" spans="1:4">
      <c r="B23" t="s">
        <v>148</v>
      </c>
      <c r="C23" s="13">
        <v>1807</v>
      </c>
    </row>
    <row r="24" spans="1:4">
      <c r="B24" t="s">
        <v>17</v>
      </c>
      <c r="C24" s="14">
        <v>123</v>
      </c>
    </row>
    <row r="25" spans="1:4">
      <c r="B25" t="s">
        <v>68</v>
      </c>
      <c r="C25" s="15">
        <f>ROUND(C23/C24,2)</f>
        <v>14.69</v>
      </c>
      <c r="D25" s="137" t="s">
        <v>149</v>
      </c>
    </row>
    <row r="27" spans="1:4">
      <c r="A27" s="1" t="s">
        <v>150</v>
      </c>
    </row>
    <row r="29" spans="1:4">
      <c r="B29" t="s">
        <v>148</v>
      </c>
      <c r="C29" s="13">
        <v>1807</v>
      </c>
      <c r="D29" s="141"/>
    </row>
    <row r="30" spans="1:4">
      <c r="B30" t="s">
        <v>17</v>
      </c>
      <c r="C30" s="14">
        <v>123</v>
      </c>
    </row>
    <row r="31" spans="1:4">
      <c r="B31" t="s">
        <v>68</v>
      </c>
      <c r="C31" s="15">
        <f>ROUNDUP(C29/C30,2)</f>
        <v>14.7</v>
      </c>
      <c r="D31" s="137" t="s">
        <v>151</v>
      </c>
    </row>
    <row r="33" spans="1:7">
      <c r="A33" s="1" t="s">
        <v>152</v>
      </c>
    </row>
    <row r="35" spans="1:7">
      <c r="B35" t="s">
        <v>148</v>
      </c>
      <c r="C35" s="13">
        <v>1807</v>
      </c>
      <c r="D35" s="141"/>
    </row>
    <row r="36" spans="1:7">
      <c r="B36" t="s">
        <v>17</v>
      </c>
      <c r="C36" s="14">
        <v>123</v>
      </c>
    </row>
    <row r="37" spans="1:7">
      <c r="B37" t="s">
        <v>68</v>
      </c>
      <c r="C37" s="15">
        <f>ROUNDDOWN(C35/C36,2)</f>
        <v>14.69</v>
      </c>
      <c r="D37" s="137" t="s">
        <v>153</v>
      </c>
    </row>
    <row r="39" spans="1:7">
      <c r="A39" s="1" t="s">
        <v>160</v>
      </c>
    </row>
    <row r="40" spans="1:7">
      <c r="B40" s="1"/>
      <c r="C40" s="37">
        <v>2014</v>
      </c>
      <c r="D40" s="37">
        <f>C40+1</f>
        <v>2015</v>
      </c>
      <c r="E40" s="37">
        <f t="shared" ref="E40:F40" si="0">D40+1</f>
        <v>2016</v>
      </c>
      <c r="F40" s="37">
        <f t="shared" si="0"/>
        <v>2017</v>
      </c>
      <c r="G40" s="37"/>
    </row>
    <row r="41" spans="1:7">
      <c r="B41" s="156" t="s">
        <v>200</v>
      </c>
      <c r="C41" s="155">
        <v>-200</v>
      </c>
      <c r="D41" s="155">
        <v>900</v>
      </c>
      <c r="E41" s="155">
        <v>750</v>
      </c>
      <c r="F41" s="155">
        <v>1040</v>
      </c>
      <c r="G41" s="25"/>
    </row>
    <row r="42" spans="1:7">
      <c r="B42" t="s">
        <v>199</v>
      </c>
      <c r="C42" s="13">
        <v>800</v>
      </c>
      <c r="D42" s="25">
        <f>C43</f>
        <v>0</v>
      </c>
      <c r="E42" s="25">
        <f t="shared" ref="E42:F42" si="1">D43</f>
        <v>0</v>
      </c>
      <c r="F42" s="25">
        <f t="shared" si="1"/>
        <v>0</v>
      </c>
    </row>
    <row r="43" spans="1:7">
      <c r="B43" t="s">
        <v>201</v>
      </c>
      <c r="C43" s="154"/>
      <c r="D43" s="154"/>
      <c r="E43" s="154"/>
      <c r="F43" s="154"/>
    </row>
    <row r="45" spans="1:7">
      <c r="A45" s="1" t="s">
        <v>161</v>
      </c>
    </row>
    <row r="46" spans="1:7">
      <c r="A46" s="1"/>
      <c r="B46" t="s">
        <v>410</v>
      </c>
    </row>
    <row r="47" spans="1:7">
      <c r="A47" s="1"/>
    </row>
    <row r="48" spans="1:7">
      <c r="C48" s="1">
        <v>2014</v>
      </c>
      <c r="D48" s="1">
        <f>C48+1</f>
        <v>2015</v>
      </c>
      <c r="E48" s="1">
        <f t="shared" ref="E48" si="2">D48+1</f>
        <v>2016</v>
      </c>
      <c r="F48" s="1" t="s">
        <v>198</v>
      </c>
    </row>
    <row r="49" spans="1:6">
      <c r="B49" t="s">
        <v>202</v>
      </c>
      <c r="C49" s="111">
        <v>350</v>
      </c>
      <c r="D49" s="111">
        <f>C49*1.05</f>
        <v>367.5</v>
      </c>
      <c r="E49" s="111">
        <f>D49*1.05</f>
        <v>385.875</v>
      </c>
      <c r="F49" s="100">
        <f>AVERAGE(C49:E49)</f>
        <v>367.79166666666669</v>
      </c>
    </row>
    <row r="50" spans="1:6">
      <c r="B50" t="s">
        <v>203</v>
      </c>
      <c r="C50" s="216"/>
      <c r="D50" s="221"/>
      <c r="E50" s="221"/>
    </row>
    <row r="51" spans="1:6">
      <c r="B51" s="1"/>
      <c r="C51" s="25"/>
    </row>
    <row r="52" spans="1:6">
      <c r="A52" s="1" t="s">
        <v>162</v>
      </c>
    </row>
    <row r="53" spans="1:6">
      <c r="B53" s="37" t="s">
        <v>163</v>
      </c>
      <c r="C53" s="37" t="s">
        <v>164</v>
      </c>
    </row>
    <row r="54" spans="1:6">
      <c r="B54" t="s">
        <v>165</v>
      </c>
      <c r="C54" s="13">
        <v>348</v>
      </c>
    </row>
    <row r="55" spans="1:6">
      <c r="B55" t="s">
        <v>166</v>
      </c>
      <c r="C55" s="14">
        <v>263</v>
      </c>
    </row>
    <row r="56" spans="1:6">
      <c r="B56" t="s">
        <v>167</v>
      </c>
      <c r="C56" s="17" t="s">
        <v>168</v>
      </c>
    </row>
    <row r="57" spans="1:6">
      <c r="B57" t="s">
        <v>169</v>
      </c>
      <c r="C57" s="14">
        <v>309</v>
      </c>
    </row>
    <row r="58" spans="1:6">
      <c r="B58" t="s">
        <v>170</v>
      </c>
      <c r="C58" s="14">
        <v>123</v>
      </c>
    </row>
    <row r="59" spans="1:6">
      <c r="B59" t="s">
        <v>171</v>
      </c>
      <c r="C59" s="17" t="s">
        <v>168</v>
      </c>
    </row>
    <row r="60" spans="1:6">
      <c r="B60" t="s">
        <v>172</v>
      </c>
      <c r="C60" s="14">
        <v>131</v>
      </c>
    </row>
    <row r="61" spans="1:6">
      <c r="B61" t="s">
        <v>173</v>
      </c>
      <c r="C61" s="14">
        <v>238</v>
      </c>
    </row>
    <row r="62" spans="1:6">
      <c r="B62" t="s">
        <v>174</v>
      </c>
      <c r="C62" s="14">
        <v>385</v>
      </c>
    </row>
    <row r="64" spans="1:6">
      <c r="B64" s="45" t="s">
        <v>175</v>
      </c>
      <c r="C64" s="52"/>
      <c r="D64" s="137" t="s">
        <v>206</v>
      </c>
      <c r="E64" s="137"/>
      <c r="F64" s="137"/>
    </row>
    <row r="65" spans="1:6">
      <c r="B65" s="45" t="s">
        <v>176</v>
      </c>
      <c r="C65" s="53"/>
      <c r="D65" s="137" t="s">
        <v>207</v>
      </c>
      <c r="E65" s="137"/>
      <c r="F65" s="137"/>
    </row>
    <row r="66" spans="1:6">
      <c r="B66" s="45" t="s">
        <v>177</v>
      </c>
      <c r="C66" s="59"/>
      <c r="D66" s="137" t="s">
        <v>208</v>
      </c>
      <c r="E66" s="137"/>
      <c r="F66" s="137"/>
    </row>
    <row r="68" spans="1:6">
      <c r="A68" s="1" t="s">
        <v>154</v>
      </c>
    </row>
    <row r="70" spans="1:6">
      <c r="B70" t="s">
        <v>155</v>
      </c>
      <c r="C70" s="13">
        <v>1500</v>
      </c>
    </row>
    <row r="71" spans="1:6">
      <c r="B71" t="s">
        <v>156</v>
      </c>
      <c r="C71" s="63">
        <v>0.08</v>
      </c>
    </row>
    <row r="72" spans="1:6">
      <c r="B72" t="s">
        <v>157</v>
      </c>
      <c r="C72" s="142">
        <f>1/(1+C71)^2</f>
        <v>0.85733882030178321</v>
      </c>
    </row>
    <row r="73" spans="1:6">
      <c r="B73" t="s">
        <v>158</v>
      </c>
      <c r="C73" s="142">
        <f>(1+C71)^0.5</f>
        <v>1.0392304845413265</v>
      </c>
    </row>
    <row r="74" spans="1:6">
      <c r="B74" t="s">
        <v>159</v>
      </c>
      <c r="C74" s="154"/>
      <c r="D74" s="57"/>
    </row>
    <row r="76" spans="1:6">
      <c r="A76" s="1" t="s">
        <v>238</v>
      </c>
    </row>
    <row r="77" spans="1:6">
      <c r="C77" s="1" t="s">
        <v>230</v>
      </c>
      <c r="E77" s="1" t="s">
        <v>231</v>
      </c>
    </row>
    <row r="78" spans="1:6">
      <c r="B78" t="s">
        <v>178</v>
      </c>
      <c r="C78" s="63">
        <v>0.12</v>
      </c>
      <c r="E78" s="63">
        <v>0.12</v>
      </c>
    </row>
    <row r="79" spans="1:6">
      <c r="B79" t="s">
        <v>179</v>
      </c>
      <c r="C79" s="13">
        <v>-500</v>
      </c>
      <c r="E79" s="13">
        <v>-500</v>
      </c>
    </row>
    <row r="80" spans="1:6">
      <c r="B80" t="s">
        <v>180</v>
      </c>
      <c r="C80" s="143">
        <v>5</v>
      </c>
      <c r="E80" s="143">
        <v>5</v>
      </c>
    </row>
    <row r="81" spans="1:11">
      <c r="B81" t="s">
        <v>181</v>
      </c>
      <c r="C81" s="144">
        <v>1</v>
      </c>
      <c r="E81" s="144">
        <v>1</v>
      </c>
    </row>
    <row r="82" spans="1:11">
      <c r="B82" t="s">
        <v>182</v>
      </c>
      <c r="C82" s="64">
        <f>C78/12</f>
        <v>0.01</v>
      </c>
      <c r="E82" s="64">
        <f>E78/12</f>
        <v>0.01</v>
      </c>
    </row>
    <row r="83" spans="1:11">
      <c r="B83" t="s">
        <v>183</v>
      </c>
      <c r="C83">
        <f>C80*12</f>
        <v>60</v>
      </c>
      <c r="E83">
        <f>E80*12</f>
        <v>60</v>
      </c>
      <c r="G83" s="171"/>
    </row>
    <row r="84" spans="1:11">
      <c r="B84" s="1"/>
      <c r="C84" s="183"/>
      <c r="E84" s="183"/>
    </row>
    <row r="86" spans="1:11">
      <c r="A86" s="1" t="s">
        <v>184</v>
      </c>
    </row>
    <row r="87" spans="1:11">
      <c r="C87" s="1" t="s">
        <v>184</v>
      </c>
    </row>
    <row r="88" spans="1:11">
      <c r="B88" t="s">
        <v>185</v>
      </c>
      <c r="C88" s="63">
        <v>0.12</v>
      </c>
    </row>
    <row r="89" spans="1:11">
      <c r="B89" s="45" t="s">
        <v>232</v>
      </c>
      <c r="C89" s="13">
        <v>-1000</v>
      </c>
    </row>
    <row r="90" spans="1:11">
      <c r="B90" s="45" t="s">
        <v>233</v>
      </c>
      <c r="C90" s="13">
        <v>250</v>
      </c>
    </row>
    <row r="91" spans="1:11">
      <c r="B91" s="45" t="s">
        <v>234</v>
      </c>
      <c r="C91" s="13">
        <v>400</v>
      </c>
    </row>
    <row r="92" spans="1:11">
      <c r="B92" s="45" t="s">
        <v>235</v>
      </c>
      <c r="C92" s="13">
        <v>500</v>
      </c>
    </row>
    <row r="93" spans="1:11">
      <c r="B93" s="45" t="s">
        <v>236</v>
      </c>
      <c r="C93" s="13">
        <v>480</v>
      </c>
    </row>
    <row r="94" spans="1:11">
      <c r="B94" s="45" t="s">
        <v>237</v>
      </c>
      <c r="C94" s="13">
        <v>700</v>
      </c>
    </row>
    <row r="95" spans="1:11">
      <c r="B95" s="1"/>
      <c r="C95" s="182"/>
    </row>
    <row r="96" spans="1:11" ht="18" thickBot="1">
      <c r="C96" s="48"/>
      <c r="F96" s="178" t="s">
        <v>244</v>
      </c>
      <c r="G96" s="178"/>
      <c r="H96" s="178"/>
      <c r="I96" s="178"/>
      <c r="J96" s="178"/>
      <c r="K96" s="178"/>
    </row>
    <row r="97" spans="1:11">
      <c r="A97" s="1" t="s">
        <v>186</v>
      </c>
      <c r="K97" t="s">
        <v>240</v>
      </c>
    </row>
    <row r="98" spans="1:11">
      <c r="C98" s="1" t="s">
        <v>186</v>
      </c>
      <c r="G98" t="s">
        <v>239</v>
      </c>
      <c r="I98" t="s">
        <v>186</v>
      </c>
      <c r="K98" t="s">
        <v>239</v>
      </c>
    </row>
    <row r="99" spans="1:11">
      <c r="B99" t="s">
        <v>185</v>
      </c>
      <c r="C99" s="63">
        <v>0.12</v>
      </c>
      <c r="D99" s="145"/>
      <c r="F99" s="173" t="s">
        <v>241</v>
      </c>
      <c r="G99" s="81">
        <v>0.1</v>
      </c>
      <c r="H99" s="173" t="s">
        <v>241</v>
      </c>
      <c r="I99" s="81">
        <v>0.1</v>
      </c>
      <c r="J99" s="173" t="s">
        <v>241</v>
      </c>
      <c r="K99" s="81">
        <v>0.1</v>
      </c>
    </row>
    <row r="100" spans="1:11">
      <c r="B100" s="172">
        <v>41741</v>
      </c>
      <c r="C100" s="13">
        <v>-1000</v>
      </c>
      <c r="D100" s="15"/>
      <c r="F100" s="184">
        <v>42004</v>
      </c>
      <c r="G100" s="111">
        <v>1000</v>
      </c>
      <c r="I100" s="111">
        <v>1000</v>
      </c>
      <c r="K100" s="111">
        <v>1000</v>
      </c>
    </row>
    <row r="101" spans="1:11">
      <c r="B101" s="146">
        <v>42035</v>
      </c>
      <c r="C101" s="13">
        <v>250</v>
      </c>
      <c r="F101" s="184">
        <f>EOMONTH(F100,12)</f>
        <v>42369</v>
      </c>
      <c r="G101" s="111">
        <v>1000</v>
      </c>
      <c r="I101" s="111">
        <v>1000</v>
      </c>
      <c r="K101" s="111">
        <v>1000</v>
      </c>
    </row>
    <row r="102" spans="1:11">
      <c r="B102" s="146">
        <v>42277</v>
      </c>
      <c r="C102" s="13">
        <v>400</v>
      </c>
      <c r="F102" s="184">
        <f>EOMONTH(F101,12)</f>
        <v>42735</v>
      </c>
      <c r="G102" s="111">
        <v>1000</v>
      </c>
      <c r="I102" s="111">
        <v>1000</v>
      </c>
      <c r="K102" s="111">
        <v>1000</v>
      </c>
    </row>
    <row r="103" spans="1:11">
      <c r="B103" s="146">
        <v>42551</v>
      </c>
      <c r="C103" s="13">
        <v>500</v>
      </c>
      <c r="F103" s="184">
        <f>EOMONTH(F102,12)</f>
        <v>43100</v>
      </c>
      <c r="G103" s="111">
        <v>1000</v>
      </c>
      <c r="I103" s="111">
        <v>1000</v>
      </c>
      <c r="K103" s="111">
        <v>1000</v>
      </c>
    </row>
    <row r="104" spans="1:11">
      <c r="B104" s="146">
        <v>43220</v>
      </c>
      <c r="C104" s="13">
        <v>480</v>
      </c>
      <c r="G104" s="177">
        <f>NPV(G99,G100:G103)</f>
        <v>3169.8654463492926</v>
      </c>
      <c r="I104" s="177">
        <f>XNPV(I99,I100:I103,F100:F103)</f>
        <v>3486.4400538317641</v>
      </c>
      <c r="K104" s="101">
        <f>K100+NPV(K99,K101:K103)</f>
        <v>3486.8519909842221</v>
      </c>
    </row>
    <row r="105" spans="1:11">
      <c r="B105" s="146">
        <v>43251</v>
      </c>
      <c r="C105" s="13">
        <v>700</v>
      </c>
      <c r="G105" s="176" t="s">
        <v>243</v>
      </c>
      <c r="I105" s="175" t="s">
        <v>242</v>
      </c>
    </row>
    <row r="106" spans="1:11">
      <c r="C106" s="181"/>
    </row>
    <row r="108" spans="1:11" ht="18" thickBot="1">
      <c r="A108" s="1" t="s">
        <v>187</v>
      </c>
      <c r="F108" s="178" t="s">
        <v>247</v>
      </c>
      <c r="G108" s="178"/>
      <c r="H108" s="178"/>
      <c r="I108" s="178"/>
      <c r="J108" s="178"/>
      <c r="K108" s="178"/>
    </row>
    <row r="109" spans="1:11">
      <c r="B109" t="s">
        <v>188</v>
      </c>
      <c r="C109" s="13">
        <v>-1000</v>
      </c>
    </row>
    <row r="110" spans="1:11">
      <c r="B110" t="str">
        <f>"Cash inflow after period " &amp; 1</f>
        <v>Cash inflow after period 1</v>
      </c>
      <c r="C110" s="13">
        <v>100</v>
      </c>
      <c r="G110" t="s">
        <v>187</v>
      </c>
      <c r="I110" t="s">
        <v>190</v>
      </c>
    </row>
    <row r="111" spans="1:11">
      <c r="B111" t="str">
        <f>"Cash inflow after period " &amp; 2</f>
        <v>Cash inflow after period 2</v>
      </c>
      <c r="C111" s="13">
        <v>200</v>
      </c>
      <c r="F111" s="172">
        <v>41741</v>
      </c>
      <c r="G111" s="111">
        <v>-1000</v>
      </c>
      <c r="I111" s="111">
        <v>-1000</v>
      </c>
    </row>
    <row r="112" spans="1:11">
      <c r="B112" t="str">
        <f>"Cash inflow after period " &amp; 3</f>
        <v>Cash inflow after period 3</v>
      </c>
      <c r="C112" s="13">
        <v>300</v>
      </c>
      <c r="F112" s="172">
        <v>42035</v>
      </c>
      <c r="G112" s="111">
        <v>400</v>
      </c>
      <c r="I112" s="111">
        <v>400</v>
      </c>
    </row>
    <row r="113" spans="1:9">
      <c r="B113" t="str">
        <f>"Cash inflow after period " &amp; 4</f>
        <v>Cash inflow after period 4</v>
      </c>
      <c r="C113" s="13">
        <v>400</v>
      </c>
      <c r="F113" s="172">
        <v>42277</v>
      </c>
      <c r="G113" s="111">
        <v>300</v>
      </c>
      <c r="I113" s="111">
        <v>300</v>
      </c>
    </row>
    <row r="114" spans="1:9">
      <c r="B114" t="str">
        <f>"Cash inflow after period " &amp; 5</f>
        <v>Cash inflow after period 5</v>
      </c>
      <c r="C114" s="13">
        <v>500</v>
      </c>
      <c r="F114" s="172">
        <v>42551</v>
      </c>
      <c r="G114" s="111">
        <v>800</v>
      </c>
      <c r="I114" s="111">
        <v>800</v>
      </c>
    </row>
    <row r="115" spans="1:9">
      <c r="B115" s="1" t="s">
        <v>189</v>
      </c>
      <c r="C115" s="185"/>
      <c r="G115" s="180">
        <f>IRR(G111:G114)</f>
        <v>0.20260726445323174</v>
      </c>
      <c r="I115" s="180">
        <f>XIRR(I111:I114,F111:F114)</f>
        <v>0.27937057614326477</v>
      </c>
    </row>
    <row r="116" spans="1:9">
      <c r="C116" s="179"/>
      <c r="G116" s="174" t="s">
        <v>245</v>
      </c>
      <c r="I116" s="48" t="s">
        <v>246</v>
      </c>
    </row>
    <row r="117" spans="1:9">
      <c r="A117" s="1" t="s">
        <v>190</v>
      </c>
      <c r="G117" s="176"/>
      <c r="I117" s="175"/>
    </row>
    <row r="118" spans="1:9">
      <c r="A118" s="1"/>
    </row>
    <row r="119" spans="1:9">
      <c r="B119" s="37" t="s">
        <v>191</v>
      </c>
      <c r="C119" s="147" t="s">
        <v>192</v>
      </c>
    </row>
    <row r="120" spans="1:9">
      <c r="B120" s="172">
        <v>41741</v>
      </c>
      <c r="C120" s="13">
        <v>-1000</v>
      </c>
    </row>
    <row r="121" spans="1:9">
      <c r="B121" s="146">
        <v>42035</v>
      </c>
      <c r="C121" s="13">
        <v>100</v>
      </c>
    </row>
    <row r="122" spans="1:9">
      <c r="B122" s="146">
        <v>42277</v>
      </c>
      <c r="C122" s="13">
        <v>200</v>
      </c>
    </row>
    <row r="123" spans="1:9">
      <c r="B123" s="146">
        <v>42551</v>
      </c>
      <c r="C123" s="13">
        <v>300</v>
      </c>
    </row>
    <row r="124" spans="1:9">
      <c r="B124" s="146">
        <v>43220</v>
      </c>
      <c r="C124" s="13">
        <v>400</v>
      </c>
    </row>
    <row r="125" spans="1:9">
      <c r="B125" s="146">
        <v>43251</v>
      </c>
      <c r="C125" s="13">
        <v>500</v>
      </c>
    </row>
    <row r="126" spans="1:9">
      <c r="B126" s="1" t="s">
        <v>189</v>
      </c>
      <c r="C126" s="185"/>
    </row>
    <row r="128" spans="1:9">
      <c r="A128" s="1" t="s">
        <v>193</v>
      </c>
    </row>
    <row r="130" spans="2:3">
      <c r="B130" s="56" t="s">
        <v>194</v>
      </c>
      <c r="C130" s="148">
        <v>15000</v>
      </c>
    </row>
    <row r="131" spans="2:3">
      <c r="B131" s="56" t="s">
        <v>195</v>
      </c>
      <c r="C131" s="149">
        <v>36</v>
      </c>
    </row>
    <row r="132" spans="2:3">
      <c r="B132" s="56" t="s">
        <v>196</v>
      </c>
      <c r="C132" s="150">
        <v>0.02</v>
      </c>
    </row>
    <row r="133" spans="2:3">
      <c r="B133" s="151" t="s">
        <v>197</v>
      </c>
      <c r="C133" s="152">
        <f>PMT(C132,C131,C130)</f>
        <v>-588.49278896697228</v>
      </c>
    </row>
  </sheetData>
  <pageMargins left="0.7" right="0.7" top="0.75" bottom="0.75" header="0.3" footer="0.3"/>
  <pageSetup scale="35"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9">
    <pageSetUpPr fitToPage="1"/>
  </sheetPr>
  <dimension ref="A1:K133"/>
  <sheetViews>
    <sheetView zoomScaleNormal="100" workbookViewId="0"/>
  </sheetViews>
  <sheetFormatPr defaultColWidth="9.109375" defaultRowHeight="14.4"/>
  <cols>
    <col min="1" max="1" width="11.6640625" style="221" bestFit="1" customWidth="1"/>
    <col min="2" max="2" width="67" style="221" customWidth="1"/>
    <col min="3" max="3" width="11.33203125" style="221" customWidth="1"/>
    <col min="4" max="6" width="10.109375" style="221" customWidth="1"/>
    <col min="7" max="7" width="9.6640625" style="221" customWidth="1"/>
    <col min="8" max="8" width="8.33203125" style="221" bestFit="1" customWidth="1"/>
    <col min="9" max="16384" width="9.109375" style="221"/>
  </cols>
  <sheetData>
    <row r="1" spans="1:4">
      <c r="A1" s="223" t="s">
        <v>133</v>
      </c>
    </row>
    <row r="3" spans="1:4">
      <c r="B3" s="221" t="s">
        <v>134</v>
      </c>
      <c r="C3" s="14">
        <v>-4</v>
      </c>
      <c r="D3" s="14"/>
    </row>
    <row r="4" spans="1:4">
      <c r="B4" s="221" t="s">
        <v>135</v>
      </c>
      <c r="C4" s="61">
        <f>ABS(C3)</f>
        <v>4</v>
      </c>
      <c r="D4" s="135" t="s">
        <v>136</v>
      </c>
    </row>
    <row r="6" spans="1:4">
      <c r="A6" s="223" t="s">
        <v>137</v>
      </c>
    </row>
    <row r="8" spans="1:4">
      <c r="B8" s="221" t="s">
        <v>138</v>
      </c>
      <c r="C8" s="136">
        <v>4.2300000000000004</v>
      </c>
    </row>
    <row r="9" spans="1:4">
      <c r="B9" s="221" t="s">
        <v>139</v>
      </c>
      <c r="C9" s="15">
        <f>CEILING(C8,0.1)</f>
        <v>4.3</v>
      </c>
      <c r="D9" s="137" t="s">
        <v>204</v>
      </c>
    </row>
    <row r="11" spans="1:4">
      <c r="A11" s="223" t="s">
        <v>140</v>
      </c>
    </row>
    <row r="13" spans="1:4">
      <c r="B13" s="221" t="s">
        <v>138</v>
      </c>
      <c r="C13" s="136">
        <v>4.2300000000000004</v>
      </c>
    </row>
    <row r="14" spans="1:4">
      <c r="B14" s="221" t="s">
        <v>141</v>
      </c>
      <c r="C14" s="15">
        <f>FLOOR(C13,0.05)</f>
        <v>4.2</v>
      </c>
      <c r="D14" s="137" t="s">
        <v>142</v>
      </c>
    </row>
    <row r="16" spans="1:4">
      <c r="A16" s="223" t="s">
        <v>143</v>
      </c>
    </row>
    <row r="18" spans="1:4">
      <c r="B18" s="221" t="s">
        <v>144</v>
      </c>
      <c r="C18" s="138">
        <v>15</v>
      </c>
    </row>
    <row r="19" spans="1:4">
      <c r="B19" s="221" t="s">
        <v>145</v>
      </c>
      <c r="C19" s="139">
        <f>COMBIN(C18+1,2)</f>
        <v>120</v>
      </c>
      <c r="D19" s="140" t="s">
        <v>146</v>
      </c>
    </row>
    <row r="21" spans="1:4">
      <c r="A21" s="223" t="s">
        <v>147</v>
      </c>
    </row>
    <row r="23" spans="1:4">
      <c r="B23" s="221" t="s">
        <v>148</v>
      </c>
      <c r="C23" s="13">
        <v>1807</v>
      </c>
    </row>
    <row r="24" spans="1:4">
      <c r="B24" s="221" t="s">
        <v>17</v>
      </c>
      <c r="C24" s="14">
        <v>123</v>
      </c>
    </row>
    <row r="25" spans="1:4">
      <c r="B25" s="221" t="s">
        <v>68</v>
      </c>
      <c r="C25" s="15">
        <f>ROUND(C23/C24,2)</f>
        <v>14.69</v>
      </c>
      <c r="D25" s="137" t="s">
        <v>149</v>
      </c>
    </row>
    <row r="27" spans="1:4">
      <c r="A27" s="223" t="s">
        <v>150</v>
      </c>
    </row>
    <row r="29" spans="1:4">
      <c r="B29" s="221" t="s">
        <v>148</v>
      </c>
      <c r="C29" s="13">
        <v>1807</v>
      </c>
      <c r="D29" s="141"/>
    </row>
    <row r="30" spans="1:4">
      <c r="B30" s="221" t="s">
        <v>17</v>
      </c>
      <c r="C30" s="14">
        <v>123</v>
      </c>
    </row>
    <row r="31" spans="1:4">
      <c r="B31" s="221" t="s">
        <v>68</v>
      </c>
      <c r="C31" s="15">
        <f>ROUNDUP(C29/C30,2)</f>
        <v>14.7</v>
      </c>
      <c r="D31" s="137" t="s">
        <v>151</v>
      </c>
    </row>
    <row r="33" spans="1:7">
      <c r="A33" s="223" t="s">
        <v>152</v>
      </c>
    </row>
    <row r="35" spans="1:7">
      <c r="B35" s="221" t="s">
        <v>148</v>
      </c>
      <c r="C35" s="13">
        <v>1807</v>
      </c>
      <c r="D35" s="141"/>
    </row>
    <row r="36" spans="1:7">
      <c r="B36" s="221" t="s">
        <v>17</v>
      </c>
      <c r="C36" s="14">
        <v>123</v>
      </c>
    </row>
    <row r="37" spans="1:7">
      <c r="B37" s="221" t="s">
        <v>68</v>
      </c>
      <c r="C37" s="15">
        <f>ROUNDDOWN(C35/C36,2)</f>
        <v>14.69</v>
      </c>
      <c r="D37" s="137" t="s">
        <v>153</v>
      </c>
    </row>
    <row r="39" spans="1:7">
      <c r="A39" s="223" t="s">
        <v>160</v>
      </c>
    </row>
    <row r="40" spans="1:7">
      <c r="B40" s="223"/>
      <c r="C40" s="37">
        <v>2014</v>
      </c>
      <c r="D40" s="37">
        <f>C40+1</f>
        <v>2015</v>
      </c>
      <c r="E40" s="37">
        <f t="shared" ref="E40:F40" si="0">D40+1</f>
        <v>2016</v>
      </c>
      <c r="F40" s="37">
        <f t="shared" si="0"/>
        <v>2017</v>
      </c>
      <c r="G40" s="37"/>
    </row>
    <row r="41" spans="1:7">
      <c r="B41" s="156" t="s">
        <v>200</v>
      </c>
      <c r="C41" s="155">
        <v>-200</v>
      </c>
      <c r="D41" s="155">
        <v>900</v>
      </c>
      <c r="E41" s="155">
        <v>750</v>
      </c>
      <c r="F41" s="155">
        <v>1040</v>
      </c>
      <c r="G41" s="25"/>
    </row>
    <row r="42" spans="1:7">
      <c r="B42" s="221" t="s">
        <v>199</v>
      </c>
      <c r="C42" s="13">
        <v>800</v>
      </c>
      <c r="D42" s="25">
        <f>C43</f>
        <v>1000</v>
      </c>
      <c r="E42" s="25">
        <f t="shared" ref="E42:F42" si="1">D43</f>
        <v>100</v>
      </c>
      <c r="F42" s="25">
        <f t="shared" si="1"/>
        <v>0</v>
      </c>
    </row>
    <row r="43" spans="1:7">
      <c r="B43" s="221" t="s">
        <v>201</v>
      </c>
      <c r="C43" s="154">
        <f>MAX(0,C42-C41)</f>
        <v>1000</v>
      </c>
      <c r="D43" s="154">
        <f t="shared" ref="D43:F43" si="2">MAX(0,D42-D41)</f>
        <v>100</v>
      </c>
      <c r="E43" s="154">
        <f t="shared" si="2"/>
        <v>0</v>
      </c>
      <c r="F43" s="154">
        <f t="shared" si="2"/>
        <v>0</v>
      </c>
    </row>
    <row r="44" spans="1:7">
      <c r="C44" s="266" t="s">
        <v>411</v>
      </c>
      <c r="D44" s="267"/>
    </row>
    <row r="45" spans="1:7">
      <c r="A45" s="223" t="s">
        <v>161</v>
      </c>
    </row>
    <row r="46" spans="1:7">
      <c r="A46" s="223"/>
      <c r="B46" s="221" t="s">
        <v>408</v>
      </c>
    </row>
    <row r="47" spans="1:7">
      <c r="A47" s="223"/>
    </row>
    <row r="48" spans="1:7">
      <c r="C48" s="223">
        <v>2014</v>
      </c>
      <c r="D48" s="223">
        <f>C48+1</f>
        <v>2015</v>
      </c>
      <c r="E48" s="223">
        <f t="shared" ref="E48" si="3">D48+1</f>
        <v>2016</v>
      </c>
      <c r="F48" s="223" t="s">
        <v>198</v>
      </c>
    </row>
    <row r="49" spans="1:6">
      <c r="B49" s="221" t="s">
        <v>202</v>
      </c>
      <c r="C49" s="111">
        <v>350</v>
      </c>
      <c r="D49" s="111">
        <f>C49*1.05</f>
        <v>367.5</v>
      </c>
      <c r="E49" s="111">
        <f>D49*1.05</f>
        <v>385.875</v>
      </c>
      <c r="F49" s="100">
        <f>AVERAGE(C49:E49)</f>
        <v>367.79166666666669</v>
      </c>
    </row>
    <row r="50" spans="1:6">
      <c r="B50" s="221" t="s">
        <v>203</v>
      </c>
      <c r="C50" s="153">
        <f>5*MIN(F49,E49)</f>
        <v>1838.9583333333335</v>
      </c>
      <c r="D50" s="137" t="s">
        <v>409</v>
      </c>
      <c r="E50" s="137"/>
    </row>
    <row r="51" spans="1:6">
      <c r="B51" s="223"/>
      <c r="C51" s="25"/>
    </row>
    <row r="52" spans="1:6">
      <c r="A52" s="223" t="s">
        <v>162</v>
      </c>
    </row>
    <row r="53" spans="1:6">
      <c r="B53" s="37" t="s">
        <v>163</v>
      </c>
      <c r="C53" s="37" t="s">
        <v>164</v>
      </c>
    </row>
    <row r="54" spans="1:6">
      <c r="B54" s="221" t="s">
        <v>165</v>
      </c>
      <c r="C54" s="13">
        <v>348</v>
      </c>
    </row>
    <row r="55" spans="1:6">
      <c r="B55" s="221" t="s">
        <v>166</v>
      </c>
      <c r="C55" s="14">
        <v>263</v>
      </c>
    </row>
    <row r="56" spans="1:6">
      <c r="B56" s="221" t="s">
        <v>167</v>
      </c>
      <c r="C56" s="17" t="s">
        <v>168</v>
      </c>
    </row>
    <row r="57" spans="1:6">
      <c r="B57" s="221" t="s">
        <v>169</v>
      </c>
      <c r="C57" s="14">
        <v>309</v>
      </c>
    </row>
    <row r="58" spans="1:6">
      <c r="B58" s="221" t="s">
        <v>170</v>
      </c>
      <c r="C58" s="14">
        <v>123</v>
      </c>
    </row>
    <row r="59" spans="1:6">
      <c r="B59" s="221" t="s">
        <v>171</v>
      </c>
      <c r="C59" s="17" t="s">
        <v>168</v>
      </c>
    </row>
    <row r="60" spans="1:6">
      <c r="B60" s="221" t="s">
        <v>172</v>
      </c>
      <c r="C60" s="14">
        <v>131</v>
      </c>
    </row>
    <row r="61" spans="1:6">
      <c r="B61" s="221" t="s">
        <v>173</v>
      </c>
      <c r="C61" s="14">
        <v>238</v>
      </c>
    </row>
    <row r="62" spans="1:6">
      <c r="B62" s="221" t="s">
        <v>174</v>
      </c>
      <c r="C62" s="14">
        <v>385</v>
      </c>
    </row>
    <row r="64" spans="1:6">
      <c r="B64" s="45" t="s">
        <v>175</v>
      </c>
      <c r="C64" s="221">
        <f>COUNT(C54:C62)</f>
        <v>7</v>
      </c>
      <c r="D64" s="137" t="s">
        <v>206</v>
      </c>
      <c r="E64" s="137"/>
      <c r="F64" s="137"/>
    </row>
    <row r="65" spans="1:6">
      <c r="B65" s="45" t="s">
        <v>176</v>
      </c>
      <c r="C65" s="221">
        <f>COUNTA(C54:C62)</f>
        <v>9</v>
      </c>
      <c r="D65" s="137" t="s">
        <v>207</v>
      </c>
      <c r="E65" s="137"/>
      <c r="F65" s="137"/>
    </row>
    <row r="66" spans="1:6">
      <c r="B66" s="45" t="s">
        <v>177</v>
      </c>
      <c r="C66" s="221">
        <f>COUNTIF(C54:C62,"&gt;250")</f>
        <v>4</v>
      </c>
      <c r="D66" s="137" t="s">
        <v>208</v>
      </c>
      <c r="E66" s="137"/>
      <c r="F66" s="137"/>
    </row>
    <row r="68" spans="1:6">
      <c r="A68" s="223" t="s">
        <v>154</v>
      </c>
    </row>
    <row r="70" spans="1:6">
      <c r="B70" s="221" t="s">
        <v>155</v>
      </c>
      <c r="C70" s="13">
        <v>1500</v>
      </c>
    </row>
    <row r="71" spans="1:6">
      <c r="B71" s="221" t="s">
        <v>156</v>
      </c>
      <c r="C71" s="63">
        <v>0.08</v>
      </c>
    </row>
    <row r="72" spans="1:6">
      <c r="B72" s="221" t="s">
        <v>157</v>
      </c>
      <c r="C72" s="142">
        <f>1/(1+C71)^2</f>
        <v>0.85733882030178321</v>
      </c>
    </row>
    <row r="73" spans="1:6">
      <c r="B73" s="221" t="s">
        <v>158</v>
      </c>
      <c r="C73" s="142">
        <f>(1+C71)^0.5</f>
        <v>1.0392304845413265</v>
      </c>
    </row>
    <row r="74" spans="1:6">
      <c r="B74" s="221" t="s">
        <v>159</v>
      </c>
      <c r="C74" s="25">
        <f>PRODUCT(C70,C72,C73)</f>
        <v>1336.4589564574671</v>
      </c>
      <c r="D74" s="57" t="s">
        <v>205</v>
      </c>
    </row>
    <row r="76" spans="1:6">
      <c r="A76" s="223" t="s">
        <v>238</v>
      </c>
    </row>
    <row r="77" spans="1:6">
      <c r="C77" s="223" t="s">
        <v>230</v>
      </c>
      <c r="E77" s="223" t="s">
        <v>231</v>
      </c>
    </row>
    <row r="78" spans="1:6">
      <c r="B78" s="221" t="s">
        <v>178</v>
      </c>
      <c r="C78" s="63">
        <v>0.12</v>
      </c>
      <c r="E78" s="63">
        <v>0.12</v>
      </c>
    </row>
    <row r="79" spans="1:6">
      <c r="B79" s="221" t="s">
        <v>179</v>
      </c>
      <c r="C79" s="13">
        <v>-500</v>
      </c>
      <c r="E79" s="13">
        <v>-500</v>
      </c>
    </row>
    <row r="80" spans="1:6">
      <c r="B80" s="221" t="s">
        <v>180</v>
      </c>
      <c r="C80" s="143">
        <v>5</v>
      </c>
      <c r="E80" s="143">
        <v>5</v>
      </c>
    </row>
    <row r="81" spans="1:11">
      <c r="B81" s="221" t="s">
        <v>181</v>
      </c>
      <c r="C81" s="144">
        <v>1</v>
      </c>
      <c r="E81" s="144">
        <v>1</v>
      </c>
    </row>
    <row r="82" spans="1:11">
      <c r="B82" s="221" t="s">
        <v>182</v>
      </c>
      <c r="C82" s="64">
        <f>C78/12</f>
        <v>0.01</v>
      </c>
      <c r="E82" s="64">
        <f>E78/12</f>
        <v>0.01</v>
      </c>
    </row>
    <row r="83" spans="1:11">
      <c r="B83" s="221" t="s">
        <v>183</v>
      </c>
      <c r="C83" s="221">
        <f>C80*12</f>
        <v>60</v>
      </c>
      <c r="E83" s="221">
        <f>E80*12</f>
        <v>60</v>
      </c>
      <c r="G83" s="171"/>
    </row>
    <row r="84" spans="1:11">
      <c r="B84" s="223"/>
      <c r="C84" s="183">
        <f>PV(C82,C83,C79,,C81)</f>
        <v>22702.294395143133</v>
      </c>
      <c r="E84" s="183">
        <f>FV(E82,E83,E79,,E81)</f>
        <v>41243.183277486605</v>
      </c>
    </row>
    <row r="86" spans="1:11">
      <c r="A86" s="223" t="s">
        <v>184</v>
      </c>
    </row>
    <row r="87" spans="1:11">
      <c r="C87" s="223" t="s">
        <v>184</v>
      </c>
    </row>
    <row r="88" spans="1:11">
      <c r="B88" s="221" t="s">
        <v>185</v>
      </c>
      <c r="C88" s="63">
        <v>0.12</v>
      </c>
    </row>
    <row r="89" spans="1:11">
      <c r="B89" s="45" t="s">
        <v>232</v>
      </c>
      <c r="C89" s="13">
        <v>-1000</v>
      </c>
    </row>
    <row r="90" spans="1:11">
      <c r="B90" s="45" t="s">
        <v>233</v>
      </c>
      <c r="C90" s="13">
        <v>250</v>
      </c>
    </row>
    <row r="91" spans="1:11">
      <c r="B91" s="45" t="s">
        <v>234</v>
      </c>
      <c r="C91" s="13">
        <v>400</v>
      </c>
    </row>
    <row r="92" spans="1:11">
      <c r="B92" s="45" t="s">
        <v>235</v>
      </c>
      <c r="C92" s="13">
        <v>500</v>
      </c>
    </row>
    <row r="93" spans="1:11">
      <c r="B93" s="45" t="s">
        <v>236</v>
      </c>
      <c r="C93" s="13">
        <v>480</v>
      </c>
    </row>
    <row r="94" spans="1:11">
      <c r="B94" s="45" t="s">
        <v>237</v>
      </c>
      <c r="C94" s="13">
        <v>700</v>
      </c>
    </row>
    <row r="95" spans="1:11">
      <c r="B95" s="223"/>
      <c r="C95" s="182">
        <f>NPV(C88,C89:C94)</f>
        <v>535.91914042744418</v>
      </c>
    </row>
    <row r="96" spans="1:11" ht="18" thickBot="1">
      <c r="C96" s="48"/>
      <c r="F96" s="178" t="s">
        <v>244</v>
      </c>
      <c r="G96" s="178"/>
      <c r="H96" s="178"/>
      <c r="I96" s="178"/>
      <c r="J96" s="178"/>
      <c r="K96" s="178"/>
    </row>
    <row r="97" spans="1:11">
      <c r="A97" s="223" t="s">
        <v>186</v>
      </c>
      <c r="K97" s="221" t="s">
        <v>240</v>
      </c>
    </row>
    <row r="98" spans="1:11">
      <c r="C98" s="223" t="s">
        <v>186</v>
      </c>
      <c r="G98" s="221" t="s">
        <v>239</v>
      </c>
      <c r="I98" s="221" t="s">
        <v>186</v>
      </c>
      <c r="K98" s="221" t="s">
        <v>239</v>
      </c>
    </row>
    <row r="99" spans="1:11">
      <c r="B99" s="221" t="s">
        <v>185</v>
      </c>
      <c r="C99" s="63">
        <v>0.12</v>
      </c>
      <c r="D99" s="145"/>
      <c r="F99" s="173" t="s">
        <v>241</v>
      </c>
      <c r="G99" s="81">
        <v>0.1</v>
      </c>
      <c r="H99" s="173" t="s">
        <v>241</v>
      </c>
      <c r="I99" s="81">
        <v>0.1</v>
      </c>
      <c r="J99" s="173" t="s">
        <v>241</v>
      </c>
      <c r="K99" s="81">
        <v>0.1</v>
      </c>
    </row>
    <row r="100" spans="1:11">
      <c r="B100" s="172">
        <v>41741</v>
      </c>
      <c r="C100" s="13">
        <v>-1000</v>
      </c>
      <c r="D100" s="15"/>
      <c r="F100" s="184">
        <v>42004</v>
      </c>
      <c r="G100" s="111">
        <v>1000</v>
      </c>
      <c r="I100" s="111">
        <v>1000</v>
      </c>
      <c r="K100" s="111">
        <v>1000</v>
      </c>
    </row>
    <row r="101" spans="1:11">
      <c r="B101" s="146">
        <v>42035</v>
      </c>
      <c r="C101" s="13">
        <v>250</v>
      </c>
      <c r="F101" s="184">
        <f>EOMONTH(F100,12)</f>
        <v>42369</v>
      </c>
      <c r="G101" s="111">
        <v>1000</v>
      </c>
      <c r="I101" s="111">
        <v>1000</v>
      </c>
      <c r="K101" s="111">
        <v>1000</v>
      </c>
    </row>
    <row r="102" spans="1:11">
      <c r="B102" s="146">
        <v>42277</v>
      </c>
      <c r="C102" s="13">
        <v>400</v>
      </c>
      <c r="F102" s="184">
        <f>EOMONTH(F101,12)</f>
        <v>42735</v>
      </c>
      <c r="G102" s="111">
        <v>1000</v>
      </c>
      <c r="I102" s="111">
        <v>1000</v>
      </c>
      <c r="K102" s="111">
        <v>1000</v>
      </c>
    </row>
    <row r="103" spans="1:11">
      <c r="B103" s="146">
        <v>42551</v>
      </c>
      <c r="C103" s="13">
        <v>500</v>
      </c>
      <c r="F103" s="184">
        <f>EOMONTH(F102,12)</f>
        <v>43100</v>
      </c>
      <c r="G103" s="111">
        <v>1000</v>
      </c>
      <c r="I103" s="111">
        <v>1000</v>
      </c>
      <c r="K103" s="111">
        <v>1000</v>
      </c>
    </row>
    <row r="104" spans="1:11">
      <c r="B104" s="146">
        <v>43220</v>
      </c>
      <c r="C104" s="13">
        <v>480</v>
      </c>
      <c r="G104" s="177">
        <f>NPV(G99,G100:G103)</f>
        <v>3169.8654463492926</v>
      </c>
      <c r="I104" s="177">
        <f>XNPV(I99,I100:I103,F100:F103)</f>
        <v>3486.4400538317641</v>
      </c>
      <c r="K104" s="101">
        <f>K100+NPV(K99,K101:K103)</f>
        <v>3486.8519909842221</v>
      </c>
    </row>
    <row r="105" spans="1:11">
      <c r="B105" s="146">
        <v>43251</v>
      </c>
      <c r="C105" s="13">
        <v>700</v>
      </c>
      <c r="G105" s="176" t="s">
        <v>243</v>
      </c>
      <c r="I105" s="175" t="s">
        <v>242</v>
      </c>
    </row>
    <row r="106" spans="1:11">
      <c r="C106" s="181">
        <f>XNPV(C99,C100:C105,B100:B105)</f>
        <v>696.94724065210812</v>
      </c>
    </row>
    <row r="108" spans="1:11" ht="18" thickBot="1">
      <c r="A108" s="223" t="s">
        <v>187</v>
      </c>
      <c r="F108" s="178" t="s">
        <v>247</v>
      </c>
      <c r="G108" s="178"/>
      <c r="H108" s="178"/>
      <c r="I108" s="178"/>
      <c r="J108" s="178"/>
      <c r="K108" s="178"/>
    </row>
    <row r="109" spans="1:11">
      <c r="B109" s="221" t="s">
        <v>188</v>
      </c>
      <c r="C109" s="13">
        <v>-1000</v>
      </c>
    </row>
    <row r="110" spans="1:11">
      <c r="B110" s="221" t="str">
        <f>"Cash inflow after period " &amp; 1</f>
        <v>Cash inflow after period 1</v>
      </c>
      <c r="C110" s="13">
        <v>100</v>
      </c>
      <c r="G110" s="221" t="s">
        <v>187</v>
      </c>
      <c r="I110" s="221" t="s">
        <v>190</v>
      </c>
    </row>
    <row r="111" spans="1:11">
      <c r="B111" s="221" t="str">
        <f>"Cash inflow after period " &amp; 2</f>
        <v>Cash inflow after period 2</v>
      </c>
      <c r="C111" s="13">
        <v>200</v>
      </c>
      <c r="F111" s="172">
        <v>41741</v>
      </c>
      <c r="G111" s="111">
        <v>-1000</v>
      </c>
      <c r="I111" s="111">
        <v>-1000</v>
      </c>
    </row>
    <row r="112" spans="1:11">
      <c r="B112" s="221" t="str">
        <f>"Cash inflow after period " &amp; 3</f>
        <v>Cash inflow after period 3</v>
      </c>
      <c r="C112" s="13">
        <v>300</v>
      </c>
      <c r="F112" s="172">
        <v>42035</v>
      </c>
      <c r="G112" s="111">
        <v>400</v>
      </c>
      <c r="I112" s="111">
        <v>400</v>
      </c>
    </row>
    <row r="113" spans="1:9">
      <c r="B113" s="221" t="str">
        <f>"Cash inflow after period " &amp; 4</f>
        <v>Cash inflow after period 4</v>
      </c>
      <c r="C113" s="13">
        <v>400</v>
      </c>
      <c r="F113" s="172">
        <v>42277</v>
      </c>
      <c r="G113" s="111">
        <v>300</v>
      </c>
      <c r="I113" s="111">
        <v>300</v>
      </c>
    </row>
    <row r="114" spans="1:9">
      <c r="B114" s="221" t="str">
        <f>"Cash inflow after period " &amp; 5</f>
        <v>Cash inflow after period 5</v>
      </c>
      <c r="C114" s="13">
        <v>500</v>
      </c>
      <c r="F114" s="172">
        <v>42551</v>
      </c>
      <c r="G114" s="111">
        <v>800</v>
      </c>
      <c r="I114" s="111">
        <v>800</v>
      </c>
    </row>
    <row r="115" spans="1:9">
      <c r="B115" s="223" t="s">
        <v>189</v>
      </c>
      <c r="C115" s="185">
        <f>IRR(C109:C114)</f>
        <v>0.12005761954170246</v>
      </c>
      <c r="G115" s="180">
        <f>IRR(G111:G114)</f>
        <v>0.20260726445323174</v>
      </c>
      <c r="I115" s="180">
        <f>XIRR(I111:I114,F111:F114)</f>
        <v>0.27937057614326477</v>
      </c>
    </row>
    <row r="116" spans="1:9">
      <c r="C116" s="179"/>
      <c r="G116" s="174" t="s">
        <v>245</v>
      </c>
      <c r="I116" s="48" t="s">
        <v>246</v>
      </c>
    </row>
    <row r="117" spans="1:9">
      <c r="A117" s="223" t="s">
        <v>190</v>
      </c>
      <c r="G117" s="176"/>
      <c r="I117" s="175"/>
    </row>
    <row r="118" spans="1:9">
      <c r="A118" s="223"/>
    </row>
    <row r="119" spans="1:9">
      <c r="B119" s="37" t="s">
        <v>191</v>
      </c>
      <c r="C119" s="147" t="s">
        <v>192</v>
      </c>
    </row>
    <row r="120" spans="1:9">
      <c r="B120" s="172">
        <v>41741</v>
      </c>
      <c r="C120" s="13">
        <v>-1000</v>
      </c>
    </row>
    <row r="121" spans="1:9">
      <c r="B121" s="146">
        <v>42035</v>
      </c>
      <c r="C121" s="13">
        <v>100</v>
      </c>
    </row>
    <row r="122" spans="1:9">
      <c r="B122" s="146">
        <v>42277</v>
      </c>
      <c r="C122" s="13">
        <v>200</v>
      </c>
    </row>
    <row r="123" spans="1:9">
      <c r="B123" s="146">
        <v>42551</v>
      </c>
      <c r="C123" s="13">
        <v>300</v>
      </c>
    </row>
    <row r="124" spans="1:9">
      <c r="B124" s="146">
        <v>43220</v>
      </c>
      <c r="C124" s="13">
        <v>400</v>
      </c>
    </row>
    <row r="125" spans="1:9">
      <c r="B125" s="146">
        <v>43251</v>
      </c>
      <c r="C125" s="13">
        <v>500</v>
      </c>
    </row>
    <row r="126" spans="1:9">
      <c r="B126" s="223" t="s">
        <v>189</v>
      </c>
      <c r="C126" s="185">
        <f>XIRR(C120:C125,B120:B125)</f>
        <v>0.14203502535820012</v>
      </c>
    </row>
    <row r="128" spans="1:9">
      <c r="A128" s="223" t="s">
        <v>193</v>
      </c>
    </row>
    <row r="130" spans="2:3">
      <c r="B130" s="56" t="s">
        <v>194</v>
      </c>
      <c r="C130" s="148">
        <v>15000</v>
      </c>
    </row>
    <row r="131" spans="2:3">
      <c r="B131" s="56" t="s">
        <v>195</v>
      </c>
      <c r="C131" s="149">
        <v>36</v>
      </c>
    </row>
    <row r="132" spans="2:3">
      <c r="B132" s="56" t="s">
        <v>196</v>
      </c>
      <c r="C132" s="150">
        <v>0.02</v>
      </c>
    </row>
    <row r="133" spans="2:3">
      <c r="B133" s="151" t="s">
        <v>197</v>
      </c>
      <c r="C133" s="152">
        <f>PMT(C132,C131,C130)</f>
        <v>-588.49278896697228</v>
      </c>
    </row>
  </sheetData>
  <pageMargins left="0.7" right="0.7" top="0.75" bottom="0.75" header="0.3" footer="0.3"/>
  <pageSetup scale="35"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pageSetUpPr fitToPage="1"/>
  </sheetPr>
  <dimension ref="B1:Z1156"/>
  <sheetViews>
    <sheetView zoomScaleNormal="100" workbookViewId="0"/>
  </sheetViews>
  <sheetFormatPr defaultColWidth="8.77734375" defaultRowHeight="14.4"/>
  <cols>
    <col min="1" max="1" width="2.44140625" customWidth="1"/>
    <col min="2" max="2" width="10.6640625" bestFit="1" customWidth="1"/>
    <col min="3" max="3" width="13.33203125" bestFit="1" customWidth="1"/>
    <col min="4" max="4" width="10" bestFit="1" customWidth="1"/>
    <col min="5" max="5" width="13.109375" bestFit="1" customWidth="1"/>
    <col min="6" max="6" width="3.6640625" customWidth="1"/>
    <col min="7" max="7" width="35.44140625" customWidth="1"/>
    <col min="8" max="8" width="10.6640625" customWidth="1"/>
    <col min="9" max="11" width="13.44140625" bestFit="1" customWidth="1"/>
    <col min="12" max="12" width="10.109375" bestFit="1" customWidth="1"/>
    <col min="13" max="13" width="11.44140625" bestFit="1" customWidth="1"/>
    <col min="14" max="14" width="12.44140625" bestFit="1" customWidth="1"/>
    <col min="15" max="15" width="11.44140625" bestFit="1" customWidth="1"/>
    <col min="16" max="16" width="10.77734375" bestFit="1" customWidth="1"/>
    <col min="17" max="17" width="13.109375" bestFit="1" customWidth="1"/>
    <col min="19" max="19" width="20.77734375" customWidth="1"/>
    <col min="20" max="20" width="16.33203125" customWidth="1"/>
    <col min="21" max="23" width="11.44140625" customWidth="1"/>
    <col min="24" max="24" width="11.33203125" customWidth="1"/>
    <col min="25" max="28" width="9.77734375" bestFit="1" customWidth="1"/>
    <col min="29" max="29" width="9.44140625" bestFit="1" customWidth="1"/>
    <col min="30" max="33" width="9.77734375" bestFit="1" customWidth="1"/>
    <col min="34" max="34" width="12.44140625" bestFit="1" customWidth="1"/>
    <col min="35" max="35" width="15" bestFit="1" customWidth="1"/>
    <col min="36" max="38" width="9.77734375" bestFit="1" customWidth="1"/>
    <col min="39" max="39" width="18.109375" bestFit="1" customWidth="1"/>
    <col min="40" max="40" width="11.33203125" bestFit="1" customWidth="1"/>
  </cols>
  <sheetData>
    <row r="1" spans="2:26">
      <c r="G1" s="4"/>
      <c r="H1" s="157"/>
      <c r="I1" s="4"/>
      <c r="J1" s="161"/>
      <c r="K1" s="158"/>
      <c r="L1" s="4"/>
      <c r="M1" s="99"/>
      <c r="N1" s="158"/>
      <c r="O1" s="4"/>
      <c r="P1" s="159"/>
      <c r="Q1" s="158"/>
    </row>
    <row r="2" spans="2:26" ht="22.8" thickBot="1">
      <c r="B2" s="163" t="s">
        <v>222</v>
      </c>
      <c r="C2" s="11"/>
      <c r="D2" s="11"/>
      <c r="E2" s="11"/>
      <c r="F2" s="11"/>
      <c r="G2" s="11"/>
      <c r="H2" s="164"/>
      <c r="I2" s="11"/>
      <c r="J2" s="165"/>
      <c r="K2" s="166"/>
      <c r="L2" s="4"/>
      <c r="M2" s="99"/>
      <c r="N2" s="158"/>
      <c r="O2" s="4"/>
      <c r="P2" s="159"/>
      <c r="Q2" s="158"/>
    </row>
    <row r="3" spans="2:26">
      <c r="G3" s="4"/>
      <c r="H3" s="157"/>
      <c r="I3" s="4"/>
      <c r="J3" s="161"/>
      <c r="K3" s="158"/>
      <c r="L3" s="4"/>
      <c r="M3" s="99"/>
      <c r="N3" s="158"/>
      <c r="O3" s="4"/>
      <c r="P3" s="159"/>
      <c r="Q3" s="158"/>
    </row>
    <row r="4" spans="2:26">
      <c r="G4" s="4"/>
      <c r="H4" s="4"/>
      <c r="I4" s="4"/>
      <c r="J4" s="4"/>
      <c r="K4" s="4"/>
      <c r="L4" s="4"/>
      <c r="M4" s="99"/>
      <c r="N4" s="158"/>
      <c r="O4" s="4"/>
      <c r="P4" s="159"/>
      <c r="Q4" s="158"/>
    </row>
    <row r="5" spans="2:26" ht="15" thickBot="1">
      <c r="B5" s="8" t="s">
        <v>223</v>
      </c>
      <c r="C5" s="8" t="s">
        <v>221</v>
      </c>
      <c r="D5" s="8" t="s">
        <v>224</v>
      </c>
      <c r="E5" s="8" t="s">
        <v>209</v>
      </c>
      <c r="F5" s="4"/>
      <c r="G5" s="10" t="s">
        <v>229</v>
      </c>
      <c r="H5" s="11"/>
      <c r="I5" s="11"/>
      <c r="J5" s="4"/>
      <c r="K5" s="4"/>
      <c r="L5" s="4"/>
      <c r="O5" s="160"/>
    </row>
    <row r="6" spans="2:26">
      <c r="B6" s="162">
        <v>41570</v>
      </c>
      <c r="C6" s="4" t="s">
        <v>217</v>
      </c>
      <c r="D6" s="99">
        <v>11197</v>
      </c>
      <c r="E6" s="4" t="s">
        <v>210</v>
      </c>
      <c r="F6" s="4"/>
      <c r="G6" t="s">
        <v>225</v>
      </c>
      <c r="J6" s="167"/>
      <c r="K6" s="4"/>
      <c r="L6" s="4"/>
      <c r="O6" s="160"/>
    </row>
    <row r="7" spans="2:26">
      <c r="B7" s="146">
        <v>41386</v>
      </c>
      <c r="C7" t="s">
        <v>218</v>
      </c>
      <c r="D7" s="99">
        <v>20335</v>
      </c>
      <c r="E7" t="s">
        <v>211</v>
      </c>
      <c r="F7" s="4"/>
      <c r="G7" s="80" t="s">
        <v>226</v>
      </c>
      <c r="H7" s="111">
        <v>20000</v>
      </c>
      <c r="J7" s="169"/>
      <c r="K7" s="4"/>
      <c r="L7" s="4"/>
      <c r="O7" s="160"/>
    </row>
    <row r="8" spans="2:26">
      <c r="B8" s="146">
        <v>41711</v>
      </c>
      <c r="C8" t="s">
        <v>220</v>
      </c>
      <c r="D8" s="99">
        <v>20874</v>
      </c>
      <c r="E8" t="s">
        <v>210</v>
      </c>
      <c r="G8" s="80" t="s">
        <v>228</v>
      </c>
      <c r="H8" s="111">
        <v>20000</v>
      </c>
      <c r="I8" s="111">
        <v>30000</v>
      </c>
      <c r="J8" s="170"/>
      <c r="L8" s="4"/>
      <c r="O8" s="160"/>
    </row>
    <row r="9" spans="2:26">
      <c r="B9" s="146">
        <v>41774</v>
      </c>
      <c r="C9" t="s">
        <v>217</v>
      </c>
      <c r="D9" s="99">
        <v>20166</v>
      </c>
      <c r="E9" t="s">
        <v>213</v>
      </c>
      <c r="G9" s="80" t="s">
        <v>227</v>
      </c>
      <c r="H9" s="111">
        <v>30000</v>
      </c>
      <c r="J9" s="168"/>
      <c r="L9" s="4"/>
      <c r="O9" s="160"/>
      <c r="Z9" s="4"/>
    </row>
    <row r="10" spans="2:26">
      <c r="B10" s="146">
        <v>41912</v>
      </c>
      <c r="C10" t="s">
        <v>219</v>
      </c>
      <c r="D10" s="99">
        <v>26349</v>
      </c>
      <c r="E10" t="s">
        <v>210</v>
      </c>
      <c r="J10" s="100"/>
      <c r="L10" s="4"/>
      <c r="O10" s="160"/>
    </row>
    <row r="11" spans="2:26">
      <c r="B11" s="146">
        <v>41228</v>
      </c>
      <c r="C11" t="s">
        <v>219</v>
      </c>
      <c r="D11" s="99">
        <v>17918</v>
      </c>
      <c r="E11" t="s">
        <v>213</v>
      </c>
      <c r="L11" s="4"/>
      <c r="O11" s="160"/>
    </row>
    <row r="12" spans="2:26">
      <c r="B12" s="146">
        <v>41503</v>
      </c>
      <c r="C12" t="s">
        <v>220</v>
      </c>
      <c r="D12" s="99">
        <v>39341</v>
      </c>
      <c r="E12" t="s">
        <v>213</v>
      </c>
      <c r="L12" s="4"/>
      <c r="O12" s="160"/>
    </row>
    <row r="13" spans="2:26">
      <c r="B13" s="146">
        <v>41619</v>
      </c>
      <c r="C13" t="s">
        <v>217</v>
      </c>
      <c r="D13" s="99">
        <v>33241</v>
      </c>
      <c r="E13" t="s">
        <v>210</v>
      </c>
      <c r="L13" s="4"/>
      <c r="O13" s="160"/>
    </row>
    <row r="14" spans="2:26">
      <c r="B14" s="146">
        <v>41515</v>
      </c>
      <c r="C14" t="s">
        <v>218</v>
      </c>
      <c r="D14" s="99">
        <v>22824</v>
      </c>
      <c r="E14" t="s">
        <v>213</v>
      </c>
      <c r="L14" s="4"/>
      <c r="O14" s="160"/>
    </row>
    <row r="15" spans="2:26">
      <c r="B15" s="146">
        <v>41752</v>
      </c>
      <c r="C15" t="s">
        <v>220</v>
      </c>
      <c r="D15" s="99">
        <v>15745</v>
      </c>
      <c r="E15" t="s">
        <v>212</v>
      </c>
      <c r="L15" s="4"/>
      <c r="O15" s="160"/>
    </row>
    <row r="16" spans="2:26">
      <c r="B16" s="146">
        <v>41257</v>
      </c>
      <c r="C16" t="s">
        <v>219</v>
      </c>
      <c r="D16" s="99">
        <v>22782</v>
      </c>
      <c r="E16" t="s">
        <v>212</v>
      </c>
      <c r="O16" s="160"/>
    </row>
    <row r="17" spans="2:15">
      <c r="B17" s="146">
        <v>41158</v>
      </c>
      <c r="C17" t="s">
        <v>220</v>
      </c>
      <c r="D17" s="99">
        <v>14181</v>
      </c>
      <c r="E17" t="s">
        <v>210</v>
      </c>
      <c r="O17" s="160"/>
    </row>
    <row r="18" spans="2:15">
      <c r="B18" s="146">
        <v>41701</v>
      </c>
      <c r="C18" t="s">
        <v>217</v>
      </c>
      <c r="D18" s="99">
        <v>28985</v>
      </c>
      <c r="E18" t="s">
        <v>210</v>
      </c>
      <c r="O18" s="160"/>
    </row>
    <row r="19" spans="2:15">
      <c r="B19" s="146">
        <v>41930</v>
      </c>
      <c r="C19" t="s">
        <v>218</v>
      </c>
      <c r="D19" s="99">
        <v>6242</v>
      </c>
      <c r="E19" t="s">
        <v>212</v>
      </c>
      <c r="O19" s="160"/>
    </row>
    <row r="20" spans="2:15">
      <c r="B20" s="146">
        <v>41507</v>
      </c>
      <c r="C20" t="s">
        <v>220</v>
      </c>
      <c r="D20" s="99">
        <v>19720</v>
      </c>
      <c r="E20" t="s">
        <v>212</v>
      </c>
      <c r="O20" s="160"/>
    </row>
    <row r="21" spans="2:15">
      <c r="B21" s="146">
        <v>41793</v>
      </c>
      <c r="C21" t="s">
        <v>220</v>
      </c>
      <c r="D21" s="99">
        <v>30713</v>
      </c>
      <c r="E21" t="s">
        <v>213</v>
      </c>
      <c r="O21" s="160"/>
    </row>
    <row r="22" spans="2:15">
      <c r="B22" s="146">
        <v>41630</v>
      </c>
      <c r="C22" t="s">
        <v>217</v>
      </c>
      <c r="D22" s="99">
        <v>8901</v>
      </c>
      <c r="E22" t="s">
        <v>213</v>
      </c>
      <c r="O22" s="160"/>
    </row>
    <row r="23" spans="2:15">
      <c r="B23" s="146">
        <v>41658</v>
      </c>
      <c r="C23" t="s">
        <v>220</v>
      </c>
      <c r="D23" s="99">
        <v>33834</v>
      </c>
      <c r="E23" t="s">
        <v>210</v>
      </c>
      <c r="O23" s="160"/>
    </row>
    <row r="24" spans="2:15">
      <c r="B24" s="146">
        <v>41267</v>
      </c>
      <c r="C24" t="s">
        <v>220</v>
      </c>
      <c r="D24" s="99">
        <v>33896</v>
      </c>
      <c r="E24" t="s">
        <v>210</v>
      </c>
      <c r="O24" s="160"/>
    </row>
    <row r="25" spans="2:15">
      <c r="B25" s="146">
        <v>41242</v>
      </c>
      <c r="C25" t="s">
        <v>220</v>
      </c>
      <c r="D25" s="99">
        <v>24520</v>
      </c>
      <c r="E25" t="s">
        <v>211</v>
      </c>
      <c r="O25" s="160"/>
    </row>
    <row r="26" spans="2:15">
      <c r="B26" s="146">
        <v>41530</v>
      </c>
      <c r="C26" t="s">
        <v>217</v>
      </c>
      <c r="D26" s="99">
        <v>12519</v>
      </c>
      <c r="E26" t="s">
        <v>213</v>
      </c>
      <c r="O26" s="160"/>
    </row>
    <row r="27" spans="2:15">
      <c r="B27" s="146">
        <v>41493</v>
      </c>
      <c r="C27" t="s">
        <v>219</v>
      </c>
      <c r="D27" s="99">
        <v>34324</v>
      </c>
      <c r="E27" t="s">
        <v>213</v>
      </c>
      <c r="O27" s="160"/>
    </row>
    <row r="28" spans="2:15">
      <c r="B28" s="146">
        <v>41836</v>
      </c>
      <c r="C28" t="s">
        <v>218</v>
      </c>
      <c r="D28" s="99">
        <v>36139</v>
      </c>
      <c r="E28" t="s">
        <v>210</v>
      </c>
      <c r="O28" s="160"/>
    </row>
    <row r="29" spans="2:15">
      <c r="B29" s="146">
        <v>41136</v>
      </c>
      <c r="C29" t="s">
        <v>220</v>
      </c>
      <c r="D29" s="99">
        <v>20595</v>
      </c>
      <c r="E29" t="s">
        <v>210</v>
      </c>
      <c r="O29" s="160"/>
    </row>
    <row r="30" spans="2:15">
      <c r="B30" s="146">
        <v>41172</v>
      </c>
      <c r="C30" t="s">
        <v>220</v>
      </c>
      <c r="D30" s="99">
        <v>19799</v>
      </c>
      <c r="E30" t="s">
        <v>211</v>
      </c>
      <c r="O30" s="160"/>
    </row>
    <row r="31" spans="2:15">
      <c r="B31" s="146">
        <v>41222</v>
      </c>
      <c r="C31" t="s">
        <v>218</v>
      </c>
      <c r="D31" s="99">
        <v>27644</v>
      </c>
      <c r="E31" t="s">
        <v>210</v>
      </c>
      <c r="O31" s="160"/>
    </row>
    <row r="32" spans="2:15">
      <c r="B32" s="146">
        <v>41669</v>
      </c>
      <c r="C32" t="s">
        <v>218</v>
      </c>
      <c r="D32" s="99">
        <v>21741</v>
      </c>
      <c r="E32" t="s">
        <v>212</v>
      </c>
      <c r="O32" s="160"/>
    </row>
    <row r="33" spans="2:15">
      <c r="B33" s="146">
        <v>41126</v>
      </c>
      <c r="C33" t="s">
        <v>219</v>
      </c>
      <c r="D33" s="99">
        <v>14052</v>
      </c>
      <c r="E33" t="s">
        <v>211</v>
      </c>
      <c r="O33" s="160"/>
    </row>
    <row r="34" spans="2:15">
      <c r="B34" s="146">
        <v>41260</v>
      </c>
      <c r="C34" t="s">
        <v>220</v>
      </c>
      <c r="D34" s="99">
        <v>7231</v>
      </c>
      <c r="E34" t="s">
        <v>213</v>
      </c>
      <c r="O34" s="160"/>
    </row>
    <row r="35" spans="2:15">
      <c r="B35" s="146">
        <v>41491</v>
      </c>
      <c r="C35" t="s">
        <v>219</v>
      </c>
      <c r="D35" s="99">
        <v>31277</v>
      </c>
      <c r="E35" t="s">
        <v>210</v>
      </c>
      <c r="O35" s="160"/>
    </row>
    <row r="36" spans="2:15">
      <c r="B36" s="146">
        <v>41463</v>
      </c>
      <c r="C36" t="s">
        <v>218</v>
      </c>
      <c r="D36" s="99">
        <v>24074</v>
      </c>
      <c r="E36" t="s">
        <v>213</v>
      </c>
      <c r="O36" s="160"/>
    </row>
    <row r="37" spans="2:15">
      <c r="B37" s="146">
        <v>41182</v>
      </c>
      <c r="C37" t="s">
        <v>220</v>
      </c>
      <c r="D37" s="99">
        <v>36267</v>
      </c>
      <c r="E37" t="s">
        <v>210</v>
      </c>
      <c r="O37" s="160"/>
    </row>
    <row r="38" spans="2:15">
      <c r="B38" s="146">
        <v>41905</v>
      </c>
      <c r="C38" t="s">
        <v>218</v>
      </c>
      <c r="D38" s="99">
        <v>29160</v>
      </c>
      <c r="E38" t="s">
        <v>210</v>
      </c>
      <c r="O38" s="160"/>
    </row>
    <row r="39" spans="2:15">
      <c r="B39" s="146">
        <v>41761</v>
      </c>
      <c r="C39" t="s">
        <v>219</v>
      </c>
      <c r="D39" s="99">
        <v>35826</v>
      </c>
      <c r="E39" t="s">
        <v>212</v>
      </c>
      <c r="O39" s="160"/>
    </row>
    <row r="40" spans="2:15">
      <c r="B40" s="146">
        <v>41832</v>
      </c>
      <c r="C40" t="s">
        <v>217</v>
      </c>
      <c r="D40" s="99">
        <v>20847</v>
      </c>
      <c r="E40" t="s">
        <v>212</v>
      </c>
      <c r="G40" s="1"/>
      <c r="O40" s="160"/>
    </row>
    <row r="41" spans="2:15">
      <c r="B41" s="146">
        <v>41258</v>
      </c>
      <c r="C41" t="s">
        <v>219</v>
      </c>
      <c r="D41" s="99">
        <v>39946</v>
      </c>
      <c r="E41" t="s">
        <v>211</v>
      </c>
      <c r="G41" s="1"/>
      <c r="O41" s="160"/>
    </row>
    <row r="42" spans="2:15">
      <c r="B42" s="146">
        <v>41536</v>
      </c>
      <c r="C42" t="s">
        <v>219</v>
      </c>
      <c r="D42" s="99">
        <v>16733</v>
      </c>
      <c r="E42" t="s">
        <v>213</v>
      </c>
      <c r="O42" s="160"/>
    </row>
    <row r="43" spans="2:15">
      <c r="B43" s="146">
        <v>41432</v>
      </c>
      <c r="C43" t="s">
        <v>219</v>
      </c>
      <c r="D43" s="99">
        <v>7395</v>
      </c>
      <c r="E43" t="s">
        <v>211</v>
      </c>
      <c r="O43" s="160"/>
    </row>
    <row r="44" spans="2:15">
      <c r="B44" s="146">
        <v>41710</v>
      </c>
      <c r="C44" t="s">
        <v>217</v>
      </c>
      <c r="D44" s="99">
        <v>30969</v>
      </c>
      <c r="E44" t="s">
        <v>210</v>
      </c>
      <c r="O44" s="160"/>
    </row>
    <row r="45" spans="2:15">
      <c r="B45" s="146">
        <v>41160</v>
      </c>
      <c r="C45" t="s">
        <v>217</v>
      </c>
      <c r="D45" s="99">
        <v>19078</v>
      </c>
      <c r="E45" t="s">
        <v>210</v>
      </c>
      <c r="O45" s="160"/>
    </row>
    <row r="46" spans="2:15">
      <c r="B46" s="146">
        <v>41239</v>
      </c>
      <c r="C46" t="s">
        <v>218</v>
      </c>
      <c r="D46" s="99">
        <v>25177</v>
      </c>
      <c r="E46" t="s">
        <v>211</v>
      </c>
      <c r="O46" s="160"/>
    </row>
    <row r="47" spans="2:15">
      <c r="B47" s="146">
        <v>41167</v>
      </c>
      <c r="C47" t="s">
        <v>218</v>
      </c>
      <c r="D47" s="99">
        <v>9269</v>
      </c>
      <c r="E47" t="s">
        <v>213</v>
      </c>
      <c r="O47" s="160"/>
    </row>
    <row r="48" spans="2:15">
      <c r="B48" s="146">
        <v>41359</v>
      </c>
      <c r="C48" t="s">
        <v>217</v>
      </c>
      <c r="D48" s="99">
        <v>10714</v>
      </c>
      <c r="E48" t="s">
        <v>211</v>
      </c>
      <c r="O48" s="160"/>
    </row>
    <row r="49" spans="2:15">
      <c r="B49" s="146">
        <v>41774</v>
      </c>
      <c r="C49" t="s">
        <v>217</v>
      </c>
      <c r="D49" s="99">
        <v>6429</v>
      </c>
      <c r="E49" t="s">
        <v>210</v>
      </c>
      <c r="O49" s="160"/>
    </row>
    <row r="50" spans="2:15">
      <c r="B50" s="146">
        <v>41383</v>
      </c>
      <c r="C50" t="s">
        <v>220</v>
      </c>
      <c r="D50" s="99">
        <v>39196</v>
      </c>
      <c r="E50" t="s">
        <v>213</v>
      </c>
      <c r="O50" s="160"/>
    </row>
    <row r="51" spans="2:15">
      <c r="B51" s="146">
        <v>41177</v>
      </c>
      <c r="C51" t="s">
        <v>218</v>
      </c>
      <c r="D51" s="99">
        <v>37725</v>
      </c>
      <c r="E51" t="s">
        <v>212</v>
      </c>
      <c r="O51" s="160"/>
    </row>
    <row r="52" spans="2:15">
      <c r="B52" s="146">
        <v>41356</v>
      </c>
      <c r="C52" t="s">
        <v>219</v>
      </c>
      <c r="D52" s="99">
        <v>8019</v>
      </c>
      <c r="E52" t="s">
        <v>212</v>
      </c>
      <c r="O52" s="160"/>
    </row>
    <row r="53" spans="2:15">
      <c r="B53" s="146">
        <v>41395</v>
      </c>
      <c r="C53" t="s">
        <v>217</v>
      </c>
      <c r="D53" s="99">
        <v>25347</v>
      </c>
      <c r="E53" t="s">
        <v>213</v>
      </c>
      <c r="O53" s="160"/>
    </row>
    <row r="54" spans="2:15">
      <c r="B54" s="146">
        <v>41334</v>
      </c>
      <c r="C54" t="s">
        <v>220</v>
      </c>
      <c r="D54" s="99">
        <v>30992</v>
      </c>
      <c r="E54" t="s">
        <v>210</v>
      </c>
      <c r="O54" s="160"/>
    </row>
    <row r="55" spans="2:15">
      <c r="B55" s="146">
        <v>41666</v>
      </c>
      <c r="C55" t="s">
        <v>218</v>
      </c>
      <c r="D55" s="99">
        <v>33952</v>
      </c>
      <c r="E55" t="s">
        <v>210</v>
      </c>
      <c r="O55" s="160"/>
    </row>
    <row r="56" spans="2:15">
      <c r="B56" s="146">
        <v>41673</v>
      </c>
      <c r="C56" t="s">
        <v>217</v>
      </c>
      <c r="D56" s="99">
        <v>13546</v>
      </c>
      <c r="E56" t="s">
        <v>211</v>
      </c>
      <c r="O56" s="160"/>
    </row>
    <row r="57" spans="2:15">
      <c r="B57" s="146">
        <v>41856</v>
      </c>
      <c r="C57" t="s">
        <v>217</v>
      </c>
      <c r="D57" s="99">
        <v>10361</v>
      </c>
      <c r="E57" t="s">
        <v>213</v>
      </c>
      <c r="O57" s="160"/>
    </row>
    <row r="58" spans="2:15">
      <c r="B58" s="146">
        <v>42007</v>
      </c>
      <c r="C58" t="s">
        <v>219</v>
      </c>
      <c r="D58" s="99">
        <v>10637</v>
      </c>
      <c r="E58" t="s">
        <v>213</v>
      </c>
      <c r="O58" s="160"/>
    </row>
    <row r="59" spans="2:15">
      <c r="B59" s="146">
        <v>41902</v>
      </c>
      <c r="C59" t="s">
        <v>218</v>
      </c>
      <c r="D59" s="99">
        <v>11689</v>
      </c>
      <c r="E59" t="s">
        <v>212</v>
      </c>
      <c r="O59" s="160"/>
    </row>
    <row r="60" spans="2:15">
      <c r="B60" s="146">
        <v>41189</v>
      </c>
      <c r="C60" t="s">
        <v>220</v>
      </c>
      <c r="D60" s="99">
        <v>29480</v>
      </c>
      <c r="E60" t="s">
        <v>213</v>
      </c>
      <c r="O60" s="160"/>
    </row>
    <row r="61" spans="2:15">
      <c r="B61" s="146">
        <v>41195</v>
      </c>
      <c r="C61" t="s">
        <v>218</v>
      </c>
      <c r="D61" s="99">
        <v>15007</v>
      </c>
      <c r="E61" t="s">
        <v>213</v>
      </c>
      <c r="O61" s="160"/>
    </row>
    <row r="62" spans="2:15">
      <c r="B62" s="146">
        <v>41521</v>
      </c>
      <c r="C62" t="s">
        <v>217</v>
      </c>
      <c r="D62" s="99">
        <v>13187</v>
      </c>
      <c r="E62" t="s">
        <v>213</v>
      </c>
      <c r="O62" s="160"/>
    </row>
    <row r="63" spans="2:15">
      <c r="B63" s="146">
        <v>41222</v>
      </c>
      <c r="C63" t="s">
        <v>219</v>
      </c>
      <c r="D63" s="99">
        <v>14070</v>
      </c>
      <c r="E63" t="s">
        <v>213</v>
      </c>
      <c r="O63" s="160"/>
    </row>
    <row r="64" spans="2:15">
      <c r="B64" s="146">
        <v>41789</v>
      </c>
      <c r="C64" t="s">
        <v>219</v>
      </c>
      <c r="D64" s="99">
        <v>37527</v>
      </c>
      <c r="E64" t="s">
        <v>210</v>
      </c>
      <c r="O64" s="160"/>
    </row>
    <row r="65" spans="2:15">
      <c r="B65" s="146">
        <v>41528</v>
      </c>
      <c r="C65" t="s">
        <v>219</v>
      </c>
      <c r="D65" s="99">
        <v>30656</v>
      </c>
      <c r="E65" t="s">
        <v>211</v>
      </c>
      <c r="O65" s="160"/>
    </row>
    <row r="66" spans="2:15">
      <c r="B66" s="146">
        <v>41894</v>
      </c>
      <c r="C66" t="s">
        <v>219</v>
      </c>
      <c r="D66" s="99">
        <v>38080</v>
      </c>
      <c r="E66" t="s">
        <v>211</v>
      </c>
      <c r="O66" s="160"/>
    </row>
    <row r="67" spans="2:15">
      <c r="B67" s="146">
        <v>41632</v>
      </c>
      <c r="C67" t="s">
        <v>217</v>
      </c>
      <c r="D67" s="99">
        <v>15969</v>
      </c>
      <c r="E67" t="s">
        <v>213</v>
      </c>
      <c r="O67" s="160"/>
    </row>
    <row r="68" spans="2:15">
      <c r="B68" s="146">
        <v>41408</v>
      </c>
      <c r="C68" t="s">
        <v>217</v>
      </c>
      <c r="D68" s="99">
        <v>35196</v>
      </c>
      <c r="E68" t="s">
        <v>210</v>
      </c>
      <c r="O68" s="160"/>
    </row>
    <row r="69" spans="2:15">
      <c r="B69" s="146">
        <v>41722</v>
      </c>
      <c r="C69" t="s">
        <v>217</v>
      </c>
      <c r="D69" s="99">
        <v>31173</v>
      </c>
      <c r="E69" t="s">
        <v>213</v>
      </c>
      <c r="O69" s="160"/>
    </row>
    <row r="70" spans="2:15">
      <c r="B70" s="146">
        <v>41340</v>
      </c>
      <c r="C70" t="s">
        <v>219</v>
      </c>
      <c r="D70" s="99">
        <v>11925</v>
      </c>
      <c r="E70" t="s">
        <v>211</v>
      </c>
      <c r="O70" s="160"/>
    </row>
    <row r="71" spans="2:15">
      <c r="B71" s="146">
        <v>41250</v>
      </c>
      <c r="C71" t="s">
        <v>220</v>
      </c>
      <c r="D71" s="99">
        <v>36352</v>
      </c>
      <c r="E71" t="s">
        <v>213</v>
      </c>
      <c r="O71" s="160"/>
    </row>
    <row r="72" spans="2:15">
      <c r="B72" s="146">
        <v>41932</v>
      </c>
      <c r="C72" t="s">
        <v>220</v>
      </c>
      <c r="D72" s="99">
        <v>31382</v>
      </c>
      <c r="E72" t="s">
        <v>213</v>
      </c>
      <c r="O72" s="160"/>
    </row>
    <row r="73" spans="2:15">
      <c r="B73" s="146">
        <v>41973</v>
      </c>
      <c r="C73" t="s">
        <v>219</v>
      </c>
      <c r="D73" s="99">
        <v>34267</v>
      </c>
      <c r="E73" t="s">
        <v>212</v>
      </c>
      <c r="O73" s="160"/>
    </row>
    <row r="74" spans="2:15">
      <c r="B74" s="146">
        <v>41165</v>
      </c>
      <c r="C74" t="s">
        <v>217</v>
      </c>
      <c r="D74" s="99">
        <v>21564</v>
      </c>
      <c r="E74" t="s">
        <v>211</v>
      </c>
      <c r="O74" s="160"/>
    </row>
    <row r="75" spans="2:15">
      <c r="B75" s="146">
        <v>41838</v>
      </c>
      <c r="C75" t="s">
        <v>219</v>
      </c>
      <c r="D75" s="99">
        <v>15208</v>
      </c>
      <c r="E75" t="s">
        <v>210</v>
      </c>
      <c r="O75" s="160"/>
    </row>
    <row r="76" spans="2:15">
      <c r="B76" s="146">
        <v>41497</v>
      </c>
      <c r="C76" t="s">
        <v>218</v>
      </c>
      <c r="D76" s="99">
        <v>9283</v>
      </c>
      <c r="E76" t="s">
        <v>213</v>
      </c>
      <c r="O76" s="160"/>
    </row>
    <row r="77" spans="2:15">
      <c r="B77" s="146">
        <v>41770</v>
      </c>
      <c r="C77" t="s">
        <v>219</v>
      </c>
      <c r="D77" s="99">
        <v>30686</v>
      </c>
      <c r="E77" t="s">
        <v>210</v>
      </c>
      <c r="O77" s="160"/>
    </row>
    <row r="78" spans="2:15">
      <c r="B78" s="146">
        <v>41404</v>
      </c>
      <c r="C78" t="s">
        <v>218</v>
      </c>
      <c r="D78" s="99">
        <v>14335</v>
      </c>
      <c r="E78" t="s">
        <v>211</v>
      </c>
      <c r="O78" s="160"/>
    </row>
    <row r="79" spans="2:15">
      <c r="B79" s="146">
        <v>41131</v>
      </c>
      <c r="C79" t="s">
        <v>219</v>
      </c>
      <c r="D79" s="99">
        <v>10978</v>
      </c>
      <c r="E79" t="s">
        <v>212</v>
      </c>
      <c r="O79" s="160"/>
    </row>
    <row r="80" spans="2:15">
      <c r="B80" s="146">
        <v>41574</v>
      </c>
      <c r="C80" t="s">
        <v>218</v>
      </c>
      <c r="D80" s="99">
        <v>6404</v>
      </c>
      <c r="E80" t="s">
        <v>211</v>
      </c>
      <c r="O80" s="160"/>
    </row>
    <row r="81" spans="2:15">
      <c r="B81" s="146">
        <v>41419</v>
      </c>
      <c r="C81" t="s">
        <v>219</v>
      </c>
      <c r="D81" s="99">
        <v>8534</v>
      </c>
      <c r="E81" t="s">
        <v>212</v>
      </c>
      <c r="O81" s="160"/>
    </row>
    <row r="82" spans="2:15">
      <c r="B82" s="146">
        <v>41711</v>
      </c>
      <c r="C82" t="s">
        <v>218</v>
      </c>
      <c r="D82" s="99">
        <v>35878</v>
      </c>
      <c r="E82" t="s">
        <v>212</v>
      </c>
      <c r="O82" s="160"/>
    </row>
    <row r="83" spans="2:15">
      <c r="B83" s="146">
        <v>41989</v>
      </c>
      <c r="C83" t="s">
        <v>220</v>
      </c>
      <c r="D83" s="99">
        <v>10083</v>
      </c>
      <c r="E83" t="s">
        <v>212</v>
      </c>
      <c r="O83" s="160"/>
    </row>
    <row r="84" spans="2:15">
      <c r="B84" s="146">
        <v>41291</v>
      </c>
      <c r="C84" t="s">
        <v>220</v>
      </c>
      <c r="D84" s="99">
        <v>24644</v>
      </c>
      <c r="E84" t="s">
        <v>210</v>
      </c>
      <c r="O84" s="160"/>
    </row>
    <row r="85" spans="2:15">
      <c r="B85" s="146">
        <v>41398</v>
      </c>
      <c r="C85" t="s">
        <v>218</v>
      </c>
      <c r="D85" s="99">
        <v>33395</v>
      </c>
      <c r="E85" t="s">
        <v>211</v>
      </c>
      <c r="O85" s="160"/>
    </row>
    <row r="86" spans="2:15">
      <c r="B86" s="146">
        <v>41943</v>
      </c>
      <c r="C86" t="s">
        <v>218</v>
      </c>
      <c r="D86" s="99">
        <v>11851</v>
      </c>
      <c r="E86" t="s">
        <v>213</v>
      </c>
      <c r="O86" s="160"/>
    </row>
    <row r="87" spans="2:15">
      <c r="B87" s="146">
        <v>41366</v>
      </c>
      <c r="C87" t="s">
        <v>219</v>
      </c>
      <c r="D87" s="99">
        <v>27445</v>
      </c>
      <c r="E87" t="s">
        <v>211</v>
      </c>
      <c r="O87" s="160"/>
    </row>
    <row r="88" spans="2:15">
      <c r="B88" s="146">
        <v>41508</v>
      </c>
      <c r="C88" t="s">
        <v>220</v>
      </c>
      <c r="D88" s="99">
        <v>30000</v>
      </c>
      <c r="E88" t="s">
        <v>210</v>
      </c>
      <c r="O88" s="160"/>
    </row>
    <row r="89" spans="2:15">
      <c r="B89" s="146">
        <v>41879</v>
      </c>
      <c r="C89" t="s">
        <v>219</v>
      </c>
      <c r="D89" s="99">
        <v>25544</v>
      </c>
      <c r="E89" t="s">
        <v>211</v>
      </c>
      <c r="O89" s="160"/>
    </row>
    <row r="90" spans="2:15">
      <c r="B90" s="146">
        <v>41211</v>
      </c>
      <c r="C90" t="s">
        <v>220</v>
      </c>
      <c r="D90" s="99">
        <v>31420</v>
      </c>
      <c r="E90" t="s">
        <v>211</v>
      </c>
      <c r="O90" s="160"/>
    </row>
    <row r="91" spans="2:15">
      <c r="B91" s="146">
        <v>41899</v>
      </c>
      <c r="C91" t="s">
        <v>217</v>
      </c>
      <c r="D91" s="99">
        <v>8819</v>
      </c>
      <c r="E91" t="s">
        <v>212</v>
      </c>
      <c r="O91" s="160"/>
    </row>
    <row r="92" spans="2:15">
      <c r="B92" s="146">
        <v>41840</v>
      </c>
      <c r="C92" t="s">
        <v>219</v>
      </c>
      <c r="D92" s="99">
        <v>24383</v>
      </c>
      <c r="E92" t="s">
        <v>213</v>
      </c>
      <c r="O92" s="160"/>
    </row>
    <row r="93" spans="2:15">
      <c r="B93" s="146">
        <v>41563</v>
      </c>
      <c r="C93" t="s">
        <v>218</v>
      </c>
      <c r="D93" s="99">
        <v>27563</v>
      </c>
      <c r="E93" t="s">
        <v>213</v>
      </c>
      <c r="O93" s="160"/>
    </row>
    <row r="94" spans="2:15">
      <c r="B94" s="146">
        <v>41936</v>
      </c>
      <c r="C94" t="s">
        <v>219</v>
      </c>
      <c r="D94" s="99">
        <v>21990</v>
      </c>
      <c r="E94" t="s">
        <v>211</v>
      </c>
      <c r="O94" s="160"/>
    </row>
    <row r="95" spans="2:15">
      <c r="B95" s="146">
        <v>41796</v>
      </c>
      <c r="C95" t="s">
        <v>218</v>
      </c>
      <c r="D95" s="99">
        <v>36165</v>
      </c>
      <c r="E95" t="s">
        <v>210</v>
      </c>
      <c r="O95" s="160"/>
    </row>
    <row r="96" spans="2:15">
      <c r="B96" s="146">
        <v>41188</v>
      </c>
      <c r="C96" t="s">
        <v>218</v>
      </c>
      <c r="D96" s="99">
        <v>23041</v>
      </c>
      <c r="E96" t="s">
        <v>213</v>
      </c>
      <c r="O96" s="160"/>
    </row>
    <row r="97" spans="2:15">
      <c r="B97" s="146">
        <v>41829</v>
      </c>
      <c r="C97" t="s">
        <v>217</v>
      </c>
      <c r="D97" s="99">
        <v>18302</v>
      </c>
      <c r="E97" t="s">
        <v>213</v>
      </c>
      <c r="O97" s="160"/>
    </row>
    <row r="98" spans="2:15">
      <c r="B98" s="146">
        <v>41472</v>
      </c>
      <c r="C98" t="s">
        <v>218</v>
      </c>
      <c r="D98" s="99">
        <v>28424</v>
      </c>
      <c r="E98" t="s">
        <v>213</v>
      </c>
      <c r="O98" s="160"/>
    </row>
    <row r="99" spans="2:15">
      <c r="B99" s="146">
        <v>41608</v>
      </c>
      <c r="C99" t="s">
        <v>220</v>
      </c>
      <c r="D99" s="99">
        <v>29112</v>
      </c>
      <c r="E99" t="s">
        <v>212</v>
      </c>
      <c r="O99" s="160"/>
    </row>
    <row r="100" spans="2:15">
      <c r="B100" s="146">
        <v>41221</v>
      </c>
      <c r="C100" t="s">
        <v>217</v>
      </c>
      <c r="D100" s="99">
        <v>19867</v>
      </c>
      <c r="E100" t="s">
        <v>210</v>
      </c>
      <c r="O100" s="160"/>
    </row>
    <row r="101" spans="2:15">
      <c r="B101" s="146">
        <v>41154</v>
      </c>
      <c r="C101" t="s">
        <v>217</v>
      </c>
      <c r="D101" s="99">
        <v>30713</v>
      </c>
      <c r="E101" t="s">
        <v>212</v>
      </c>
      <c r="O101" s="160"/>
    </row>
    <row r="102" spans="2:15">
      <c r="B102" s="146">
        <v>41762</v>
      </c>
      <c r="C102" t="s">
        <v>220</v>
      </c>
      <c r="D102" s="99">
        <v>17649</v>
      </c>
      <c r="E102" t="s">
        <v>210</v>
      </c>
      <c r="O102" s="160"/>
    </row>
    <row r="103" spans="2:15">
      <c r="B103" s="146">
        <v>41518</v>
      </c>
      <c r="C103" t="s">
        <v>219</v>
      </c>
      <c r="D103" s="99">
        <v>34740</v>
      </c>
      <c r="E103" t="s">
        <v>211</v>
      </c>
      <c r="O103" s="160"/>
    </row>
    <row r="104" spans="2:15">
      <c r="B104" s="146">
        <v>41641</v>
      </c>
      <c r="C104" t="s">
        <v>220</v>
      </c>
      <c r="D104" s="99">
        <v>27852</v>
      </c>
      <c r="E104" t="s">
        <v>213</v>
      </c>
      <c r="O104" s="160"/>
    </row>
    <row r="105" spans="2:15">
      <c r="B105" s="146">
        <v>41816</v>
      </c>
      <c r="C105" t="s">
        <v>218</v>
      </c>
      <c r="D105" s="99">
        <v>8716</v>
      </c>
      <c r="E105" t="s">
        <v>213</v>
      </c>
      <c r="O105" s="160"/>
    </row>
    <row r="106" spans="2:15">
      <c r="B106" s="146">
        <v>41985</v>
      </c>
      <c r="C106" t="s">
        <v>219</v>
      </c>
      <c r="D106" s="99">
        <v>18538</v>
      </c>
      <c r="E106" t="s">
        <v>210</v>
      </c>
      <c r="O106" s="160"/>
    </row>
    <row r="107" spans="2:15">
      <c r="B107" s="146">
        <v>41152</v>
      </c>
      <c r="C107" t="s">
        <v>220</v>
      </c>
      <c r="D107" s="99">
        <v>25908</v>
      </c>
      <c r="E107" t="s">
        <v>212</v>
      </c>
      <c r="O107" s="160"/>
    </row>
    <row r="108" spans="2:15">
      <c r="B108" s="146">
        <v>41285</v>
      </c>
      <c r="C108" t="s">
        <v>220</v>
      </c>
      <c r="D108" s="99">
        <v>9710</v>
      </c>
      <c r="E108" t="s">
        <v>210</v>
      </c>
      <c r="O108" s="160"/>
    </row>
    <row r="109" spans="2:15">
      <c r="B109" s="146">
        <v>41212</v>
      </c>
      <c r="C109" t="s">
        <v>218</v>
      </c>
      <c r="D109" s="99">
        <v>26447</v>
      </c>
      <c r="E109" t="s">
        <v>211</v>
      </c>
      <c r="O109" s="160"/>
    </row>
    <row r="110" spans="2:15">
      <c r="B110" s="146">
        <v>41208</v>
      </c>
      <c r="C110" t="s">
        <v>217</v>
      </c>
      <c r="D110" s="99">
        <v>19360</v>
      </c>
      <c r="E110" t="s">
        <v>213</v>
      </c>
      <c r="O110" s="160"/>
    </row>
    <row r="111" spans="2:15">
      <c r="B111" s="146">
        <v>41209</v>
      </c>
      <c r="C111" t="s">
        <v>218</v>
      </c>
      <c r="D111" s="99">
        <v>36314</v>
      </c>
      <c r="E111" t="s">
        <v>212</v>
      </c>
      <c r="O111" s="160"/>
    </row>
    <row r="112" spans="2:15">
      <c r="B112" s="146">
        <v>41860</v>
      </c>
      <c r="C112" t="s">
        <v>217</v>
      </c>
      <c r="D112" s="99">
        <v>20687</v>
      </c>
      <c r="E112" t="s">
        <v>213</v>
      </c>
      <c r="O112" s="160"/>
    </row>
    <row r="113" spans="2:15">
      <c r="B113" s="146">
        <v>41393</v>
      </c>
      <c r="C113" t="s">
        <v>217</v>
      </c>
      <c r="D113" s="99">
        <v>29437</v>
      </c>
      <c r="E113" t="s">
        <v>211</v>
      </c>
      <c r="O113" s="160"/>
    </row>
    <row r="114" spans="2:15">
      <c r="B114" s="146">
        <v>41647</v>
      </c>
      <c r="C114" t="s">
        <v>219</v>
      </c>
      <c r="D114" s="99">
        <v>14731</v>
      </c>
      <c r="E114" t="s">
        <v>213</v>
      </c>
      <c r="O114" s="160"/>
    </row>
    <row r="115" spans="2:15">
      <c r="B115" s="146">
        <v>41381</v>
      </c>
      <c r="C115" t="s">
        <v>218</v>
      </c>
      <c r="D115" s="99">
        <v>26804</v>
      </c>
      <c r="E115" t="s">
        <v>212</v>
      </c>
      <c r="O115" s="160"/>
    </row>
    <row r="116" spans="2:15">
      <c r="B116" s="146">
        <v>41481</v>
      </c>
      <c r="C116" t="s">
        <v>218</v>
      </c>
      <c r="D116" s="99">
        <v>36509</v>
      </c>
      <c r="E116" t="s">
        <v>213</v>
      </c>
      <c r="O116" s="160"/>
    </row>
    <row r="117" spans="2:15">
      <c r="B117" s="146">
        <v>41604</v>
      </c>
      <c r="C117" t="s">
        <v>217</v>
      </c>
      <c r="D117" s="99">
        <v>10473</v>
      </c>
      <c r="E117" t="s">
        <v>211</v>
      </c>
      <c r="O117" s="160"/>
    </row>
    <row r="118" spans="2:15">
      <c r="B118" s="146">
        <v>41901</v>
      </c>
      <c r="C118" t="s">
        <v>220</v>
      </c>
      <c r="D118" s="99">
        <v>9169</v>
      </c>
      <c r="E118" t="s">
        <v>212</v>
      </c>
      <c r="O118" s="160"/>
    </row>
    <row r="119" spans="2:15">
      <c r="B119" s="146">
        <v>41186</v>
      </c>
      <c r="C119" t="s">
        <v>217</v>
      </c>
      <c r="D119" s="99">
        <v>29945</v>
      </c>
      <c r="E119" t="s">
        <v>212</v>
      </c>
      <c r="O119" s="160"/>
    </row>
    <row r="120" spans="2:15">
      <c r="B120" s="146">
        <v>41939</v>
      </c>
      <c r="C120" t="s">
        <v>218</v>
      </c>
      <c r="D120" s="99">
        <v>30371</v>
      </c>
      <c r="E120" t="s">
        <v>212</v>
      </c>
      <c r="O120" s="160"/>
    </row>
    <row r="121" spans="2:15">
      <c r="B121" s="146">
        <v>41249</v>
      </c>
      <c r="C121" t="s">
        <v>220</v>
      </c>
      <c r="D121" s="99">
        <v>17199</v>
      </c>
      <c r="E121" t="s">
        <v>211</v>
      </c>
      <c r="O121" s="160"/>
    </row>
    <row r="122" spans="2:15">
      <c r="B122" s="146">
        <v>41223</v>
      </c>
      <c r="C122" t="s">
        <v>220</v>
      </c>
      <c r="D122" s="99">
        <v>29514</v>
      </c>
      <c r="E122" t="s">
        <v>211</v>
      </c>
      <c r="O122" s="160"/>
    </row>
    <row r="123" spans="2:15">
      <c r="B123" s="146">
        <v>41142</v>
      </c>
      <c r="C123" t="s">
        <v>219</v>
      </c>
      <c r="D123" s="99">
        <v>35376</v>
      </c>
      <c r="E123" t="s">
        <v>211</v>
      </c>
      <c r="O123" s="160"/>
    </row>
    <row r="124" spans="2:15">
      <c r="B124" s="146">
        <v>41246</v>
      </c>
      <c r="C124" t="s">
        <v>219</v>
      </c>
      <c r="D124" s="99">
        <v>6749</v>
      </c>
      <c r="E124" t="s">
        <v>211</v>
      </c>
      <c r="O124" s="160"/>
    </row>
    <row r="125" spans="2:15">
      <c r="B125" s="146">
        <v>41542</v>
      </c>
      <c r="C125" t="s">
        <v>217</v>
      </c>
      <c r="D125" s="99">
        <v>32151</v>
      </c>
      <c r="E125" t="s">
        <v>213</v>
      </c>
      <c r="O125" s="160"/>
    </row>
    <row r="126" spans="2:15">
      <c r="B126" s="146">
        <v>41495</v>
      </c>
      <c r="C126" t="s">
        <v>217</v>
      </c>
      <c r="D126" s="99">
        <v>9364</v>
      </c>
      <c r="E126" t="s">
        <v>210</v>
      </c>
      <c r="O126" s="160"/>
    </row>
    <row r="127" spans="2:15">
      <c r="B127" s="146">
        <v>41289</v>
      </c>
      <c r="C127" t="s">
        <v>218</v>
      </c>
      <c r="D127" s="99">
        <v>23684</v>
      </c>
      <c r="E127" t="s">
        <v>212</v>
      </c>
      <c r="O127" s="160"/>
    </row>
    <row r="128" spans="2:15">
      <c r="B128" s="146">
        <v>41849</v>
      </c>
      <c r="C128" t="s">
        <v>220</v>
      </c>
      <c r="D128" s="99">
        <v>23513</v>
      </c>
      <c r="E128" t="s">
        <v>210</v>
      </c>
      <c r="O128" s="160"/>
    </row>
    <row r="129" spans="2:15">
      <c r="B129" s="146">
        <v>41302</v>
      </c>
      <c r="C129" t="s">
        <v>219</v>
      </c>
      <c r="D129" s="99">
        <v>12526</v>
      </c>
      <c r="E129" t="s">
        <v>212</v>
      </c>
      <c r="O129" s="160"/>
    </row>
    <row r="130" spans="2:15">
      <c r="B130" s="146">
        <v>41291</v>
      </c>
      <c r="C130" t="s">
        <v>220</v>
      </c>
      <c r="D130" s="99">
        <v>19726</v>
      </c>
      <c r="E130" t="s">
        <v>210</v>
      </c>
      <c r="O130" s="160"/>
    </row>
    <row r="131" spans="2:15">
      <c r="B131" s="146">
        <v>41436</v>
      </c>
      <c r="C131" t="s">
        <v>218</v>
      </c>
      <c r="D131" s="99">
        <v>20669</v>
      </c>
      <c r="E131" t="s">
        <v>210</v>
      </c>
      <c r="O131" s="160"/>
    </row>
    <row r="132" spans="2:15">
      <c r="B132" s="146">
        <v>41373</v>
      </c>
      <c r="C132" t="s">
        <v>217</v>
      </c>
      <c r="D132" s="99">
        <v>20620</v>
      </c>
      <c r="E132" t="s">
        <v>212</v>
      </c>
      <c r="O132" s="160"/>
    </row>
    <row r="133" spans="2:15">
      <c r="B133" s="146">
        <v>41447</v>
      </c>
      <c r="C133" t="s">
        <v>217</v>
      </c>
      <c r="D133" s="99">
        <v>28928</v>
      </c>
      <c r="E133" t="s">
        <v>212</v>
      </c>
      <c r="O133" s="160"/>
    </row>
    <row r="134" spans="2:15">
      <c r="B134" s="146">
        <v>41802</v>
      </c>
      <c r="C134" t="s">
        <v>218</v>
      </c>
      <c r="D134" s="99">
        <v>16863</v>
      </c>
      <c r="E134" t="s">
        <v>212</v>
      </c>
      <c r="O134" s="160"/>
    </row>
    <row r="135" spans="2:15">
      <c r="B135" s="146">
        <v>41304</v>
      </c>
      <c r="C135" t="s">
        <v>217</v>
      </c>
      <c r="D135" s="99">
        <v>24624</v>
      </c>
      <c r="E135" t="s">
        <v>210</v>
      </c>
      <c r="O135" s="160"/>
    </row>
    <row r="136" spans="2:15">
      <c r="B136" s="146">
        <v>41831</v>
      </c>
      <c r="C136" t="s">
        <v>220</v>
      </c>
      <c r="D136" s="99">
        <v>11247</v>
      </c>
      <c r="E136" t="s">
        <v>212</v>
      </c>
      <c r="O136" s="160"/>
    </row>
    <row r="137" spans="2:15">
      <c r="B137" s="146">
        <v>41571</v>
      </c>
      <c r="C137" t="s">
        <v>217</v>
      </c>
      <c r="D137" s="99">
        <v>29676</v>
      </c>
      <c r="E137" t="s">
        <v>212</v>
      </c>
      <c r="O137" s="160"/>
    </row>
    <row r="138" spans="2:15">
      <c r="B138" s="146">
        <v>41758</v>
      </c>
      <c r="C138" t="s">
        <v>218</v>
      </c>
      <c r="D138" s="99">
        <v>22778</v>
      </c>
      <c r="E138" t="s">
        <v>213</v>
      </c>
      <c r="O138" s="160"/>
    </row>
    <row r="139" spans="2:15">
      <c r="B139" s="146">
        <v>41288</v>
      </c>
      <c r="C139" t="s">
        <v>217</v>
      </c>
      <c r="D139" s="99">
        <v>9462</v>
      </c>
      <c r="E139" t="s">
        <v>213</v>
      </c>
      <c r="O139" s="160"/>
    </row>
    <row r="140" spans="2:15">
      <c r="B140" s="146">
        <v>41403</v>
      </c>
      <c r="C140" t="s">
        <v>220</v>
      </c>
      <c r="D140" s="99">
        <v>5547</v>
      </c>
      <c r="E140" t="s">
        <v>212</v>
      </c>
      <c r="O140" s="160"/>
    </row>
    <row r="141" spans="2:15">
      <c r="B141" s="146">
        <v>41643</v>
      </c>
      <c r="C141" t="s">
        <v>220</v>
      </c>
      <c r="D141" s="99">
        <v>23363</v>
      </c>
      <c r="E141" t="s">
        <v>211</v>
      </c>
      <c r="O141" s="160"/>
    </row>
    <row r="142" spans="2:15">
      <c r="B142" s="146">
        <v>41499</v>
      </c>
      <c r="C142" t="s">
        <v>217</v>
      </c>
      <c r="D142" s="99">
        <v>6701</v>
      </c>
      <c r="E142" t="s">
        <v>213</v>
      </c>
      <c r="O142" s="160"/>
    </row>
    <row r="143" spans="2:15">
      <c r="B143" s="146">
        <v>41571</v>
      </c>
      <c r="C143" t="s">
        <v>218</v>
      </c>
      <c r="D143" s="99">
        <v>24254</v>
      </c>
      <c r="E143" t="s">
        <v>213</v>
      </c>
      <c r="O143" s="160"/>
    </row>
    <row r="144" spans="2:15">
      <c r="B144" s="146">
        <v>41433</v>
      </c>
      <c r="C144" t="s">
        <v>220</v>
      </c>
      <c r="D144" s="99">
        <v>12668</v>
      </c>
      <c r="E144" t="s">
        <v>211</v>
      </c>
      <c r="O144" s="160"/>
    </row>
    <row r="145" spans="2:15">
      <c r="B145" s="146">
        <v>41658</v>
      </c>
      <c r="C145" t="s">
        <v>218</v>
      </c>
      <c r="D145" s="99">
        <v>13083</v>
      </c>
      <c r="E145" t="s">
        <v>212</v>
      </c>
      <c r="O145" s="160"/>
    </row>
    <row r="146" spans="2:15">
      <c r="B146" s="146">
        <v>41421</v>
      </c>
      <c r="C146" t="s">
        <v>220</v>
      </c>
      <c r="D146" s="99">
        <v>22663</v>
      </c>
      <c r="E146" t="s">
        <v>212</v>
      </c>
      <c r="O146" s="160"/>
    </row>
    <row r="147" spans="2:15">
      <c r="B147" s="146">
        <v>41873</v>
      </c>
      <c r="C147" t="s">
        <v>220</v>
      </c>
      <c r="D147" s="99">
        <v>36680</v>
      </c>
      <c r="E147" t="s">
        <v>211</v>
      </c>
      <c r="O147" s="160"/>
    </row>
    <row r="148" spans="2:15">
      <c r="B148" s="146">
        <v>41573</v>
      </c>
      <c r="C148" t="s">
        <v>220</v>
      </c>
      <c r="D148" s="99">
        <v>21584</v>
      </c>
      <c r="E148" t="s">
        <v>212</v>
      </c>
      <c r="O148" s="160"/>
    </row>
    <row r="149" spans="2:15">
      <c r="B149" s="146">
        <v>41457</v>
      </c>
      <c r="C149" t="s">
        <v>219</v>
      </c>
      <c r="D149" s="99">
        <v>5596</v>
      </c>
      <c r="E149" t="s">
        <v>210</v>
      </c>
      <c r="O149" s="160"/>
    </row>
    <row r="150" spans="2:15">
      <c r="B150" s="146">
        <v>41889</v>
      </c>
      <c r="C150" t="s">
        <v>220</v>
      </c>
      <c r="D150" s="99">
        <v>23199</v>
      </c>
      <c r="E150" t="s">
        <v>212</v>
      </c>
      <c r="O150" s="160"/>
    </row>
    <row r="151" spans="2:15">
      <c r="B151" s="146">
        <v>41192</v>
      </c>
      <c r="C151" t="s">
        <v>217</v>
      </c>
      <c r="D151" s="99">
        <v>38287</v>
      </c>
      <c r="E151" t="s">
        <v>211</v>
      </c>
      <c r="O151" s="160"/>
    </row>
    <row r="152" spans="2:15">
      <c r="B152" s="146">
        <v>41279</v>
      </c>
      <c r="C152" t="s">
        <v>218</v>
      </c>
      <c r="D152" s="99">
        <v>23866</v>
      </c>
      <c r="E152" t="s">
        <v>211</v>
      </c>
      <c r="O152" s="160"/>
    </row>
    <row r="153" spans="2:15">
      <c r="B153" s="146">
        <v>41160</v>
      </c>
      <c r="C153" t="s">
        <v>219</v>
      </c>
      <c r="D153" s="99">
        <v>11379</v>
      </c>
      <c r="E153" t="s">
        <v>210</v>
      </c>
      <c r="O153" s="160"/>
    </row>
    <row r="154" spans="2:15">
      <c r="B154" s="146">
        <v>41285</v>
      </c>
      <c r="C154" t="s">
        <v>220</v>
      </c>
      <c r="D154" s="99">
        <v>8474</v>
      </c>
      <c r="E154" t="s">
        <v>213</v>
      </c>
      <c r="O154" s="160"/>
    </row>
    <row r="155" spans="2:15">
      <c r="B155" s="146">
        <v>41539</v>
      </c>
      <c r="C155" t="s">
        <v>218</v>
      </c>
      <c r="D155" s="99">
        <v>33638</v>
      </c>
      <c r="E155" t="s">
        <v>210</v>
      </c>
      <c r="O155" s="160"/>
    </row>
    <row r="156" spans="2:15">
      <c r="B156" s="146">
        <v>41626</v>
      </c>
      <c r="C156" t="s">
        <v>218</v>
      </c>
      <c r="D156" s="99">
        <v>31581</v>
      </c>
      <c r="E156" t="s">
        <v>210</v>
      </c>
      <c r="O156" s="160"/>
    </row>
    <row r="157" spans="2:15">
      <c r="B157" s="146">
        <v>41741</v>
      </c>
      <c r="C157" t="s">
        <v>218</v>
      </c>
      <c r="D157" s="99">
        <v>12537</v>
      </c>
      <c r="E157" t="s">
        <v>213</v>
      </c>
      <c r="O157" s="160"/>
    </row>
    <row r="158" spans="2:15">
      <c r="B158" s="146">
        <v>41419</v>
      </c>
      <c r="C158" t="s">
        <v>219</v>
      </c>
      <c r="D158" s="99">
        <v>27226</v>
      </c>
      <c r="E158" t="s">
        <v>210</v>
      </c>
      <c r="O158" s="160"/>
    </row>
    <row r="159" spans="2:15">
      <c r="B159" s="146">
        <v>41186</v>
      </c>
      <c r="C159" t="s">
        <v>218</v>
      </c>
      <c r="D159" s="99">
        <v>15771</v>
      </c>
      <c r="E159" t="s">
        <v>211</v>
      </c>
      <c r="O159" s="160"/>
    </row>
    <row r="160" spans="2:15">
      <c r="B160" s="146">
        <v>41361</v>
      </c>
      <c r="C160" t="s">
        <v>218</v>
      </c>
      <c r="D160" s="99">
        <v>8938</v>
      </c>
      <c r="E160" t="s">
        <v>213</v>
      </c>
      <c r="O160" s="160"/>
    </row>
    <row r="161" spans="2:15">
      <c r="B161" s="146">
        <v>41998</v>
      </c>
      <c r="C161" t="s">
        <v>220</v>
      </c>
      <c r="D161" s="99">
        <v>13110</v>
      </c>
      <c r="E161" t="s">
        <v>211</v>
      </c>
      <c r="O161" s="160"/>
    </row>
    <row r="162" spans="2:15">
      <c r="B162" s="146">
        <v>41669</v>
      </c>
      <c r="C162" t="s">
        <v>218</v>
      </c>
      <c r="D162" s="99">
        <v>18357</v>
      </c>
      <c r="E162" t="s">
        <v>213</v>
      </c>
      <c r="O162" s="160"/>
    </row>
    <row r="163" spans="2:15">
      <c r="B163" s="146">
        <v>41929</v>
      </c>
      <c r="C163" t="s">
        <v>217</v>
      </c>
      <c r="D163" s="99">
        <v>26686</v>
      </c>
      <c r="E163" t="s">
        <v>213</v>
      </c>
      <c r="O163" s="160"/>
    </row>
    <row r="164" spans="2:15">
      <c r="B164" s="146">
        <v>41417</v>
      </c>
      <c r="C164" t="s">
        <v>220</v>
      </c>
      <c r="D164" s="99">
        <v>12551</v>
      </c>
      <c r="E164" t="s">
        <v>211</v>
      </c>
      <c r="O164" s="160"/>
    </row>
    <row r="165" spans="2:15">
      <c r="B165" s="146">
        <v>41527</v>
      </c>
      <c r="C165" t="s">
        <v>219</v>
      </c>
      <c r="D165" s="99">
        <v>34945</v>
      </c>
      <c r="E165" t="s">
        <v>213</v>
      </c>
      <c r="O165" s="160"/>
    </row>
    <row r="166" spans="2:15">
      <c r="B166" s="146">
        <v>41208</v>
      </c>
      <c r="C166" t="s">
        <v>217</v>
      </c>
      <c r="D166" s="99">
        <v>17783</v>
      </c>
      <c r="E166" t="s">
        <v>212</v>
      </c>
      <c r="O166" s="160"/>
    </row>
    <row r="167" spans="2:15">
      <c r="B167" s="146">
        <v>41308</v>
      </c>
      <c r="C167" t="s">
        <v>217</v>
      </c>
      <c r="D167" s="99">
        <v>39834</v>
      </c>
      <c r="E167" t="s">
        <v>210</v>
      </c>
      <c r="O167" s="160"/>
    </row>
    <row r="168" spans="2:15">
      <c r="B168" s="146">
        <v>41234</v>
      </c>
      <c r="C168" t="s">
        <v>220</v>
      </c>
      <c r="D168" s="99">
        <v>19036</v>
      </c>
      <c r="E168" t="s">
        <v>212</v>
      </c>
      <c r="O168" s="160"/>
    </row>
    <row r="169" spans="2:15">
      <c r="B169" s="146">
        <v>41475</v>
      </c>
      <c r="C169" t="s">
        <v>220</v>
      </c>
      <c r="D169" s="99">
        <v>30367</v>
      </c>
      <c r="E169" t="s">
        <v>211</v>
      </c>
      <c r="O169" s="160"/>
    </row>
    <row r="170" spans="2:15">
      <c r="B170" s="146">
        <v>41874</v>
      </c>
      <c r="C170" t="s">
        <v>220</v>
      </c>
      <c r="D170" s="99">
        <v>17576</v>
      </c>
      <c r="E170" t="s">
        <v>211</v>
      </c>
      <c r="O170" s="160"/>
    </row>
    <row r="171" spans="2:15">
      <c r="B171" s="146">
        <v>41408</v>
      </c>
      <c r="C171" t="s">
        <v>220</v>
      </c>
      <c r="D171" s="99">
        <v>35056</v>
      </c>
      <c r="E171" t="s">
        <v>213</v>
      </c>
      <c r="O171" s="160"/>
    </row>
    <row r="172" spans="2:15">
      <c r="B172" s="146">
        <v>41318</v>
      </c>
      <c r="C172" t="s">
        <v>219</v>
      </c>
      <c r="D172" s="99">
        <v>21240</v>
      </c>
      <c r="E172" t="s">
        <v>210</v>
      </c>
      <c r="O172" s="160"/>
    </row>
    <row r="173" spans="2:15">
      <c r="B173" s="146">
        <v>41563</v>
      </c>
      <c r="C173" t="s">
        <v>220</v>
      </c>
      <c r="D173" s="99">
        <v>5341</v>
      </c>
      <c r="E173" t="s">
        <v>213</v>
      </c>
      <c r="O173" s="160"/>
    </row>
    <row r="174" spans="2:15">
      <c r="B174" s="146">
        <v>41433</v>
      </c>
      <c r="C174" t="s">
        <v>220</v>
      </c>
      <c r="D174" s="99">
        <v>34499</v>
      </c>
      <c r="E174" t="s">
        <v>211</v>
      </c>
      <c r="O174" s="160"/>
    </row>
    <row r="175" spans="2:15">
      <c r="B175" s="146">
        <v>41452</v>
      </c>
      <c r="C175" t="s">
        <v>217</v>
      </c>
      <c r="D175" s="99">
        <v>38781</v>
      </c>
      <c r="E175" t="s">
        <v>213</v>
      </c>
      <c r="O175" s="160"/>
    </row>
    <row r="176" spans="2:15">
      <c r="B176" s="146">
        <v>41405</v>
      </c>
      <c r="C176" t="s">
        <v>219</v>
      </c>
      <c r="D176" s="99">
        <v>13248</v>
      </c>
      <c r="E176" t="s">
        <v>212</v>
      </c>
      <c r="O176" s="160"/>
    </row>
    <row r="177" spans="2:15">
      <c r="B177" s="146">
        <v>41889</v>
      </c>
      <c r="C177" t="s">
        <v>218</v>
      </c>
      <c r="D177" s="99">
        <v>21123</v>
      </c>
      <c r="E177" t="s">
        <v>212</v>
      </c>
      <c r="O177" s="160"/>
    </row>
    <row r="178" spans="2:15">
      <c r="B178" s="146">
        <v>41228</v>
      </c>
      <c r="C178" t="s">
        <v>220</v>
      </c>
      <c r="D178" s="99">
        <v>38268</v>
      </c>
      <c r="E178" t="s">
        <v>213</v>
      </c>
      <c r="O178" s="160"/>
    </row>
    <row r="179" spans="2:15">
      <c r="B179" s="146">
        <v>41525</v>
      </c>
      <c r="C179" t="s">
        <v>219</v>
      </c>
      <c r="D179" s="99">
        <v>13207</v>
      </c>
      <c r="E179" t="s">
        <v>212</v>
      </c>
      <c r="O179" s="160"/>
    </row>
    <row r="180" spans="2:15">
      <c r="B180" s="146">
        <v>41473</v>
      </c>
      <c r="C180" t="s">
        <v>217</v>
      </c>
      <c r="D180" s="99">
        <v>21421</v>
      </c>
      <c r="E180" t="s">
        <v>211</v>
      </c>
      <c r="O180" s="160"/>
    </row>
    <row r="181" spans="2:15">
      <c r="B181" s="146">
        <v>41797</v>
      </c>
      <c r="C181" t="s">
        <v>217</v>
      </c>
      <c r="D181" s="99">
        <v>14717</v>
      </c>
      <c r="E181" t="s">
        <v>211</v>
      </c>
      <c r="O181" s="160"/>
    </row>
    <row r="182" spans="2:15">
      <c r="B182" s="146">
        <v>41155</v>
      </c>
      <c r="C182" t="s">
        <v>220</v>
      </c>
      <c r="D182" s="99">
        <v>34076</v>
      </c>
      <c r="E182" t="s">
        <v>212</v>
      </c>
      <c r="O182" s="160"/>
    </row>
    <row r="183" spans="2:15">
      <c r="B183" s="146">
        <v>41348</v>
      </c>
      <c r="C183" t="s">
        <v>217</v>
      </c>
      <c r="D183" s="99">
        <v>9076</v>
      </c>
      <c r="E183" t="s">
        <v>210</v>
      </c>
      <c r="O183" s="160"/>
    </row>
    <row r="184" spans="2:15">
      <c r="B184" s="146">
        <v>41141</v>
      </c>
      <c r="C184" t="s">
        <v>219</v>
      </c>
      <c r="D184" s="99">
        <v>5068</v>
      </c>
      <c r="E184" t="s">
        <v>211</v>
      </c>
      <c r="O184" s="160"/>
    </row>
    <row r="185" spans="2:15">
      <c r="B185" s="146">
        <v>41621</v>
      </c>
      <c r="C185" t="s">
        <v>220</v>
      </c>
      <c r="D185" s="99">
        <v>22417</v>
      </c>
      <c r="E185" t="s">
        <v>212</v>
      </c>
      <c r="O185" s="160"/>
    </row>
    <row r="186" spans="2:15">
      <c r="B186" s="146">
        <v>42000</v>
      </c>
      <c r="C186" t="s">
        <v>217</v>
      </c>
      <c r="D186" s="99">
        <v>26889</v>
      </c>
      <c r="E186" t="s">
        <v>211</v>
      </c>
      <c r="O186" s="160"/>
    </row>
    <row r="187" spans="2:15">
      <c r="B187" s="146">
        <v>41834</v>
      </c>
      <c r="C187" t="s">
        <v>217</v>
      </c>
      <c r="D187" s="99">
        <v>17592</v>
      </c>
      <c r="E187" t="s">
        <v>210</v>
      </c>
      <c r="O187" s="160"/>
    </row>
    <row r="188" spans="2:15">
      <c r="B188" s="146">
        <v>41909</v>
      </c>
      <c r="C188" t="s">
        <v>218</v>
      </c>
      <c r="D188" s="99">
        <v>26174</v>
      </c>
      <c r="E188" t="s">
        <v>210</v>
      </c>
      <c r="O188" s="160"/>
    </row>
    <row r="189" spans="2:15">
      <c r="B189" s="146">
        <v>41461</v>
      </c>
      <c r="C189" t="s">
        <v>218</v>
      </c>
      <c r="D189" s="99">
        <v>28585</v>
      </c>
      <c r="E189" t="s">
        <v>210</v>
      </c>
      <c r="O189" s="160"/>
    </row>
    <row r="190" spans="2:15">
      <c r="B190" s="146">
        <v>41860</v>
      </c>
      <c r="C190" t="s">
        <v>219</v>
      </c>
      <c r="D190" s="99">
        <v>29390</v>
      </c>
      <c r="E190" t="s">
        <v>213</v>
      </c>
      <c r="O190" s="160"/>
    </row>
    <row r="191" spans="2:15">
      <c r="B191" s="146">
        <v>41350</v>
      </c>
      <c r="C191" t="s">
        <v>220</v>
      </c>
      <c r="D191" s="99">
        <v>37511</v>
      </c>
      <c r="E191" t="s">
        <v>210</v>
      </c>
      <c r="O191" s="160"/>
    </row>
    <row r="192" spans="2:15">
      <c r="B192" s="146">
        <v>41827</v>
      </c>
      <c r="C192" t="s">
        <v>220</v>
      </c>
      <c r="D192" s="99">
        <v>6419</v>
      </c>
      <c r="E192" t="s">
        <v>210</v>
      </c>
      <c r="O192" s="160"/>
    </row>
    <row r="193" spans="2:15">
      <c r="B193" s="146">
        <v>41327</v>
      </c>
      <c r="C193" t="s">
        <v>219</v>
      </c>
      <c r="D193" s="99">
        <v>5996</v>
      </c>
      <c r="E193" t="s">
        <v>210</v>
      </c>
      <c r="O193" s="160"/>
    </row>
    <row r="194" spans="2:15">
      <c r="B194" s="146">
        <v>41762</v>
      </c>
      <c r="C194" t="s">
        <v>217</v>
      </c>
      <c r="D194" s="99">
        <v>11064</v>
      </c>
      <c r="E194" t="s">
        <v>213</v>
      </c>
      <c r="O194" s="160"/>
    </row>
    <row r="195" spans="2:15">
      <c r="B195" s="146">
        <v>41895</v>
      </c>
      <c r="C195" t="s">
        <v>217</v>
      </c>
      <c r="D195" s="99">
        <v>25359</v>
      </c>
      <c r="E195" t="s">
        <v>213</v>
      </c>
      <c r="O195" s="160"/>
    </row>
    <row r="196" spans="2:15">
      <c r="B196" s="146">
        <v>41970</v>
      </c>
      <c r="C196" t="s">
        <v>217</v>
      </c>
      <c r="D196" s="99">
        <v>5073</v>
      </c>
      <c r="E196" t="s">
        <v>212</v>
      </c>
      <c r="O196" s="160"/>
    </row>
    <row r="197" spans="2:15">
      <c r="B197" s="146">
        <v>41573</v>
      </c>
      <c r="C197" t="s">
        <v>220</v>
      </c>
      <c r="D197" s="99">
        <v>33302</v>
      </c>
      <c r="E197" t="s">
        <v>213</v>
      </c>
      <c r="O197" s="160"/>
    </row>
    <row r="198" spans="2:15">
      <c r="B198" s="146">
        <v>41256</v>
      </c>
      <c r="C198" t="s">
        <v>220</v>
      </c>
      <c r="D198" s="99">
        <v>6463</v>
      </c>
      <c r="E198" t="s">
        <v>210</v>
      </c>
      <c r="O198" s="160"/>
    </row>
    <row r="199" spans="2:15">
      <c r="B199" s="146">
        <v>41581</v>
      </c>
      <c r="C199" t="s">
        <v>220</v>
      </c>
      <c r="D199" s="99">
        <v>23047</v>
      </c>
      <c r="E199" t="s">
        <v>210</v>
      </c>
      <c r="O199" s="160"/>
    </row>
    <row r="200" spans="2:15">
      <c r="B200" s="146">
        <v>41928</v>
      </c>
      <c r="C200" t="s">
        <v>220</v>
      </c>
      <c r="D200" s="99">
        <v>39666</v>
      </c>
      <c r="E200" t="s">
        <v>212</v>
      </c>
      <c r="O200" s="160"/>
    </row>
    <row r="201" spans="2:15">
      <c r="B201" s="146">
        <v>41834</v>
      </c>
      <c r="C201" t="s">
        <v>218</v>
      </c>
      <c r="D201" s="99">
        <v>30845</v>
      </c>
      <c r="E201" t="s">
        <v>210</v>
      </c>
      <c r="O201" s="160"/>
    </row>
    <row r="202" spans="2:15">
      <c r="B202" s="146">
        <v>41980</v>
      </c>
      <c r="C202" t="s">
        <v>218</v>
      </c>
      <c r="D202" s="99">
        <v>5726</v>
      </c>
      <c r="E202" t="s">
        <v>212</v>
      </c>
      <c r="O202" s="160"/>
    </row>
    <row r="203" spans="2:15">
      <c r="B203" s="146">
        <v>41757</v>
      </c>
      <c r="C203" t="s">
        <v>220</v>
      </c>
      <c r="D203" s="99">
        <v>37876</v>
      </c>
      <c r="E203" t="s">
        <v>210</v>
      </c>
      <c r="O203" s="160"/>
    </row>
    <row r="204" spans="2:15">
      <c r="B204" s="146">
        <v>41781</v>
      </c>
      <c r="C204" t="s">
        <v>218</v>
      </c>
      <c r="D204" s="99">
        <v>21009</v>
      </c>
      <c r="E204" t="s">
        <v>213</v>
      </c>
      <c r="O204" s="160"/>
    </row>
    <row r="205" spans="2:15">
      <c r="B205" s="146">
        <v>41309</v>
      </c>
      <c r="C205" t="s">
        <v>219</v>
      </c>
      <c r="D205" s="99">
        <v>37153</v>
      </c>
      <c r="E205" t="s">
        <v>211</v>
      </c>
      <c r="O205" s="160"/>
    </row>
    <row r="206" spans="2:15">
      <c r="B206" s="146">
        <v>41772</v>
      </c>
      <c r="C206" t="s">
        <v>218</v>
      </c>
      <c r="D206" s="99">
        <v>28368</v>
      </c>
      <c r="E206" t="s">
        <v>212</v>
      </c>
      <c r="O206" s="160"/>
    </row>
    <row r="207" spans="2:15">
      <c r="B207" s="146">
        <v>41725</v>
      </c>
      <c r="C207" t="s">
        <v>217</v>
      </c>
      <c r="D207" s="99">
        <v>23210</v>
      </c>
      <c r="E207" t="s">
        <v>211</v>
      </c>
      <c r="O207" s="160"/>
    </row>
    <row r="208" spans="2:15">
      <c r="B208" s="146">
        <v>42010</v>
      </c>
      <c r="C208" t="s">
        <v>219</v>
      </c>
      <c r="D208" s="99">
        <v>31432</v>
      </c>
      <c r="E208" t="s">
        <v>212</v>
      </c>
      <c r="O208" s="160"/>
    </row>
    <row r="209" spans="2:15">
      <c r="B209" s="146">
        <v>41846</v>
      </c>
      <c r="C209" t="s">
        <v>219</v>
      </c>
      <c r="D209" s="99">
        <v>36110</v>
      </c>
      <c r="E209" t="s">
        <v>213</v>
      </c>
      <c r="O209" s="160"/>
    </row>
    <row r="210" spans="2:15">
      <c r="B210" s="146">
        <v>41646</v>
      </c>
      <c r="C210" t="s">
        <v>217</v>
      </c>
      <c r="D210" s="99">
        <v>13143</v>
      </c>
      <c r="E210" t="s">
        <v>212</v>
      </c>
      <c r="O210" s="160"/>
    </row>
    <row r="211" spans="2:15">
      <c r="B211" s="146">
        <v>41933</v>
      </c>
      <c r="C211" t="s">
        <v>218</v>
      </c>
      <c r="D211" s="99">
        <v>9417</v>
      </c>
      <c r="E211" t="s">
        <v>211</v>
      </c>
      <c r="O211" s="160"/>
    </row>
    <row r="212" spans="2:15">
      <c r="B212" s="146">
        <v>41305</v>
      </c>
      <c r="C212" t="s">
        <v>218</v>
      </c>
      <c r="D212" s="99">
        <v>5548</v>
      </c>
      <c r="E212" t="s">
        <v>212</v>
      </c>
      <c r="O212" s="160"/>
    </row>
    <row r="213" spans="2:15">
      <c r="B213" s="146">
        <v>41517</v>
      </c>
      <c r="C213" t="s">
        <v>217</v>
      </c>
      <c r="D213" s="99">
        <v>9601</v>
      </c>
      <c r="E213" t="s">
        <v>211</v>
      </c>
      <c r="O213" s="160"/>
    </row>
    <row r="214" spans="2:15">
      <c r="B214" s="146">
        <v>41404</v>
      </c>
      <c r="C214" t="s">
        <v>217</v>
      </c>
      <c r="D214" s="99">
        <v>31457</v>
      </c>
      <c r="E214" t="s">
        <v>211</v>
      </c>
      <c r="O214" s="160"/>
    </row>
    <row r="215" spans="2:15">
      <c r="B215" s="146">
        <v>41908</v>
      </c>
      <c r="C215" t="s">
        <v>219</v>
      </c>
      <c r="D215" s="99">
        <v>19247</v>
      </c>
      <c r="E215" t="s">
        <v>213</v>
      </c>
      <c r="O215" s="160"/>
    </row>
    <row r="216" spans="2:15">
      <c r="B216" s="146">
        <v>41369</v>
      </c>
      <c r="C216" t="s">
        <v>219</v>
      </c>
      <c r="D216" s="99">
        <v>7305</v>
      </c>
      <c r="E216" t="s">
        <v>210</v>
      </c>
      <c r="O216" s="160"/>
    </row>
    <row r="217" spans="2:15">
      <c r="B217" s="146">
        <v>41579</v>
      </c>
      <c r="C217" t="s">
        <v>219</v>
      </c>
      <c r="D217" s="99">
        <v>33693</v>
      </c>
      <c r="E217" t="s">
        <v>210</v>
      </c>
      <c r="O217" s="160"/>
    </row>
    <row r="218" spans="2:15">
      <c r="B218" s="146">
        <v>41966</v>
      </c>
      <c r="C218" t="s">
        <v>220</v>
      </c>
      <c r="D218" s="99">
        <v>14560</v>
      </c>
      <c r="E218" t="s">
        <v>211</v>
      </c>
      <c r="O218" s="160"/>
    </row>
    <row r="219" spans="2:15">
      <c r="B219" s="146">
        <v>41974</v>
      </c>
      <c r="C219" t="s">
        <v>219</v>
      </c>
      <c r="D219" s="99">
        <v>11784</v>
      </c>
      <c r="E219" t="s">
        <v>212</v>
      </c>
      <c r="O219" s="160"/>
    </row>
    <row r="220" spans="2:15">
      <c r="B220" s="146">
        <v>41558</v>
      </c>
      <c r="C220" t="s">
        <v>219</v>
      </c>
      <c r="D220" s="99">
        <v>16602</v>
      </c>
      <c r="E220" t="s">
        <v>210</v>
      </c>
      <c r="O220" s="160"/>
    </row>
    <row r="221" spans="2:15">
      <c r="B221" s="146">
        <v>41218</v>
      </c>
      <c r="C221" t="s">
        <v>218</v>
      </c>
      <c r="D221" s="99">
        <v>17888</v>
      </c>
      <c r="E221" t="s">
        <v>213</v>
      </c>
      <c r="O221" s="160"/>
    </row>
    <row r="222" spans="2:15">
      <c r="B222" s="146">
        <v>41176</v>
      </c>
      <c r="C222" t="s">
        <v>220</v>
      </c>
      <c r="D222" s="99">
        <v>39649</v>
      </c>
      <c r="E222" t="s">
        <v>211</v>
      </c>
      <c r="O222" s="160"/>
    </row>
    <row r="223" spans="2:15">
      <c r="B223" s="146">
        <v>41403</v>
      </c>
      <c r="C223" t="s">
        <v>219</v>
      </c>
      <c r="D223" s="99">
        <v>34013</v>
      </c>
      <c r="E223" t="s">
        <v>212</v>
      </c>
      <c r="O223" s="160"/>
    </row>
    <row r="224" spans="2:15">
      <c r="B224" s="146">
        <v>41913</v>
      </c>
      <c r="C224" t="s">
        <v>220</v>
      </c>
      <c r="D224" s="99">
        <v>24997</v>
      </c>
      <c r="E224" t="s">
        <v>210</v>
      </c>
      <c r="O224" s="160"/>
    </row>
    <row r="225" spans="2:15">
      <c r="B225" s="146">
        <v>41610</v>
      </c>
      <c r="C225" t="s">
        <v>218</v>
      </c>
      <c r="D225" s="99">
        <v>21128</v>
      </c>
      <c r="E225" t="s">
        <v>211</v>
      </c>
      <c r="O225" s="160"/>
    </row>
    <row r="226" spans="2:15">
      <c r="B226" s="146">
        <v>41949</v>
      </c>
      <c r="C226" t="s">
        <v>217</v>
      </c>
      <c r="D226" s="99">
        <v>29897</v>
      </c>
      <c r="E226" t="s">
        <v>210</v>
      </c>
      <c r="O226" s="160"/>
    </row>
    <row r="227" spans="2:15">
      <c r="B227" s="146">
        <v>41675</v>
      </c>
      <c r="C227" t="s">
        <v>217</v>
      </c>
      <c r="D227" s="99">
        <v>26963</v>
      </c>
      <c r="E227" t="s">
        <v>213</v>
      </c>
      <c r="O227" s="160"/>
    </row>
    <row r="228" spans="2:15">
      <c r="B228" s="146">
        <v>41183</v>
      </c>
      <c r="C228" t="s">
        <v>220</v>
      </c>
      <c r="D228" s="99">
        <v>39832</v>
      </c>
      <c r="E228" t="s">
        <v>213</v>
      </c>
      <c r="O228" s="160"/>
    </row>
    <row r="229" spans="2:15">
      <c r="B229" s="146">
        <v>41936</v>
      </c>
      <c r="C229" t="s">
        <v>220</v>
      </c>
      <c r="D229" s="99">
        <v>23508</v>
      </c>
      <c r="E229" t="s">
        <v>212</v>
      </c>
      <c r="O229" s="160"/>
    </row>
    <row r="230" spans="2:15">
      <c r="B230" s="146">
        <v>41632</v>
      </c>
      <c r="C230" t="s">
        <v>220</v>
      </c>
      <c r="D230" s="99">
        <v>12704</v>
      </c>
      <c r="E230" t="s">
        <v>213</v>
      </c>
      <c r="O230" s="160"/>
    </row>
    <row r="231" spans="2:15">
      <c r="B231" s="146">
        <v>41871</v>
      </c>
      <c r="C231" t="s">
        <v>220</v>
      </c>
      <c r="D231" s="99">
        <v>12342</v>
      </c>
      <c r="E231" t="s">
        <v>210</v>
      </c>
      <c r="O231" s="160"/>
    </row>
    <row r="232" spans="2:15">
      <c r="B232" s="146">
        <v>41802</v>
      </c>
      <c r="C232" t="s">
        <v>220</v>
      </c>
      <c r="D232" s="99">
        <v>22693</v>
      </c>
      <c r="E232" t="s">
        <v>212</v>
      </c>
      <c r="O232" s="160"/>
    </row>
    <row r="233" spans="2:15">
      <c r="B233" s="146">
        <v>41123</v>
      </c>
      <c r="C233" t="s">
        <v>217</v>
      </c>
      <c r="D233" s="99">
        <v>10578</v>
      </c>
      <c r="E233" t="s">
        <v>211</v>
      </c>
      <c r="O233" s="160"/>
    </row>
    <row r="234" spans="2:15">
      <c r="B234" s="146">
        <v>41296</v>
      </c>
      <c r="C234" t="s">
        <v>218</v>
      </c>
      <c r="D234" s="99">
        <v>22523</v>
      </c>
      <c r="E234" t="s">
        <v>212</v>
      </c>
      <c r="O234" s="160"/>
    </row>
    <row r="235" spans="2:15">
      <c r="B235" s="146">
        <v>41705</v>
      </c>
      <c r="C235" t="s">
        <v>217</v>
      </c>
      <c r="D235" s="99">
        <v>30855</v>
      </c>
      <c r="E235" t="s">
        <v>210</v>
      </c>
      <c r="O235" s="160"/>
    </row>
    <row r="236" spans="2:15">
      <c r="B236" s="146">
        <v>41378</v>
      </c>
      <c r="C236" t="s">
        <v>218</v>
      </c>
      <c r="D236" s="99">
        <v>21219</v>
      </c>
      <c r="E236" t="s">
        <v>212</v>
      </c>
      <c r="O236" s="160"/>
    </row>
    <row r="237" spans="2:15">
      <c r="B237" s="146">
        <v>42010</v>
      </c>
      <c r="C237" t="s">
        <v>217</v>
      </c>
      <c r="D237" s="99">
        <v>11050</v>
      </c>
      <c r="E237" t="s">
        <v>211</v>
      </c>
      <c r="O237" s="160"/>
    </row>
    <row r="238" spans="2:15">
      <c r="B238" s="146">
        <v>41807</v>
      </c>
      <c r="C238" t="s">
        <v>218</v>
      </c>
      <c r="D238" s="99">
        <v>31079</v>
      </c>
      <c r="E238" t="s">
        <v>213</v>
      </c>
      <c r="O238" s="160"/>
    </row>
    <row r="239" spans="2:15">
      <c r="B239" s="146">
        <v>41439</v>
      </c>
      <c r="C239" t="s">
        <v>219</v>
      </c>
      <c r="D239" s="99">
        <v>17805</v>
      </c>
      <c r="E239" t="s">
        <v>213</v>
      </c>
      <c r="O239" s="160"/>
    </row>
    <row r="240" spans="2:15">
      <c r="B240" s="146">
        <v>41783</v>
      </c>
      <c r="C240" t="s">
        <v>220</v>
      </c>
      <c r="D240" s="99">
        <v>32370</v>
      </c>
      <c r="E240" t="s">
        <v>213</v>
      </c>
      <c r="O240" s="160"/>
    </row>
    <row r="241" spans="2:15">
      <c r="B241" s="146">
        <v>41819</v>
      </c>
      <c r="C241" t="s">
        <v>219</v>
      </c>
      <c r="D241" s="99">
        <v>38769</v>
      </c>
      <c r="E241" t="s">
        <v>210</v>
      </c>
      <c r="O241" s="160"/>
    </row>
    <row r="242" spans="2:15">
      <c r="B242" s="146">
        <v>41599</v>
      </c>
      <c r="C242" t="s">
        <v>219</v>
      </c>
      <c r="D242" s="99">
        <v>23308</v>
      </c>
      <c r="E242" t="s">
        <v>210</v>
      </c>
      <c r="O242" s="160"/>
    </row>
    <row r="243" spans="2:15">
      <c r="B243" s="146">
        <v>41204</v>
      </c>
      <c r="C243" t="s">
        <v>218</v>
      </c>
      <c r="D243" s="99">
        <v>33014</v>
      </c>
      <c r="E243" t="s">
        <v>213</v>
      </c>
      <c r="O243" s="160"/>
    </row>
    <row r="244" spans="2:15">
      <c r="B244" s="146">
        <v>41153</v>
      </c>
      <c r="C244" t="s">
        <v>220</v>
      </c>
      <c r="D244" s="99">
        <v>8177</v>
      </c>
      <c r="E244" t="s">
        <v>213</v>
      </c>
      <c r="O244" s="160"/>
    </row>
    <row r="245" spans="2:15">
      <c r="B245" s="146">
        <v>41889</v>
      </c>
      <c r="C245" t="s">
        <v>219</v>
      </c>
      <c r="D245" s="99">
        <v>36744</v>
      </c>
      <c r="E245" t="s">
        <v>211</v>
      </c>
      <c r="O245" s="160"/>
    </row>
    <row r="246" spans="2:15">
      <c r="B246" s="146">
        <v>41583</v>
      </c>
      <c r="C246" t="s">
        <v>220</v>
      </c>
      <c r="D246" s="99">
        <v>14862</v>
      </c>
      <c r="E246" t="s">
        <v>213</v>
      </c>
      <c r="O246" s="160"/>
    </row>
    <row r="247" spans="2:15">
      <c r="B247" s="146">
        <v>41766</v>
      </c>
      <c r="C247" t="s">
        <v>219</v>
      </c>
      <c r="D247" s="99">
        <v>13455</v>
      </c>
      <c r="E247" t="s">
        <v>212</v>
      </c>
      <c r="O247" s="160"/>
    </row>
    <row r="248" spans="2:15">
      <c r="B248" s="146">
        <v>41145</v>
      </c>
      <c r="C248" t="s">
        <v>218</v>
      </c>
      <c r="D248" s="99">
        <v>21220</v>
      </c>
      <c r="E248" t="s">
        <v>213</v>
      </c>
      <c r="O248" s="160"/>
    </row>
    <row r="249" spans="2:15">
      <c r="B249" s="146">
        <v>41230</v>
      </c>
      <c r="C249" t="s">
        <v>219</v>
      </c>
      <c r="D249" s="99">
        <v>36429</v>
      </c>
      <c r="E249" t="s">
        <v>212</v>
      </c>
      <c r="O249" s="160"/>
    </row>
    <row r="250" spans="2:15">
      <c r="B250" s="146">
        <v>41373</v>
      </c>
      <c r="C250" t="s">
        <v>219</v>
      </c>
      <c r="D250" s="99">
        <v>19429</v>
      </c>
      <c r="E250" t="s">
        <v>210</v>
      </c>
      <c r="O250" s="160"/>
    </row>
    <row r="251" spans="2:15">
      <c r="B251" s="146">
        <v>41302</v>
      </c>
      <c r="C251" t="s">
        <v>217</v>
      </c>
      <c r="D251" s="99">
        <v>21431</v>
      </c>
      <c r="E251" t="s">
        <v>210</v>
      </c>
      <c r="O251" s="160"/>
    </row>
    <row r="252" spans="2:15">
      <c r="B252" s="146">
        <v>41298</v>
      </c>
      <c r="C252" t="s">
        <v>218</v>
      </c>
      <c r="D252" s="99">
        <v>24638</v>
      </c>
      <c r="E252" t="s">
        <v>213</v>
      </c>
      <c r="O252" s="160"/>
    </row>
    <row r="253" spans="2:15">
      <c r="B253" s="146">
        <v>42015</v>
      </c>
      <c r="C253" t="s">
        <v>219</v>
      </c>
      <c r="D253" s="99">
        <v>25512</v>
      </c>
      <c r="E253" t="s">
        <v>210</v>
      </c>
      <c r="O253" s="160"/>
    </row>
    <row r="254" spans="2:15">
      <c r="B254" s="146">
        <v>41759</v>
      </c>
      <c r="C254" t="s">
        <v>218</v>
      </c>
      <c r="D254" s="99">
        <v>21782</v>
      </c>
      <c r="E254" t="s">
        <v>213</v>
      </c>
      <c r="O254" s="160"/>
    </row>
    <row r="255" spans="2:15">
      <c r="B255" s="146">
        <v>41322</v>
      </c>
      <c r="C255" t="s">
        <v>217</v>
      </c>
      <c r="D255" s="99">
        <v>36973</v>
      </c>
      <c r="E255" t="s">
        <v>213</v>
      </c>
      <c r="O255" s="160"/>
    </row>
    <row r="256" spans="2:15">
      <c r="B256" s="146">
        <v>41487</v>
      </c>
      <c r="C256" t="s">
        <v>220</v>
      </c>
      <c r="D256" s="99">
        <v>34789</v>
      </c>
      <c r="E256" t="s">
        <v>210</v>
      </c>
      <c r="O256" s="160"/>
    </row>
    <row r="257" spans="2:15">
      <c r="B257" s="146">
        <v>41910</v>
      </c>
      <c r="C257" t="s">
        <v>219</v>
      </c>
      <c r="D257" s="99">
        <v>13409</v>
      </c>
      <c r="E257" t="s">
        <v>213</v>
      </c>
      <c r="O257" s="160"/>
    </row>
    <row r="258" spans="2:15">
      <c r="B258" s="146">
        <v>41985</v>
      </c>
      <c r="C258" t="s">
        <v>220</v>
      </c>
      <c r="D258" s="99">
        <v>5201</v>
      </c>
      <c r="E258" t="s">
        <v>211</v>
      </c>
      <c r="O258" s="160"/>
    </row>
    <row r="259" spans="2:15">
      <c r="B259" s="146">
        <v>41780</v>
      </c>
      <c r="C259" t="s">
        <v>218</v>
      </c>
      <c r="D259" s="99">
        <v>23560</v>
      </c>
      <c r="E259" t="s">
        <v>211</v>
      </c>
      <c r="O259" s="160"/>
    </row>
    <row r="260" spans="2:15">
      <c r="B260" s="146">
        <v>41171</v>
      </c>
      <c r="C260" t="s">
        <v>218</v>
      </c>
      <c r="D260" s="99">
        <v>12304</v>
      </c>
      <c r="E260" t="s">
        <v>212</v>
      </c>
      <c r="O260" s="160"/>
    </row>
    <row r="261" spans="2:15">
      <c r="B261" s="146">
        <v>41848</v>
      </c>
      <c r="C261" t="s">
        <v>220</v>
      </c>
      <c r="D261" s="99">
        <v>30206</v>
      </c>
      <c r="E261" t="s">
        <v>211</v>
      </c>
      <c r="O261" s="160"/>
    </row>
    <row r="262" spans="2:15">
      <c r="B262" s="146">
        <v>41990</v>
      </c>
      <c r="C262" t="s">
        <v>218</v>
      </c>
      <c r="D262" s="99">
        <v>11957</v>
      </c>
      <c r="E262" t="s">
        <v>212</v>
      </c>
      <c r="O262" s="160"/>
    </row>
    <row r="263" spans="2:15">
      <c r="B263" s="146">
        <v>41575</v>
      </c>
      <c r="C263" t="s">
        <v>217</v>
      </c>
      <c r="D263" s="99">
        <v>19140</v>
      </c>
      <c r="E263" t="s">
        <v>211</v>
      </c>
      <c r="O263" s="160"/>
    </row>
    <row r="264" spans="2:15">
      <c r="B264" s="146">
        <v>41914</v>
      </c>
      <c r="C264" t="s">
        <v>219</v>
      </c>
      <c r="D264" s="99">
        <v>27317</v>
      </c>
      <c r="E264" t="s">
        <v>211</v>
      </c>
      <c r="O264" s="160"/>
    </row>
    <row r="265" spans="2:15">
      <c r="B265" s="146">
        <v>41890</v>
      </c>
      <c r="C265" t="s">
        <v>218</v>
      </c>
      <c r="D265" s="99">
        <v>24195</v>
      </c>
      <c r="E265" t="s">
        <v>213</v>
      </c>
      <c r="O265" s="160"/>
    </row>
    <row r="266" spans="2:15">
      <c r="B266" s="146">
        <v>41628</v>
      </c>
      <c r="C266" t="s">
        <v>219</v>
      </c>
      <c r="D266" s="99">
        <v>37512</v>
      </c>
      <c r="E266" t="s">
        <v>211</v>
      </c>
      <c r="O266" s="160"/>
    </row>
    <row r="267" spans="2:15">
      <c r="B267" s="146">
        <v>41137</v>
      </c>
      <c r="C267" t="s">
        <v>217</v>
      </c>
      <c r="D267" s="99">
        <v>7613</v>
      </c>
      <c r="E267" t="s">
        <v>212</v>
      </c>
      <c r="O267" s="160"/>
    </row>
    <row r="268" spans="2:15">
      <c r="B268" s="146">
        <v>41351</v>
      </c>
      <c r="C268" t="s">
        <v>218</v>
      </c>
      <c r="D268" s="99">
        <v>16467</v>
      </c>
      <c r="E268" t="s">
        <v>212</v>
      </c>
      <c r="O268" s="160"/>
    </row>
    <row r="269" spans="2:15">
      <c r="B269" s="146">
        <v>42017</v>
      </c>
      <c r="C269" t="s">
        <v>217</v>
      </c>
      <c r="D269" s="99">
        <v>26440</v>
      </c>
      <c r="E269" t="s">
        <v>211</v>
      </c>
      <c r="O269" s="160"/>
    </row>
    <row r="270" spans="2:15">
      <c r="B270" s="146">
        <v>41468</v>
      </c>
      <c r="C270" t="s">
        <v>220</v>
      </c>
      <c r="D270" s="99">
        <v>37525</v>
      </c>
      <c r="E270" t="s">
        <v>211</v>
      </c>
      <c r="O270" s="160"/>
    </row>
    <row r="271" spans="2:15">
      <c r="B271" s="146">
        <v>41855</v>
      </c>
      <c r="C271" t="s">
        <v>219</v>
      </c>
      <c r="D271" s="99">
        <v>18680</v>
      </c>
      <c r="E271" t="s">
        <v>210</v>
      </c>
      <c r="O271" s="160"/>
    </row>
    <row r="272" spans="2:15">
      <c r="B272" s="146">
        <v>41436</v>
      </c>
      <c r="C272" t="s">
        <v>219</v>
      </c>
      <c r="D272" s="99">
        <v>18246</v>
      </c>
      <c r="E272" t="s">
        <v>211</v>
      </c>
      <c r="O272" s="160"/>
    </row>
    <row r="273" spans="2:15">
      <c r="B273" s="146">
        <v>41147</v>
      </c>
      <c r="C273" t="s">
        <v>219</v>
      </c>
      <c r="D273" s="99">
        <v>16355</v>
      </c>
      <c r="E273" t="s">
        <v>210</v>
      </c>
      <c r="O273" s="160"/>
    </row>
    <row r="274" spans="2:15">
      <c r="B274" s="146">
        <v>41875</v>
      </c>
      <c r="C274" t="s">
        <v>218</v>
      </c>
      <c r="D274" s="99">
        <v>28483</v>
      </c>
      <c r="E274" t="s">
        <v>211</v>
      </c>
      <c r="O274" s="160"/>
    </row>
    <row r="275" spans="2:15">
      <c r="B275" s="146">
        <v>41996</v>
      </c>
      <c r="C275" t="s">
        <v>220</v>
      </c>
      <c r="D275" s="99">
        <v>25404</v>
      </c>
      <c r="E275" t="s">
        <v>211</v>
      </c>
      <c r="O275" s="160"/>
    </row>
    <row r="276" spans="2:15">
      <c r="B276" s="146">
        <v>41194</v>
      </c>
      <c r="C276" t="s">
        <v>217</v>
      </c>
      <c r="D276" s="99">
        <v>39160</v>
      </c>
      <c r="E276" t="s">
        <v>212</v>
      </c>
      <c r="O276" s="160"/>
    </row>
    <row r="277" spans="2:15">
      <c r="B277" s="146">
        <v>41466</v>
      </c>
      <c r="C277" t="s">
        <v>219</v>
      </c>
      <c r="D277" s="99">
        <v>31912</v>
      </c>
      <c r="E277" t="s">
        <v>212</v>
      </c>
      <c r="O277" s="160"/>
    </row>
    <row r="278" spans="2:15">
      <c r="B278" s="146">
        <v>41123</v>
      </c>
      <c r="C278" t="s">
        <v>217</v>
      </c>
      <c r="D278" s="99">
        <v>7170</v>
      </c>
      <c r="E278" t="s">
        <v>212</v>
      </c>
      <c r="O278" s="160"/>
    </row>
    <row r="279" spans="2:15">
      <c r="B279" s="146">
        <v>41130</v>
      </c>
      <c r="C279" t="s">
        <v>217</v>
      </c>
      <c r="D279" s="99">
        <v>27338</v>
      </c>
      <c r="E279" t="s">
        <v>210</v>
      </c>
      <c r="O279" s="160"/>
    </row>
    <row r="280" spans="2:15">
      <c r="B280" s="146">
        <v>41992</v>
      </c>
      <c r="C280" t="s">
        <v>217</v>
      </c>
      <c r="D280" s="99">
        <v>34180</v>
      </c>
      <c r="E280" t="s">
        <v>213</v>
      </c>
      <c r="O280" s="160"/>
    </row>
    <row r="281" spans="2:15">
      <c r="B281" s="146">
        <v>41512</v>
      </c>
      <c r="C281" t="s">
        <v>218</v>
      </c>
      <c r="D281" s="99">
        <v>39861</v>
      </c>
      <c r="E281" t="s">
        <v>212</v>
      </c>
      <c r="O281" s="160"/>
    </row>
    <row r="282" spans="2:15">
      <c r="B282" s="146">
        <v>41495</v>
      </c>
      <c r="C282" t="s">
        <v>217</v>
      </c>
      <c r="D282" s="99">
        <v>7069</v>
      </c>
      <c r="E282" t="s">
        <v>211</v>
      </c>
      <c r="O282" s="160"/>
    </row>
    <row r="283" spans="2:15">
      <c r="B283" s="146">
        <v>41813</v>
      </c>
      <c r="C283" t="s">
        <v>220</v>
      </c>
      <c r="D283" s="99">
        <v>13760</v>
      </c>
      <c r="E283" t="s">
        <v>212</v>
      </c>
      <c r="O283" s="160"/>
    </row>
    <row r="284" spans="2:15">
      <c r="B284" s="146">
        <v>41401</v>
      </c>
      <c r="C284" t="s">
        <v>217</v>
      </c>
      <c r="D284" s="99">
        <v>21181</v>
      </c>
      <c r="E284" t="s">
        <v>213</v>
      </c>
      <c r="O284" s="160"/>
    </row>
    <row r="285" spans="2:15">
      <c r="B285" s="146">
        <v>41156</v>
      </c>
      <c r="C285" t="s">
        <v>218</v>
      </c>
      <c r="D285" s="99">
        <v>26908</v>
      </c>
      <c r="E285" t="s">
        <v>210</v>
      </c>
      <c r="O285" s="160"/>
    </row>
    <row r="286" spans="2:15">
      <c r="B286" s="146">
        <v>41366</v>
      </c>
      <c r="C286" t="s">
        <v>217</v>
      </c>
      <c r="D286" s="99">
        <v>23222</v>
      </c>
      <c r="E286" t="s">
        <v>211</v>
      </c>
      <c r="O286" s="160"/>
    </row>
    <row r="287" spans="2:15">
      <c r="B287" s="146">
        <v>41975</v>
      </c>
      <c r="C287" t="s">
        <v>217</v>
      </c>
      <c r="D287" s="99">
        <v>23403</v>
      </c>
      <c r="E287" t="s">
        <v>211</v>
      </c>
      <c r="O287" s="160"/>
    </row>
    <row r="288" spans="2:15">
      <c r="B288" s="146">
        <v>41503</v>
      </c>
      <c r="C288" t="s">
        <v>220</v>
      </c>
      <c r="D288" s="99">
        <v>36229</v>
      </c>
      <c r="E288" t="s">
        <v>212</v>
      </c>
      <c r="O288" s="160"/>
    </row>
    <row r="289" spans="2:15">
      <c r="B289" s="146">
        <v>41294</v>
      </c>
      <c r="C289" t="s">
        <v>220</v>
      </c>
      <c r="D289" s="99">
        <v>21348</v>
      </c>
      <c r="E289" t="s">
        <v>212</v>
      </c>
      <c r="O289" s="160"/>
    </row>
    <row r="290" spans="2:15">
      <c r="B290" s="146">
        <v>41336</v>
      </c>
      <c r="C290" t="s">
        <v>217</v>
      </c>
      <c r="D290" s="99">
        <v>39602</v>
      </c>
      <c r="E290" t="s">
        <v>211</v>
      </c>
      <c r="O290" s="160"/>
    </row>
    <row r="291" spans="2:15">
      <c r="B291" s="146">
        <v>42000</v>
      </c>
      <c r="C291" t="s">
        <v>220</v>
      </c>
      <c r="D291" s="99">
        <v>13297</v>
      </c>
      <c r="E291" t="s">
        <v>210</v>
      </c>
      <c r="O291" s="160"/>
    </row>
    <row r="292" spans="2:15">
      <c r="B292" s="146">
        <v>41235</v>
      </c>
      <c r="C292" t="s">
        <v>219</v>
      </c>
      <c r="D292" s="99">
        <v>22360</v>
      </c>
      <c r="E292" t="s">
        <v>210</v>
      </c>
      <c r="O292" s="160"/>
    </row>
    <row r="293" spans="2:15">
      <c r="B293" s="146">
        <v>41228</v>
      </c>
      <c r="C293" t="s">
        <v>220</v>
      </c>
      <c r="D293" s="99">
        <v>22336</v>
      </c>
      <c r="E293" t="s">
        <v>211</v>
      </c>
      <c r="O293" s="160"/>
    </row>
    <row r="294" spans="2:15">
      <c r="B294" s="146">
        <v>41379</v>
      </c>
      <c r="C294" t="s">
        <v>220</v>
      </c>
      <c r="D294" s="99">
        <v>11340</v>
      </c>
      <c r="E294" t="s">
        <v>211</v>
      </c>
      <c r="O294" s="160"/>
    </row>
    <row r="295" spans="2:15">
      <c r="B295" s="146">
        <v>41913</v>
      </c>
      <c r="C295" t="s">
        <v>219</v>
      </c>
      <c r="D295" s="99">
        <v>36572</v>
      </c>
      <c r="E295" t="s">
        <v>211</v>
      </c>
      <c r="O295" s="160"/>
    </row>
    <row r="296" spans="2:15">
      <c r="B296" s="146">
        <v>41306</v>
      </c>
      <c r="C296" t="s">
        <v>217</v>
      </c>
      <c r="D296" s="99">
        <v>30948</v>
      </c>
      <c r="E296" t="s">
        <v>212</v>
      </c>
      <c r="O296" s="160"/>
    </row>
    <row r="297" spans="2:15">
      <c r="B297" s="146">
        <v>41700</v>
      </c>
      <c r="C297" t="s">
        <v>217</v>
      </c>
      <c r="D297" s="99">
        <v>6931</v>
      </c>
      <c r="E297" t="s">
        <v>213</v>
      </c>
      <c r="O297" s="160"/>
    </row>
    <row r="298" spans="2:15">
      <c r="B298" s="146">
        <v>41782</v>
      </c>
      <c r="C298" t="s">
        <v>219</v>
      </c>
      <c r="D298" s="99">
        <v>20305</v>
      </c>
      <c r="E298" t="s">
        <v>213</v>
      </c>
      <c r="O298" s="160"/>
    </row>
    <row r="299" spans="2:15">
      <c r="B299" s="146">
        <v>41969</v>
      </c>
      <c r="C299" t="s">
        <v>220</v>
      </c>
      <c r="D299" s="99">
        <v>14477</v>
      </c>
      <c r="E299" t="s">
        <v>212</v>
      </c>
      <c r="O299" s="160"/>
    </row>
    <row r="300" spans="2:15">
      <c r="B300" s="146">
        <v>41179</v>
      </c>
      <c r="C300" t="s">
        <v>219</v>
      </c>
      <c r="D300" s="99">
        <v>18870</v>
      </c>
      <c r="E300" t="s">
        <v>211</v>
      </c>
      <c r="O300" s="160"/>
    </row>
    <row r="301" spans="2:15">
      <c r="B301" s="146">
        <v>41914</v>
      </c>
      <c r="C301" t="s">
        <v>217</v>
      </c>
      <c r="D301" s="99">
        <v>15378</v>
      </c>
      <c r="E301" t="s">
        <v>212</v>
      </c>
      <c r="O301" s="160"/>
    </row>
    <row r="302" spans="2:15">
      <c r="B302" s="146">
        <v>41609</v>
      </c>
      <c r="C302" t="s">
        <v>218</v>
      </c>
      <c r="D302" s="99">
        <v>12244</v>
      </c>
      <c r="E302" t="s">
        <v>212</v>
      </c>
      <c r="O302" s="160"/>
    </row>
    <row r="303" spans="2:15">
      <c r="B303" s="146">
        <v>41833</v>
      </c>
      <c r="C303" t="s">
        <v>219</v>
      </c>
      <c r="D303" s="99">
        <v>21926</v>
      </c>
      <c r="E303" t="s">
        <v>211</v>
      </c>
      <c r="O303" s="160"/>
    </row>
    <row r="304" spans="2:15">
      <c r="B304" s="146">
        <v>41121</v>
      </c>
      <c r="C304" t="s">
        <v>219</v>
      </c>
      <c r="D304" s="99">
        <v>33863</v>
      </c>
      <c r="E304" t="s">
        <v>213</v>
      </c>
      <c r="O304" s="160"/>
    </row>
    <row r="305" spans="2:15">
      <c r="B305" s="146">
        <v>41859</v>
      </c>
      <c r="C305" t="s">
        <v>218</v>
      </c>
      <c r="D305" s="99">
        <v>29580</v>
      </c>
      <c r="E305" t="s">
        <v>213</v>
      </c>
      <c r="O305" s="160"/>
    </row>
    <row r="306" spans="2:15">
      <c r="B306" s="146">
        <v>41329</v>
      </c>
      <c r="C306" t="s">
        <v>220</v>
      </c>
      <c r="D306" s="99">
        <v>9642</v>
      </c>
      <c r="E306" t="s">
        <v>210</v>
      </c>
      <c r="O306" s="160"/>
    </row>
    <row r="307" spans="2:15">
      <c r="B307" s="146">
        <v>41632</v>
      </c>
      <c r="C307" t="s">
        <v>220</v>
      </c>
      <c r="D307" s="99">
        <v>39583</v>
      </c>
      <c r="E307" t="s">
        <v>211</v>
      </c>
      <c r="O307" s="160"/>
    </row>
    <row r="308" spans="2:15">
      <c r="B308" s="146">
        <v>41548</v>
      </c>
      <c r="C308" t="s">
        <v>218</v>
      </c>
      <c r="D308" s="99">
        <v>23092</v>
      </c>
      <c r="E308" t="s">
        <v>212</v>
      </c>
      <c r="O308" s="160"/>
    </row>
    <row r="309" spans="2:15">
      <c r="B309" s="146">
        <v>41745</v>
      </c>
      <c r="C309" t="s">
        <v>220</v>
      </c>
      <c r="D309" s="99">
        <v>37603</v>
      </c>
      <c r="E309" t="s">
        <v>210</v>
      </c>
      <c r="O309" s="160"/>
    </row>
    <row r="310" spans="2:15">
      <c r="B310" s="146">
        <v>41823</v>
      </c>
      <c r="C310" t="s">
        <v>219</v>
      </c>
      <c r="D310" s="99">
        <v>23225</v>
      </c>
      <c r="E310" t="s">
        <v>213</v>
      </c>
      <c r="O310" s="160"/>
    </row>
    <row r="311" spans="2:15">
      <c r="B311" s="146">
        <v>41870</v>
      </c>
      <c r="C311" t="s">
        <v>217</v>
      </c>
      <c r="D311" s="99">
        <v>36727</v>
      </c>
      <c r="E311" t="s">
        <v>213</v>
      </c>
      <c r="O311" s="160"/>
    </row>
    <row r="312" spans="2:15">
      <c r="B312" s="146">
        <v>41525</v>
      </c>
      <c r="C312" t="s">
        <v>217</v>
      </c>
      <c r="D312" s="99">
        <v>18744</v>
      </c>
      <c r="E312" t="s">
        <v>213</v>
      </c>
      <c r="O312" s="160"/>
    </row>
    <row r="313" spans="2:15">
      <c r="B313" s="146">
        <v>41563</v>
      </c>
      <c r="C313" t="s">
        <v>220</v>
      </c>
      <c r="D313" s="99">
        <v>36782</v>
      </c>
      <c r="E313" t="s">
        <v>213</v>
      </c>
      <c r="O313" s="160"/>
    </row>
    <row r="314" spans="2:15">
      <c r="B314" s="146">
        <v>41241</v>
      </c>
      <c r="C314" t="s">
        <v>217</v>
      </c>
      <c r="D314" s="99">
        <v>8210</v>
      </c>
      <c r="E314" t="s">
        <v>212</v>
      </c>
      <c r="O314" s="160"/>
    </row>
    <row r="315" spans="2:15">
      <c r="B315" s="146">
        <v>41458</v>
      </c>
      <c r="C315" t="s">
        <v>220</v>
      </c>
      <c r="D315" s="99">
        <v>7754</v>
      </c>
      <c r="E315" t="s">
        <v>210</v>
      </c>
      <c r="O315" s="160"/>
    </row>
    <row r="316" spans="2:15">
      <c r="B316" s="146">
        <v>41615</v>
      </c>
      <c r="C316" t="s">
        <v>220</v>
      </c>
      <c r="D316" s="99">
        <v>10142</v>
      </c>
      <c r="E316" t="s">
        <v>213</v>
      </c>
      <c r="O316" s="160"/>
    </row>
    <row r="317" spans="2:15">
      <c r="B317" s="146">
        <v>41159</v>
      </c>
      <c r="C317" t="s">
        <v>218</v>
      </c>
      <c r="D317" s="99">
        <v>27030</v>
      </c>
      <c r="E317" t="s">
        <v>211</v>
      </c>
      <c r="O317" s="160"/>
    </row>
    <row r="318" spans="2:15">
      <c r="B318" s="146">
        <v>41128</v>
      </c>
      <c r="C318" t="s">
        <v>219</v>
      </c>
      <c r="D318" s="99">
        <v>15267</v>
      </c>
      <c r="E318" t="s">
        <v>212</v>
      </c>
      <c r="O318" s="160"/>
    </row>
    <row r="319" spans="2:15">
      <c r="B319" s="146">
        <v>41359</v>
      </c>
      <c r="C319" t="s">
        <v>218</v>
      </c>
      <c r="D319" s="99">
        <v>25488</v>
      </c>
      <c r="E319" t="s">
        <v>212</v>
      </c>
      <c r="O319" s="160"/>
    </row>
    <row r="320" spans="2:15">
      <c r="B320" s="146">
        <v>41999</v>
      </c>
      <c r="C320" t="s">
        <v>218</v>
      </c>
      <c r="D320" s="99">
        <v>37862</v>
      </c>
      <c r="E320" t="s">
        <v>213</v>
      </c>
      <c r="O320" s="160"/>
    </row>
    <row r="321" spans="2:15">
      <c r="B321" s="146">
        <v>41418</v>
      </c>
      <c r="C321" t="s">
        <v>219</v>
      </c>
      <c r="D321" s="99">
        <v>19896</v>
      </c>
      <c r="E321" t="s">
        <v>213</v>
      </c>
      <c r="O321" s="160"/>
    </row>
    <row r="322" spans="2:15">
      <c r="B322" s="146">
        <v>41799</v>
      </c>
      <c r="C322" t="s">
        <v>219</v>
      </c>
      <c r="D322" s="99">
        <v>7845</v>
      </c>
      <c r="E322" t="s">
        <v>212</v>
      </c>
      <c r="O322" s="160"/>
    </row>
    <row r="323" spans="2:15">
      <c r="B323" s="146">
        <v>41686</v>
      </c>
      <c r="C323" t="s">
        <v>218</v>
      </c>
      <c r="D323" s="99">
        <v>14645</v>
      </c>
      <c r="E323" t="s">
        <v>210</v>
      </c>
      <c r="O323" s="160"/>
    </row>
    <row r="324" spans="2:15">
      <c r="B324" s="146">
        <v>41460</v>
      </c>
      <c r="C324" t="s">
        <v>219</v>
      </c>
      <c r="D324" s="99">
        <v>19302</v>
      </c>
      <c r="E324" t="s">
        <v>213</v>
      </c>
      <c r="O324" s="160"/>
    </row>
    <row r="325" spans="2:15">
      <c r="B325" s="146">
        <v>41179</v>
      </c>
      <c r="C325" t="s">
        <v>218</v>
      </c>
      <c r="D325" s="99">
        <v>18710</v>
      </c>
      <c r="E325" t="s">
        <v>212</v>
      </c>
      <c r="O325" s="160"/>
    </row>
    <row r="326" spans="2:15">
      <c r="B326" s="146">
        <v>41529</v>
      </c>
      <c r="C326" t="s">
        <v>218</v>
      </c>
      <c r="D326" s="99">
        <v>31821</v>
      </c>
      <c r="E326" t="s">
        <v>210</v>
      </c>
      <c r="O326" s="160"/>
    </row>
    <row r="327" spans="2:15">
      <c r="B327" s="146">
        <v>41551</v>
      </c>
      <c r="C327" t="s">
        <v>218</v>
      </c>
      <c r="D327" s="99">
        <v>7080</v>
      </c>
      <c r="E327" t="s">
        <v>210</v>
      </c>
      <c r="O327" s="160"/>
    </row>
    <row r="328" spans="2:15">
      <c r="B328" s="146">
        <v>41217</v>
      </c>
      <c r="C328" t="s">
        <v>219</v>
      </c>
      <c r="D328" s="99">
        <v>34667</v>
      </c>
      <c r="E328" t="s">
        <v>212</v>
      </c>
      <c r="O328" s="160"/>
    </row>
    <row r="329" spans="2:15">
      <c r="B329" s="146">
        <v>41814</v>
      </c>
      <c r="C329" t="s">
        <v>217</v>
      </c>
      <c r="D329" s="99">
        <v>21773</v>
      </c>
      <c r="E329" t="s">
        <v>211</v>
      </c>
      <c r="O329" s="160"/>
    </row>
    <row r="330" spans="2:15">
      <c r="B330" s="146">
        <v>41692</v>
      </c>
      <c r="C330" t="s">
        <v>218</v>
      </c>
      <c r="D330" s="99">
        <v>38052</v>
      </c>
      <c r="E330" t="s">
        <v>213</v>
      </c>
      <c r="O330" s="160"/>
    </row>
    <row r="331" spans="2:15">
      <c r="B331" s="146">
        <v>41612</v>
      </c>
      <c r="C331" t="s">
        <v>219</v>
      </c>
      <c r="D331" s="99">
        <v>25198</v>
      </c>
      <c r="E331" t="s">
        <v>213</v>
      </c>
      <c r="O331" s="160"/>
    </row>
    <row r="332" spans="2:15">
      <c r="B332" s="146">
        <v>41397</v>
      </c>
      <c r="C332" t="s">
        <v>218</v>
      </c>
      <c r="D332" s="99">
        <v>23822</v>
      </c>
      <c r="E332" t="s">
        <v>210</v>
      </c>
      <c r="O332" s="160"/>
    </row>
    <row r="333" spans="2:15">
      <c r="B333" s="146">
        <v>42010</v>
      </c>
      <c r="C333" t="s">
        <v>220</v>
      </c>
      <c r="D333" s="99">
        <v>29015</v>
      </c>
      <c r="E333" t="s">
        <v>211</v>
      </c>
      <c r="O333" s="160"/>
    </row>
    <row r="334" spans="2:15">
      <c r="B334" s="146">
        <v>41321</v>
      </c>
      <c r="C334" t="s">
        <v>218</v>
      </c>
      <c r="D334" s="99">
        <v>31400</v>
      </c>
      <c r="E334" t="s">
        <v>212</v>
      </c>
      <c r="O334" s="160"/>
    </row>
    <row r="335" spans="2:15">
      <c r="B335" s="146">
        <v>41391</v>
      </c>
      <c r="C335" t="s">
        <v>219</v>
      </c>
      <c r="D335" s="99">
        <v>30051</v>
      </c>
      <c r="E335" t="s">
        <v>212</v>
      </c>
      <c r="O335" s="160"/>
    </row>
    <row r="336" spans="2:15">
      <c r="B336" s="146">
        <v>41687</v>
      </c>
      <c r="C336" t="s">
        <v>217</v>
      </c>
      <c r="D336" s="99">
        <v>34421</v>
      </c>
      <c r="E336" t="s">
        <v>213</v>
      </c>
      <c r="O336" s="160"/>
    </row>
    <row r="337" spans="2:15">
      <c r="B337" s="146">
        <v>42014</v>
      </c>
      <c r="C337" t="s">
        <v>220</v>
      </c>
      <c r="D337" s="99">
        <v>11497</v>
      </c>
      <c r="E337" t="s">
        <v>213</v>
      </c>
      <c r="O337" s="160"/>
    </row>
    <row r="338" spans="2:15">
      <c r="B338" s="146">
        <v>41392</v>
      </c>
      <c r="C338" t="s">
        <v>220</v>
      </c>
      <c r="D338" s="99">
        <v>18690</v>
      </c>
      <c r="E338" t="s">
        <v>211</v>
      </c>
      <c r="O338" s="160"/>
    </row>
    <row r="339" spans="2:15">
      <c r="B339" s="146">
        <v>41749</v>
      </c>
      <c r="C339" t="s">
        <v>217</v>
      </c>
      <c r="D339" s="99">
        <v>23180</v>
      </c>
      <c r="E339" t="s">
        <v>213</v>
      </c>
      <c r="O339" s="160"/>
    </row>
    <row r="340" spans="2:15">
      <c r="B340" s="146">
        <v>41221</v>
      </c>
      <c r="C340" t="s">
        <v>217</v>
      </c>
      <c r="D340" s="99">
        <v>27823</v>
      </c>
      <c r="E340" t="s">
        <v>212</v>
      </c>
      <c r="O340" s="160"/>
    </row>
    <row r="341" spans="2:15">
      <c r="B341" s="146">
        <v>41484</v>
      </c>
      <c r="C341" t="s">
        <v>218</v>
      </c>
      <c r="D341" s="99">
        <v>20519</v>
      </c>
      <c r="E341" t="s">
        <v>213</v>
      </c>
      <c r="O341" s="160"/>
    </row>
    <row r="342" spans="2:15">
      <c r="B342" s="146">
        <v>41572</v>
      </c>
      <c r="C342" t="s">
        <v>219</v>
      </c>
      <c r="D342" s="99">
        <v>9830</v>
      </c>
      <c r="E342" t="s">
        <v>210</v>
      </c>
      <c r="O342" s="160"/>
    </row>
    <row r="343" spans="2:15">
      <c r="B343" s="146">
        <v>41280</v>
      </c>
      <c r="C343" t="s">
        <v>219</v>
      </c>
      <c r="D343" s="99">
        <v>25381</v>
      </c>
      <c r="E343" t="s">
        <v>212</v>
      </c>
      <c r="O343" s="160"/>
    </row>
    <row r="344" spans="2:15">
      <c r="B344" s="146">
        <v>41371</v>
      </c>
      <c r="C344" t="s">
        <v>217</v>
      </c>
      <c r="D344" s="99">
        <v>36474</v>
      </c>
      <c r="E344" t="s">
        <v>212</v>
      </c>
      <c r="O344" s="160"/>
    </row>
    <row r="345" spans="2:15">
      <c r="B345" s="146">
        <v>41510</v>
      </c>
      <c r="C345" t="s">
        <v>219</v>
      </c>
      <c r="D345" s="99">
        <v>31868</v>
      </c>
      <c r="E345" t="s">
        <v>213</v>
      </c>
      <c r="O345" s="160"/>
    </row>
    <row r="346" spans="2:15">
      <c r="B346" s="146">
        <v>41538</v>
      </c>
      <c r="C346" t="s">
        <v>217</v>
      </c>
      <c r="D346" s="99">
        <v>20157</v>
      </c>
      <c r="E346" t="s">
        <v>212</v>
      </c>
      <c r="O346" s="160"/>
    </row>
    <row r="347" spans="2:15">
      <c r="B347" s="146">
        <v>41593</v>
      </c>
      <c r="C347" t="s">
        <v>217</v>
      </c>
      <c r="D347" s="99">
        <v>36493</v>
      </c>
      <c r="E347" t="s">
        <v>213</v>
      </c>
      <c r="O347" s="160"/>
    </row>
    <row r="348" spans="2:15">
      <c r="B348" s="146">
        <v>41821</v>
      </c>
      <c r="C348" t="s">
        <v>218</v>
      </c>
      <c r="D348" s="99">
        <v>13722</v>
      </c>
      <c r="E348" t="s">
        <v>211</v>
      </c>
      <c r="O348" s="160"/>
    </row>
    <row r="349" spans="2:15">
      <c r="B349" s="146">
        <v>41295</v>
      </c>
      <c r="C349" t="s">
        <v>218</v>
      </c>
      <c r="D349" s="99">
        <v>22149</v>
      </c>
      <c r="E349" t="s">
        <v>211</v>
      </c>
      <c r="O349" s="160"/>
    </row>
    <row r="350" spans="2:15">
      <c r="B350" s="146">
        <v>41526</v>
      </c>
      <c r="C350" t="s">
        <v>217</v>
      </c>
      <c r="D350" s="99">
        <v>24392</v>
      </c>
      <c r="E350" t="s">
        <v>212</v>
      </c>
      <c r="O350" s="160"/>
    </row>
    <row r="351" spans="2:15">
      <c r="B351" s="146">
        <v>41324</v>
      </c>
      <c r="C351" t="s">
        <v>219</v>
      </c>
      <c r="D351" s="99">
        <v>21329</v>
      </c>
      <c r="E351" t="s">
        <v>211</v>
      </c>
      <c r="O351" s="160"/>
    </row>
    <row r="352" spans="2:15">
      <c r="B352" s="146">
        <v>41254</v>
      </c>
      <c r="C352" t="s">
        <v>219</v>
      </c>
      <c r="D352" s="99">
        <v>35654</v>
      </c>
      <c r="E352" t="s">
        <v>213</v>
      </c>
      <c r="O352" s="160"/>
    </row>
    <row r="353" spans="2:15">
      <c r="B353" s="146">
        <v>41424</v>
      </c>
      <c r="C353" t="s">
        <v>219</v>
      </c>
      <c r="D353" s="99">
        <v>5920</v>
      </c>
      <c r="E353" t="s">
        <v>210</v>
      </c>
      <c r="O353" s="160"/>
    </row>
    <row r="354" spans="2:15">
      <c r="B354" s="146">
        <v>41222</v>
      </c>
      <c r="C354" t="s">
        <v>220</v>
      </c>
      <c r="D354" s="99">
        <v>34560</v>
      </c>
      <c r="E354" t="s">
        <v>212</v>
      </c>
      <c r="O354" s="160"/>
    </row>
    <row r="355" spans="2:15">
      <c r="B355" s="146">
        <v>41416</v>
      </c>
      <c r="C355" t="s">
        <v>217</v>
      </c>
      <c r="D355" s="99">
        <v>26883</v>
      </c>
      <c r="E355" t="s">
        <v>213</v>
      </c>
      <c r="O355" s="160"/>
    </row>
    <row r="356" spans="2:15">
      <c r="B356" s="146">
        <v>41137</v>
      </c>
      <c r="C356" t="s">
        <v>217</v>
      </c>
      <c r="D356" s="99">
        <v>39154</v>
      </c>
      <c r="E356" t="s">
        <v>211</v>
      </c>
      <c r="O356" s="160"/>
    </row>
    <row r="357" spans="2:15">
      <c r="B357" s="146">
        <v>41920</v>
      </c>
      <c r="C357" t="s">
        <v>220</v>
      </c>
      <c r="D357" s="99">
        <v>17246</v>
      </c>
      <c r="E357" t="s">
        <v>210</v>
      </c>
      <c r="O357" s="160"/>
    </row>
    <row r="358" spans="2:15">
      <c r="B358" s="146">
        <v>41245</v>
      </c>
      <c r="C358" t="s">
        <v>217</v>
      </c>
      <c r="D358" s="99">
        <v>18869</v>
      </c>
      <c r="E358" t="s">
        <v>210</v>
      </c>
      <c r="O358" s="160"/>
    </row>
    <row r="359" spans="2:15">
      <c r="B359" s="146">
        <v>42009</v>
      </c>
      <c r="C359" t="s">
        <v>220</v>
      </c>
      <c r="D359" s="99">
        <v>14152</v>
      </c>
      <c r="E359" t="s">
        <v>212</v>
      </c>
      <c r="O359" s="160"/>
    </row>
    <row r="360" spans="2:15">
      <c r="B360" s="146">
        <v>41303</v>
      </c>
      <c r="C360" t="s">
        <v>219</v>
      </c>
      <c r="D360" s="99">
        <v>19638</v>
      </c>
      <c r="E360" t="s">
        <v>212</v>
      </c>
      <c r="O360" s="160"/>
    </row>
    <row r="361" spans="2:15">
      <c r="B361" s="146">
        <v>42002</v>
      </c>
      <c r="C361" t="s">
        <v>219</v>
      </c>
      <c r="D361" s="99">
        <v>14885</v>
      </c>
      <c r="E361" t="s">
        <v>212</v>
      </c>
      <c r="O361" s="160"/>
    </row>
    <row r="362" spans="2:15">
      <c r="B362" s="146">
        <v>41865</v>
      </c>
      <c r="C362" t="s">
        <v>217</v>
      </c>
      <c r="D362" s="99">
        <v>14833</v>
      </c>
      <c r="E362" t="s">
        <v>213</v>
      </c>
      <c r="O362" s="160"/>
    </row>
    <row r="363" spans="2:15">
      <c r="B363" s="146">
        <v>41600</v>
      </c>
      <c r="C363" t="s">
        <v>219</v>
      </c>
      <c r="D363" s="99">
        <v>33755</v>
      </c>
      <c r="E363" t="s">
        <v>211</v>
      </c>
      <c r="O363" s="160"/>
    </row>
    <row r="364" spans="2:15">
      <c r="B364" s="146">
        <v>41378</v>
      </c>
      <c r="C364" t="s">
        <v>218</v>
      </c>
      <c r="D364" s="99">
        <v>11240</v>
      </c>
      <c r="E364" t="s">
        <v>210</v>
      </c>
      <c r="O364" s="160"/>
    </row>
    <row r="365" spans="2:15">
      <c r="B365" s="146">
        <v>41176</v>
      </c>
      <c r="C365" t="s">
        <v>220</v>
      </c>
      <c r="D365" s="99">
        <v>29589</v>
      </c>
      <c r="E365" t="s">
        <v>210</v>
      </c>
      <c r="O365" s="160"/>
    </row>
    <row r="366" spans="2:15">
      <c r="B366" s="146">
        <v>41910</v>
      </c>
      <c r="C366" t="s">
        <v>217</v>
      </c>
      <c r="D366" s="99">
        <v>19248</v>
      </c>
      <c r="E366" t="s">
        <v>210</v>
      </c>
      <c r="O366" s="160"/>
    </row>
    <row r="367" spans="2:15">
      <c r="B367" s="146">
        <v>41645</v>
      </c>
      <c r="C367" t="s">
        <v>218</v>
      </c>
      <c r="D367" s="99">
        <v>15991</v>
      </c>
      <c r="E367" t="s">
        <v>213</v>
      </c>
      <c r="O367" s="160"/>
    </row>
    <row r="368" spans="2:15">
      <c r="B368" s="146">
        <v>41668</v>
      </c>
      <c r="C368" t="s">
        <v>218</v>
      </c>
      <c r="D368" s="99">
        <v>9559</v>
      </c>
      <c r="E368" t="s">
        <v>210</v>
      </c>
      <c r="O368" s="160"/>
    </row>
    <row r="369" spans="2:15">
      <c r="B369" s="146">
        <v>41360</v>
      </c>
      <c r="C369" t="s">
        <v>219</v>
      </c>
      <c r="D369" s="99">
        <v>33225</v>
      </c>
      <c r="E369" t="s">
        <v>210</v>
      </c>
      <c r="O369" s="160"/>
    </row>
    <row r="370" spans="2:15">
      <c r="B370" s="146">
        <v>41252</v>
      </c>
      <c r="C370" t="s">
        <v>219</v>
      </c>
      <c r="D370" s="99">
        <v>28275</v>
      </c>
      <c r="E370" t="s">
        <v>210</v>
      </c>
      <c r="O370" s="160"/>
    </row>
    <row r="371" spans="2:15">
      <c r="B371" s="146">
        <v>41850</v>
      </c>
      <c r="C371" t="s">
        <v>219</v>
      </c>
      <c r="D371" s="99">
        <v>8637</v>
      </c>
      <c r="E371" t="s">
        <v>210</v>
      </c>
      <c r="O371" s="160"/>
    </row>
    <row r="372" spans="2:15">
      <c r="B372" s="146">
        <v>41145</v>
      </c>
      <c r="C372" t="s">
        <v>219</v>
      </c>
      <c r="D372" s="99">
        <v>15355</v>
      </c>
      <c r="E372" t="s">
        <v>213</v>
      </c>
      <c r="O372" s="160"/>
    </row>
    <row r="373" spans="2:15">
      <c r="B373" s="146">
        <v>41900</v>
      </c>
      <c r="C373" t="s">
        <v>219</v>
      </c>
      <c r="D373" s="99">
        <v>7225</v>
      </c>
      <c r="E373" t="s">
        <v>212</v>
      </c>
      <c r="O373" s="160"/>
    </row>
    <row r="374" spans="2:15">
      <c r="B374" s="146">
        <v>41921</v>
      </c>
      <c r="C374" t="s">
        <v>220</v>
      </c>
      <c r="D374" s="99">
        <v>39385</v>
      </c>
      <c r="E374" t="s">
        <v>211</v>
      </c>
      <c r="O374" s="160"/>
    </row>
    <row r="375" spans="2:15">
      <c r="B375" s="146">
        <v>41593</v>
      </c>
      <c r="C375" t="s">
        <v>219</v>
      </c>
      <c r="D375" s="99">
        <v>12374</v>
      </c>
      <c r="E375" t="s">
        <v>213</v>
      </c>
      <c r="O375" s="160"/>
    </row>
    <row r="376" spans="2:15">
      <c r="B376" s="146">
        <v>41590</v>
      </c>
      <c r="C376" t="s">
        <v>217</v>
      </c>
      <c r="D376" s="99">
        <v>8364</v>
      </c>
      <c r="E376" t="s">
        <v>210</v>
      </c>
      <c r="O376" s="160"/>
    </row>
    <row r="377" spans="2:15">
      <c r="B377" s="146">
        <v>41560</v>
      </c>
      <c r="C377" t="s">
        <v>217</v>
      </c>
      <c r="D377" s="99">
        <v>29741</v>
      </c>
      <c r="E377" t="s">
        <v>210</v>
      </c>
      <c r="O377" s="160"/>
    </row>
    <row r="378" spans="2:15">
      <c r="B378" s="146">
        <v>41322</v>
      </c>
      <c r="C378" t="s">
        <v>220</v>
      </c>
      <c r="D378" s="99">
        <v>10540</v>
      </c>
      <c r="E378" t="s">
        <v>211</v>
      </c>
      <c r="O378" s="160"/>
    </row>
    <row r="379" spans="2:15">
      <c r="B379" s="146">
        <v>41953</v>
      </c>
      <c r="C379" t="s">
        <v>217</v>
      </c>
      <c r="D379" s="99">
        <v>33269</v>
      </c>
      <c r="E379" t="s">
        <v>210</v>
      </c>
      <c r="O379" s="160"/>
    </row>
    <row r="380" spans="2:15">
      <c r="B380" s="146">
        <v>41455</v>
      </c>
      <c r="C380" t="s">
        <v>218</v>
      </c>
      <c r="D380" s="99">
        <v>18541</v>
      </c>
      <c r="E380" t="s">
        <v>212</v>
      </c>
      <c r="O380" s="160"/>
    </row>
    <row r="381" spans="2:15">
      <c r="B381" s="146">
        <v>41205</v>
      </c>
      <c r="C381" t="s">
        <v>218</v>
      </c>
      <c r="D381" s="99">
        <v>14467</v>
      </c>
      <c r="E381" t="s">
        <v>210</v>
      </c>
      <c r="O381" s="160"/>
    </row>
    <row r="382" spans="2:15">
      <c r="B382" s="146">
        <v>41607</v>
      </c>
      <c r="C382" t="s">
        <v>220</v>
      </c>
      <c r="D382" s="99">
        <v>19444</v>
      </c>
      <c r="E382" t="s">
        <v>212</v>
      </c>
      <c r="O382" s="160"/>
    </row>
    <row r="383" spans="2:15">
      <c r="B383" s="146">
        <v>41234</v>
      </c>
      <c r="C383" t="s">
        <v>219</v>
      </c>
      <c r="D383" s="99">
        <v>32603</v>
      </c>
      <c r="E383" t="s">
        <v>211</v>
      </c>
      <c r="O383" s="160"/>
    </row>
    <row r="384" spans="2:15">
      <c r="B384" s="146">
        <v>41948</v>
      </c>
      <c r="C384" t="s">
        <v>219</v>
      </c>
      <c r="D384" s="99">
        <v>27914</v>
      </c>
      <c r="E384" t="s">
        <v>211</v>
      </c>
      <c r="O384" s="160"/>
    </row>
    <row r="385" spans="2:15">
      <c r="B385" s="146">
        <v>41528</v>
      </c>
      <c r="C385" t="s">
        <v>217</v>
      </c>
      <c r="D385" s="99">
        <v>7556</v>
      </c>
      <c r="E385" t="s">
        <v>210</v>
      </c>
      <c r="O385" s="160"/>
    </row>
    <row r="386" spans="2:15">
      <c r="B386" s="146">
        <v>41139</v>
      </c>
      <c r="C386" t="s">
        <v>220</v>
      </c>
      <c r="D386" s="99">
        <v>13686</v>
      </c>
      <c r="E386" t="s">
        <v>212</v>
      </c>
      <c r="O386" s="160"/>
    </row>
    <row r="387" spans="2:15">
      <c r="B387" s="146">
        <v>41614</v>
      </c>
      <c r="C387" t="s">
        <v>218</v>
      </c>
      <c r="D387" s="99">
        <v>22597</v>
      </c>
      <c r="E387" t="s">
        <v>210</v>
      </c>
      <c r="O387" s="160"/>
    </row>
    <row r="388" spans="2:15">
      <c r="B388" s="146">
        <v>41587</v>
      </c>
      <c r="C388" t="s">
        <v>220</v>
      </c>
      <c r="D388" s="99">
        <v>21810</v>
      </c>
      <c r="E388" t="s">
        <v>213</v>
      </c>
      <c r="O388" s="160"/>
    </row>
    <row r="389" spans="2:15">
      <c r="B389" s="146">
        <v>41726</v>
      </c>
      <c r="C389" t="s">
        <v>217</v>
      </c>
      <c r="D389" s="99">
        <v>24095</v>
      </c>
      <c r="E389" t="s">
        <v>212</v>
      </c>
      <c r="O389" s="160"/>
    </row>
    <row r="390" spans="2:15">
      <c r="B390" s="146">
        <v>41357</v>
      </c>
      <c r="C390" t="s">
        <v>217</v>
      </c>
      <c r="D390" s="99">
        <v>20474</v>
      </c>
      <c r="E390" t="s">
        <v>213</v>
      </c>
      <c r="O390" s="160"/>
    </row>
    <row r="391" spans="2:15">
      <c r="B391" s="146">
        <v>41782</v>
      </c>
      <c r="C391" t="s">
        <v>220</v>
      </c>
      <c r="D391" s="99">
        <v>10833</v>
      </c>
      <c r="E391" t="s">
        <v>210</v>
      </c>
      <c r="O391" s="160"/>
    </row>
    <row r="392" spans="2:15">
      <c r="B392" s="146">
        <v>41635</v>
      </c>
      <c r="C392" t="s">
        <v>219</v>
      </c>
      <c r="D392" s="99">
        <v>34723</v>
      </c>
      <c r="E392" t="s">
        <v>212</v>
      </c>
      <c r="O392" s="160"/>
    </row>
    <row r="393" spans="2:15">
      <c r="B393" s="146">
        <v>41418</v>
      </c>
      <c r="C393" t="s">
        <v>218</v>
      </c>
      <c r="D393" s="99">
        <v>20138</v>
      </c>
      <c r="E393" t="s">
        <v>213</v>
      </c>
      <c r="O393" s="160"/>
    </row>
    <row r="394" spans="2:15">
      <c r="B394" s="146">
        <v>41349</v>
      </c>
      <c r="C394" t="s">
        <v>218</v>
      </c>
      <c r="D394" s="99">
        <v>23628</v>
      </c>
      <c r="E394" t="s">
        <v>210</v>
      </c>
      <c r="O394" s="160"/>
    </row>
    <row r="395" spans="2:15">
      <c r="B395" s="146">
        <v>41247</v>
      </c>
      <c r="C395" t="s">
        <v>217</v>
      </c>
      <c r="D395" s="99">
        <v>32926</v>
      </c>
      <c r="E395" t="s">
        <v>212</v>
      </c>
      <c r="O395" s="160"/>
    </row>
    <row r="396" spans="2:15">
      <c r="B396" s="146">
        <v>41438</v>
      </c>
      <c r="C396" t="s">
        <v>219</v>
      </c>
      <c r="D396" s="99">
        <v>29953</v>
      </c>
      <c r="E396" t="s">
        <v>213</v>
      </c>
      <c r="O396" s="160"/>
    </row>
    <row r="397" spans="2:15">
      <c r="B397" s="146">
        <v>41941</v>
      </c>
      <c r="C397" t="s">
        <v>217</v>
      </c>
      <c r="D397" s="99">
        <v>24186</v>
      </c>
      <c r="E397" t="s">
        <v>210</v>
      </c>
      <c r="O397" s="160"/>
    </row>
    <row r="398" spans="2:15">
      <c r="B398" s="146">
        <v>41240</v>
      </c>
      <c r="C398" t="s">
        <v>217</v>
      </c>
      <c r="D398" s="99">
        <v>14011</v>
      </c>
      <c r="E398" t="s">
        <v>211</v>
      </c>
      <c r="O398" s="160"/>
    </row>
    <row r="399" spans="2:15">
      <c r="B399" s="146">
        <v>41189</v>
      </c>
      <c r="C399" t="s">
        <v>219</v>
      </c>
      <c r="D399" s="99">
        <v>31404</v>
      </c>
      <c r="E399" t="s">
        <v>210</v>
      </c>
      <c r="O399" s="160"/>
    </row>
    <row r="400" spans="2:15">
      <c r="B400" s="146">
        <v>41242</v>
      </c>
      <c r="C400" t="s">
        <v>220</v>
      </c>
      <c r="D400" s="99">
        <v>8916</v>
      </c>
      <c r="E400" t="s">
        <v>212</v>
      </c>
      <c r="O400" s="160"/>
    </row>
    <row r="401" spans="2:15">
      <c r="B401" s="146">
        <v>41355</v>
      </c>
      <c r="C401" t="s">
        <v>217</v>
      </c>
      <c r="D401" s="99">
        <v>38484</v>
      </c>
      <c r="E401" t="s">
        <v>210</v>
      </c>
      <c r="O401" s="160"/>
    </row>
    <row r="402" spans="2:15">
      <c r="B402" s="146">
        <v>41272</v>
      </c>
      <c r="C402" t="s">
        <v>217</v>
      </c>
      <c r="D402" s="99">
        <v>12404</v>
      </c>
      <c r="E402" t="s">
        <v>212</v>
      </c>
      <c r="O402" s="160"/>
    </row>
    <row r="403" spans="2:15">
      <c r="B403" s="146">
        <v>41556</v>
      </c>
      <c r="C403" t="s">
        <v>218</v>
      </c>
      <c r="D403" s="99">
        <v>5904</v>
      </c>
      <c r="E403" t="s">
        <v>210</v>
      </c>
      <c r="O403" s="160"/>
    </row>
    <row r="404" spans="2:15">
      <c r="B404" s="146">
        <v>41205</v>
      </c>
      <c r="C404" t="s">
        <v>218</v>
      </c>
      <c r="D404" s="99">
        <v>36928</v>
      </c>
      <c r="E404" t="s">
        <v>211</v>
      </c>
      <c r="O404" s="160"/>
    </row>
    <row r="405" spans="2:15">
      <c r="B405" s="146">
        <v>41798</v>
      </c>
      <c r="C405" t="s">
        <v>218</v>
      </c>
      <c r="D405" s="99">
        <v>6487</v>
      </c>
      <c r="E405" t="s">
        <v>213</v>
      </c>
      <c r="O405" s="160"/>
    </row>
    <row r="406" spans="2:15">
      <c r="B406" s="146">
        <v>41311</v>
      </c>
      <c r="C406" t="s">
        <v>218</v>
      </c>
      <c r="D406" s="99">
        <v>6515</v>
      </c>
      <c r="E406" t="s">
        <v>211</v>
      </c>
      <c r="O406" s="160"/>
    </row>
    <row r="407" spans="2:15">
      <c r="B407" s="146">
        <v>41173</v>
      </c>
      <c r="C407" t="s">
        <v>219</v>
      </c>
      <c r="D407" s="99">
        <v>30574</v>
      </c>
      <c r="E407" t="s">
        <v>210</v>
      </c>
      <c r="O407" s="160"/>
    </row>
    <row r="408" spans="2:15">
      <c r="B408" s="146">
        <v>41516</v>
      </c>
      <c r="C408" t="s">
        <v>218</v>
      </c>
      <c r="D408" s="99">
        <v>26679</v>
      </c>
      <c r="E408" t="s">
        <v>211</v>
      </c>
      <c r="O408" s="160"/>
    </row>
    <row r="409" spans="2:15">
      <c r="B409" s="146">
        <v>41504</v>
      </c>
      <c r="C409" t="s">
        <v>218</v>
      </c>
      <c r="D409" s="99">
        <v>19627</v>
      </c>
      <c r="E409" t="s">
        <v>211</v>
      </c>
      <c r="O409" s="160"/>
    </row>
    <row r="410" spans="2:15">
      <c r="B410" s="146">
        <v>41869</v>
      </c>
      <c r="C410" t="s">
        <v>218</v>
      </c>
      <c r="D410" s="99">
        <v>28768</v>
      </c>
      <c r="E410" t="s">
        <v>211</v>
      </c>
      <c r="O410" s="160"/>
    </row>
    <row r="411" spans="2:15">
      <c r="B411" s="146">
        <v>41239</v>
      </c>
      <c r="C411" t="s">
        <v>220</v>
      </c>
      <c r="D411" s="99">
        <v>5894</v>
      </c>
      <c r="E411" t="s">
        <v>210</v>
      </c>
      <c r="O411" s="160"/>
    </row>
    <row r="412" spans="2:15">
      <c r="B412" s="146">
        <v>41542</v>
      </c>
      <c r="C412" t="s">
        <v>220</v>
      </c>
      <c r="D412" s="99">
        <v>29436</v>
      </c>
      <c r="E412" t="s">
        <v>210</v>
      </c>
      <c r="O412" s="160"/>
    </row>
    <row r="413" spans="2:15">
      <c r="B413" s="146">
        <v>41498</v>
      </c>
      <c r="C413" t="s">
        <v>218</v>
      </c>
      <c r="D413" s="99">
        <v>38459</v>
      </c>
      <c r="E413" t="s">
        <v>211</v>
      </c>
      <c r="O413" s="160"/>
    </row>
    <row r="414" spans="2:15">
      <c r="B414" s="146">
        <v>41869</v>
      </c>
      <c r="C414" t="s">
        <v>219</v>
      </c>
      <c r="D414" s="99">
        <v>16947</v>
      </c>
      <c r="E414" t="s">
        <v>212</v>
      </c>
      <c r="O414" s="160"/>
    </row>
    <row r="415" spans="2:15">
      <c r="B415" s="146">
        <v>41259</v>
      </c>
      <c r="C415" t="s">
        <v>218</v>
      </c>
      <c r="D415" s="99">
        <v>32350</v>
      </c>
      <c r="E415" t="s">
        <v>210</v>
      </c>
      <c r="O415" s="160"/>
    </row>
    <row r="416" spans="2:15">
      <c r="B416" s="146">
        <v>41149</v>
      </c>
      <c r="C416" t="s">
        <v>219</v>
      </c>
      <c r="D416" s="99">
        <v>22434</v>
      </c>
      <c r="E416" t="s">
        <v>211</v>
      </c>
      <c r="O416" s="160"/>
    </row>
    <row r="417" spans="2:15">
      <c r="B417" s="146">
        <v>41412</v>
      </c>
      <c r="C417" t="s">
        <v>217</v>
      </c>
      <c r="D417" s="99">
        <v>31212</v>
      </c>
      <c r="E417" t="s">
        <v>211</v>
      </c>
      <c r="O417" s="160"/>
    </row>
    <row r="418" spans="2:15">
      <c r="B418" s="146">
        <v>41822</v>
      </c>
      <c r="C418" t="s">
        <v>220</v>
      </c>
      <c r="D418" s="99">
        <v>10688</v>
      </c>
      <c r="E418" t="s">
        <v>211</v>
      </c>
      <c r="O418" s="160"/>
    </row>
    <row r="419" spans="2:15">
      <c r="B419" s="146">
        <v>41123</v>
      </c>
      <c r="C419" t="s">
        <v>218</v>
      </c>
      <c r="D419" s="99">
        <v>7588</v>
      </c>
      <c r="E419" t="s">
        <v>212</v>
      </c>
      <c r="O419" s="160"/>
    </row>
    <row r="420" spans="2:15">
      <c r="B420" s="146">
        <v>41152</v>
      </c>
      <c r="C420" t="s">
        <v>220</v>
      </c>
      <c r="D420" s="99">
        <v>27117</v>
      </c>
      <c r="E420" t="s">
        <v>212</v>
      </c>
      <c r="O420" s="160"/>
    </row>
    <row r="421" spans="2:15">
      <c r="B421" s="146">
        <v>41173</v>
      </c>
      <c r="C421" t="s">
        <v>220</v>
      </c>
      <c r="D421" s="99">
        <v>39737</v>
      </c>
      <c r="E421" t="s">
        <v>211</v>
      </c>
      <c r="O421" s="160"/>
    </row>
    <row r="422" spans="2:15">
      <c r="B422" s="146">
        <v>41227</v>
      </c>
      <c r="C422" t="s">
        <v>220</v>
      </c>
      <c r="D422" s="99">
        <v>36492</v>
      </c>
      <c r="E422" t="s">
        <v>211</v>
      </c>
      <c r="O422" s="160"/>
    </row>
    <row r="423" spans="2:15">
      <c r="B423" s="146">
        <v>41173</v>
      </c>
      <c r="C423" t="s">
        <v>219</v>
      </c>
      <c r="D423" s="99">
        <v>39035</v>
      </c>
      <c r="E423" t="s">
        <v>210</v>
      </c>
      <c r="O423" s="160"/>
    </row>
    <row r="424" spans="2:15">
      <c r="B424" s="146">
        <v>41931</v>
      </c>
      <c r="C424" t="s">
        <v>219</v>
      </c>
      <c r="D424" s="99">
        <v>16243</v>
      </c>
      <c r="E424" t="s">
        <v>213</v>
      </c>
      <c r="O424" s="160"/>
    </row>
    <row r="425" spans="2:15">
      <c r="B425" s="146">
        <v>41777</v>
      </c>
      <c r="C425" t="s">
        <v>217</v>
      </c>
      <c r="D425" s="99">
        <v>5251</v>
      </c>
      <c r="E425" t="s">
        <v>211</v>
      </c>
      <c r="O425" s="160"/>
    </row>
    <row r="426" spans="2:15">
      <c r="B426" s="146">
        <v>41940</v>
      </c>
      <c r="C426" t="s">
        <v>219</v>
      </c>
      <c r="D426" s="99">
        <v>15811</v>
      </c>
      <c r="E426" t="s">
        <v>213</v>
      </c>
      <c r="O426" s="160"/>
    </row>
    <row r="427" spans="2:15">
      <c r="B427" s="146">
        <v>41326</v>
      </c>
      <c r="C427" t="s">
        <v>220</v>
      </c>
      <c r="D427" s="99">
        <v>11775</v>
      </c>
      <c r="E427" t="s">
        <v>211</v>
      </c>
      <c r="O427" s="160"/>
    </row>
    <row r="428" spans="2:15">
      <c r="B428" s="146">
        <v>41514</v>
      </c>
      <c r="C428" t="s">
        <v>220</v>
      </c>
      <c r="D428" s="99">
        <v>7240</v>
      </c>
      <c r="E428" t="s">
        <v>211</v>
      </c>
      <c r="O428" s="160"/>
    </row>
    <row r="429" spans="2:15">
      <c r="B429" s="146">
        <v>41777</v>
      </c>
      <c r="C429" t="s">
        <v>217</v>
      </c>
      <c r="D429" s="99">
        <v>36228</v>
      </c>
      <c r="E429" t="s">
        <v>212</v>
      </c>
      <c r="O429" s="160"/>
    </row>
    <row r="430" spans="2:15">
      <c r="B430" s="146">
        <v>41646</v>
      </c>
      <c r="C430" t="s">
        <v>220</v>
      </c>
      <c r="D430" s="99">
        <v>27799</v>
      </c>
      <c r="E430" t="s">
        <v>212</v>
      </c>
      <c r="O430" s="160"/>
    </row>
    <row r="431" spans="2:15">
      <c r="B431" s="146">
        <v>41281</v>
      </c>
      <c r="C431" t="s">
        <v>219</v>
      </c>
      <c r="D431" s="99">
        <v>22396</v>
      </c>
      <c r="E431" t="s">
        <v>211</v>
      </c>
      <c r="O431" s="160"/>
    </row>
    <row r="432" spans="2:15">
      <c r="B432" s="146">
        <v>41538</v>
      </c>
      <c r="C432" t="s">
        <v>218</v>
      </c>
      <c r="D432" s="99">
        <v>22992</v>
      </c>
      <c r="E432" t="s">
        <v>211</v>
      </c>
      <c r="O432" s="160"/>
    </row>
    <row r="433" spans="2:15">
      <c r="B433" s="146">
        <v>41256</v>
      </c>
      <c r="C433" t="s">
        <v>218</v>
      </c>
      <c r="D433" s="99">
        <v>7371</v>
      </c>
      <c r="E433" t="s">
        <v>211</v>
      </c>
      <c r="O433" s="160"/>
    </row>
    <row r="434" spans="2:15">
      <c r="B434" s="146">
        <v>41773</v>
      </c>
      <c r="C434" t="s">
        <v>219</v>
      </c>
      <c r="D434" s="99">
        <v>10178</v>
      </c>
      <c r="E434" t="s">
        <v>212</v>
      </c>
      <c r="O434" s="160"/>
    </row>
    <row r="435" spans="2:15">
      <c r="B435" s="146">
        <v>41402</v>
      </c>
      <c r="C435" t="s">
        <v>220</v>
      </c>
      <c r="D435" s="99">
        <v>33928</v>
      </c>
      <c r="E435" t="s">
        <v>212</v>
      </c>
      <c r="O435" s="160"/>
    </row>
    <row r="436" spans="2:15">
      <c r="B436" s="146">
        <v>41745</v>
      </c>
      <c r="C436" t="s">
        <v>220</v>
      </c>
      <c r="D436" s="99">
        <v>35275</v>
      </c>
      <c r="E436" t="s">
        <v>213</v>
      </c>
      <c r="O436" s="160"/>
    </row>
    <row r="437" spans="2:15">
      <c r="B437" s="146">
        <v>41557</v>
      </c>
      <c r="C437" t="s">
        <v>219</v>
      </c>
      <c r="D437" s="99">
        <v>21113</v>
      </c>
      <c r="E437" t="s">
        <v>212</v>
      </c>
      <c r="O437" s="160"/>
    </row>
    <row r="438" spans="2:15">
      <c r="B438" s="146">
        <v>41275</v>
      </c>
      <c r="C438" t="s">
        <v>219</v>
      </c>
      <c r="D438" s="99">
        <v>19205</v>
      </c>
      <c r="E438" t="s">
        <v>212</v>
      </c>
      <c r="O438" s="160"/>
    </row>
    <row r="439" spans="2:15">
      <c r="B439" s="146">
        <v>41399</v>
      </c>
      <c r="C439" t="s">
        <v>219</v>
      </c>
      <c r="D439" s="99">
        <v>13674</v>
      </c>
      <c r="E439" t="s">
        <v>210</v>
      </c>
      <c r="O439" s="160"/>
    </row>
    <row r="440" spans="2:15">
      <c r="B440" s="146">
        <v>41187</v>
      </c>
      <c r="C440" t="s">
        <v>219</v>
      </c>
      <c r="D440" s="99">
        <v>34968</v>
      </c>
      <c r="E440" t="s">
        <v>210</v>
      </c>
      <c r="O440" s="160"/>
    </row>
    <row r="441" spans="2:15">
      <c r="B441" s="146">
        <v>41138</v>
      </c>
      <c r="C441" t="s">
        <v>220</v>
      </c>
      <c r="D441" s="99">
        <v>16749</v>
      </c>
      <c r="E441" t="s">
        <v>210</v>
      </c>
      <c r="O441" s="160"/>
    </row>
    <row r="442" spans="2:15">
      <c r="B442" s="146">
        <v>41471</v>
      </c>
      <c r="C442" t="s">
        <v>217</v>
      </c>
      <c r="D442" s="99">
        <v>22297</v>
      </c>
      <c r="E442" t="s">
        <v>211</v>
      </c>
      <c r="O442" s="160"/>
    </row>
    <row r="443" spans="2:15">
      <c r="B443" s="146">
        <v>41857</v>
      </c>
      <c r="C443" t="s">
        <v>220</v>
      </c>
      <c r="D443" s="99">
        <v>26011</v>
      </c>
      <c r="E443" t="s">
        <v>212</v>
      </c>
      <c r="O443" s="160"/>
    </row>
    <row r="444" spans="2:15">
      <c r="B444" s="146">
        <v>41176</v>
      </c>
      <c r="C444" t="s">
        <v>219</v>
      </c>
      <c r="D444" s="99">
        <v>17577</v>
      </c>
      <c r="E444" t="s">
        <v>213</v>
      </c>
      <c r="O444" s="160"/>
    </row>
    <row r="445" spans="2:15">
      <c r="B445" s="146">
        <v>41771</v>
      </c>
      <c r="C445" t="s">
        <v>218</v>
      </c>
      <c r="D445" s="99">
        <v>27729</v>
      </c>
      <c r="E445" t="s">
        <v>210</v>
      </c>
      <c r="O445" s="160"/>
    </row>
    <row r="446" spans="2:15">
      <c r="B446" s="146">
        <v>41896</v>
      </c>
      <c r="C446" t="s">
        <v>217</v>
      </c>
      <c r="D446" s="99">
        <v>29331</v>
      </c>
      <c r="E446" t="s">
        <v>211</v>
      </c>
      <c r="O446" s="160"/>
    </row>
    <row r="447" spans="2:15">
      <c r="B447" s="146">
        <v>41747</v>
      </c>
      <c r="C447" t="s">
        <v>218</v>
      </c>
      <c r="D447" s="99">
        <v>16657</v>
      </c>
      <c r="E447" t="s">
        <v>211</v>
      </c>
      <c r="O447" s="160"/>
    </row>
    <row r="448" spans="2:15">
      <c r="B448" s="146">
        <v>41740</v>
      </c>
      <c r="C448" t="s">
        <v>219</v>
      </c>
      <c r="D448" s="99">
        <v>36542</v>
      </c>
      <c r="E448" t="s">
        <v>210</v>
      </c>
      <c r="O448" s="160"/>
    </row>
    <row r="449" spans="2:15">
      <c r="B449" s="146">
        <v>41749</v>
      </c>
      <c r="C449" t="s">
        <v>219</v>
      </c>
      <c r="D449" s="99">
        <v>32206</v>
      </c>
      <c r="E449" t="s">
        <v>213</v>
      </c>
      <c r="O449" s="160"/>
    </row>
    <row r="450" spans="2:15">
      <c r="B450" s="146">
        <v>41460</v>
      </c>
      <c r="C450" t="s">
        <v>217</v>
      </c>
      <c r="D450" s="99">
        <v>7186</v>
      </c>
      <c r="E450" t="s">
        <v>213</v>
      </c>
      <c r="O450" s="160"/>
    </row>
    <row r="451" spans="2:15">
      <c r="B451" s="146">
        <v>41414</v>
      </c>
      <c r="C451" t="s">
        <v>220</v>
      </c>
      <c r="D451" s="99">
        <v>32695</v>
      </c>
      <c r="E451" t="s">
        <v>213</v>
      </c>
      <c r="O451" s="160"/>
    </row>
    <row r="452" spans="2:15">
      <c r="B452" s="146">
        <v>41885</v>
      </c>
      <c r="C452" t="s">
        <v>220</v>
      </c>
      <c r="D452" s="99">
        <v>20255</v>
      </c>
      <c r="E452" t="s">
        <v>213</v>
      </c>
      <c r="O452" s="160"/>
    </row>
    <row r="453" spans="2:15">
      <c r="B453" s="146">
        <v>41502</v>
      </c>
      <c r="C453" t="s">
        <v>220</v>
      </c>
      <c r="D453" s="99">
        <v>38385</v>
      </c>
      <c r="E453" t="s">
        <v>211</v>
      </c>
      <c r="O453" s="160"/>
    </row>
    <row r="454" spans="2:15">
      <c r="B454" s="146">
        <v>41674</v>
      </c>
      <c r="C454" t="s">
        <v>218</v>
      </c>
      <c r="D454" s="99">
        <v>7899</v>
      </c>
      <c r="E454" t="s">
        <v>210</v>
      </c>
      <c r="O454" s="160"/>
    </row>
    <row r="455" spans="2:15">
      <c r="B455" s="146">
        <v>41594</v>
      </c>
      <c r="C455" t="s">
        <v>217</v>
      </c>
      <c r="D455" s="99">
        <v>5365</v>
      </c>
      <c r="E455" t="s">
        <v>211</v>
      </c>
      <c r="O455" s="160"/>
    </row>
    <row r="456" spans="2:15">
      <c r="B456" s="146">
        <v>41752</v>
      </c>
      <c r="C456" t="s">
        <v>219</v>
      </c>
      <c r="D456" s="99">
        <v>22260</v>
      </c>
      <c r="E456" t="s">
        <v>211</v>
      </c>
      <c r="O456" s="160"/>
    </row>
    <row r="457" spans="2:15">
      <c r="B457" s="146">
        <v>41812</v>
      </c>
      <c r="C457" t="s">
        <v>217</v>
      </c>
      <c r="D457" s="99">
        <v>35402</v>
      </c>
      <c r="E457" t="s">
        <v>213</v>
      </c>
      <c r="O457" s="160"/>
    </row>
    <row r="458" spans="2:15">
      <c r="B458" s="146">
        <v>41998</v>
      </c>
      <c r="C458" t="s">
        <v>219</v>
      </c>
      <c r="D458" s="99">
        <v>13422</v>
      </c>
      <c r="E458" t="s">
        <v>211</v>
      </c>
      <c r="O458" s="160"/>
    </row>
    <row r="459" spans="2:15">
      <c r="B459" s="146">
        <v>41415</v>
      </c>
      <c r="C459" t="s">
        <v>218</v>
      </c>
      <c r="D459" s="99">
        <v>11241</v>
      </c>
      <c r="E459" t="s">
        <v>211</v>
      </c>
      <c r="O459" s="160"/>
    </row>
    <row r="460" spans="2:15">
      <c r="B460" s="146">
        <v>41503</v>
      </c>
      <c r="C460" t="s">
        <v>219</v>
      </c>
      <c r="D460" s="99">
        <v>20694</v>
      </c>
      <c r="E460" t="s">
        <v>211</v>
      </c>
      <c r="O460" s="160"/>
    </row>
    <row r="461" spans="2:15">
      <c r="B461" s="146">
        <v>41277</v>
      </c>
      <c r="C461" t="s">
        <v>217</v>
      </c>
      <c r="D461" s="99">
        <v>7551</v>
      </c>
      <c r="E461" t="s">
        <v>211</v>
      </c>
      <c r="O461" s="160"/>
    </row>
    <row r="462" spans="2:15">
      <c r="B462" s="146">
        <v>41148</v>
      </c>
      <c r="C462" t="s">
        <v>219</v>
      </c>
      <c r="D462" s="99">
        <v>9451</v>
      </c>
      <c r="E462" t="s">
        <v>210</v>
      </c>
      <c r="O462" s="160"/>
    </row>
    <row r="463" spans="2:15">
      <c r="B463" s="146">
        <v>41246</v>
      </c>
      <c r="C463" t="s">
        <v>219</v>
      </c>
      <c r="D463" s="99">
        <v>36161</v>
      </c>
      <c r="E463" t="s">
        <v>211</v>
      </c>
      <c r="O463" s="160"/>
    </row>
    <row r="464" spans="2:15">
      <c r="B464" s="146">
        <v>41977</v>
      </c>
      <c r="C464" t="s">
        <v>218</v>
      </c>
      <c r="D464" s="99">
        <v>37136</v>
      </c>
      <c r="E464" t="s">
        <v>210</v>
      </c>
      <c r="O464" s="160"/>
    </row>
    <row r="465" spans="2:15">
      <c r="B465" s="146">
        <v>41711</v>
      </c>
      <c r="C465" t="s">
        <v>217</v>
      </c>
      <c r="D465" s="99">
        <v>24088</v>
      </c>
      <c r="E465" t="s">
        <v>213</v>
      </c>
      <c r="O465" s="160"/>
    </row>
    <row r="466" spans="2:15">
      <c r="B466" s="146">
        <v>41729</v>
      </c>
      <c r="C466" t="s">
        <v>218</v>
      </c>
      <c r="D466" s="99">
        <v>29439</v>
      </c>
      <c r="E466" t="s">
        <v>213</v>
      </c>
      <c r="O466" s="160"/>
    </row>
    <row r="467" spans="2:15">
      <c r="B467" s="146">
        <v>42011</v>
      </c>
      <c r="C467" t="s">
        <v>219</v>
      </c>
      <c r="D467" s="99">
        <v>22250</v>
      </c>
      <c r="E467" t="s">
        <v>211</v>
      </c>
      <c r="O467" s="160"/>
    </row>
    <row r="468" spans="2:15">
      <c r="B468" s="146">
        <v>41221</v>
      </c>
      <c r="C468" t="s">
        <v>218</v>
      </c>
      <c r="D468" s="99">
        <v>14660</v>
      </c>
      <c r="E468" t="s">
        <v>210</v>
      </c>
      <c r="O468" s="160"/>
    </row>
    <row r="469" spans="2:15">
      <c r="B469" s="146">
        <v>41927</v>
      </c>
      <c r="C469" t="s">
        <v>219</v>
      </c>
      <c r="D469" s="99">
        <v>13573</v>
      </c>
      <c r="E469" t="s">
        <v>213</v>
      </c>
      <c r="O469" s="160"/>
    </row>
    <row r="470" spans="2:15">
      <c r="B470" s="146">
        <v>41983</v>
      </c>
      <c r="C470" t="s">
        <v>219</v>
      </c>
      <c r="D470" s="99">
        <v>10614</v>
      </c>
      <c r="E470" t="s">
        <v>211</v>
      </c>
      <c r="O470" s="160"/>
    </row>
    <row r="471" spans="2:15">
      <c r="B471" s="146">
        <v>41959</v>
      </c>
      <c r="C471" t="s">
        <v>220</v>
      </c>
      <c r="D471" s="99">
        <v>19400</v>
      </c>
      <c r="E471" t="s">
        <v>211</v>
      </c>
      <c r="O471" s="160"/>
    </row>
    <row r="472" spans="2:15">
      <c r="B472" s="146">
        <v>41399</v>
      </c>
      <c r="C472" t="s">
        <v>220</v>
      </c>
      <c r="D472" s="99">
        <v>8891</v>
      </c>
      <c r="E472" t="s">
        <v>212</v>
      </c>
      <c r="O472" s="160"/>
    </row>
    <row r="473" spans="2:15">
      <c r="B473" s="146">
        <v>41281</v>
      </c>
      <c r="C473" t="s">
        <v>219</v>
      </c>
      <c r="D473" s="99">
        <v>32444</v>
      </c>
      <c r="E473" t="s">
        <v>211</v>
      </c>
      <c r="O473" s="160"/>
    </row>
    <row r="474" spans="2:15">
      <c r="B474" s="146">
        <v>41876</v>
      </c>
      <c r="C474" t="s">
        <v>217</v>
      </c>
      <c r="D474" s="99">
        <v>12256</v>
      </c>
      <c r="E474" t="s">
        <v>212</v>
      </c>
      <c r="O474" s="160"/>
    </row>
    <row r="475" spans="2:15">
      <c r="B475" s="146">
        <v>41716</v>
      </c>
      <c r="C475" t="s">
        <v>220</v>
      </c>
      <c r="D475" s="99">
        <v>36072</v>
      </c>
      <c r="E475" t="s">
        <v>211</v>
      </c>
      <c r="O475" s="160"/>
    </row>
    <row r="476" spans="2:15">
      <c r="B476" s="146">
        <v>41386</v>
      </c>
      <c r="C476" t="s">
        <v>217</v>
      </c>
      <c r="D476" s="99">
        <v>15829</v>
      </c>
      <c r="E476" t="s">
        <v>213</v>
      </c>
      <c r="O476" s="160"/>
    </row>
    <row r="477" spans="2:15">
      <c r="B477" s="146">
        <v>41631</v>
      </c>
      <c r="C477" t="s">
        <v>219</v>
      </c>
      <c r="D477" s="99">
        <v>31391</v>
      </c>
      <c r="E477" t="s">
        <v>211</v>
      </c>
      <c r="O477" s="160"/>
    </row>
    <row r="478" spans="2:15">
      <c r="B478" s="146">
        <v>41228</v>
      </c>
      <c r="C478" t="s">
        <v>217</v>
      </c>
      <c r="D478" s="99">
        <v>17966</v>
      </c>
      <c r="E478" t="s">
        <v>210</v>
      </c>
      <c r="O478" s="160"/>
    </row>
    <row r="479" spans="2:15">
      <c r="B479" s="146">
        <v>41449</v>
      </c>
      <c r="C479" t="s">
        <v>217</v>
      </c>
      <c r="D479" s="99">
        <v>11081</v>
      </c>
      <c r="E479" t="s">
        <v>210</v>
      </c>
      <c r="O479" s="160"/>
    </row>
    <row r="480" spans="2:15">
      <c r="B480" s="146">
        <v>41182</v>
      </c>
      <c r="C480" t="s">
        <v>219</v>
      </c>
      <c r="D480" s="99">
        <v>30605</v>
      </c>
      <c r="E480" t="s">
        <v>213</v>
      </c>
      <c r="O480" s="160"/>
    </row>
    <row r="481" spans="2:15">
      <c r="B481" s="146">
        <v>41746</v>
      </c>
      <c r="C481" t="s">
        <v>220</v>
      </c>
      <c r="D481" s="99">
        <v>12408</v>
      </c>
      <c r="E481" t="s">
        <v>211</v>
      </c>
      <c r="O481" s="160"/>
    </row>
    <row r="482" spans="2:15">
      <c r="B482" s="146">
        <v>41387</v>
      </c>
      <c r="C482" t="s">
        <v>217</v>
      </c>
      <c r="D482" s="99">
        <v>25181</v>
      </c>
      <c r="E482" t="s">
        <v>210</v>
      </c>
      <c r="O482" s="160"/>
    </row>
    <row r="483" spans="2:15">
      <c r="B483" s="146">
        <v>41873</v>
      </c>
      <c r="C483" t="s">
        <v>217</v>
      </c>
      <c r="D483" s="99">
        <v>38362</v>
      </c>
      <c r="E483" t="s">
        <v>210</v>
      </c>
      <c r="O483" s="160"/>
    </row>
    <row r="484" spans="2:15">
      <c r="B484" s="146">
        <v>41327</v>
      </c>
      <c r="C484" t="s">
        <v>217</v>
      </c>
      <c r="D484" s="99">
        <v>35205</v>
      </c>
      <c r="E484" t="s">
        <v>213</v>
      </c>
      <c r="O484" s="160"/>
    </row>
    <row r="485" spans="2:15">
      <c r="B485" s="146">
        <v>41396</v>
      </c>
      <c r="C485" t="s">
        <v>217</v>
      </c>
      <c r="D485" s="99">
        <v>14591</v>
      </c>
      <c r="E485" t="s">
        <v>212</v>
      </c>
      <c r="O485" s="160"/>
    </row>
    <row r="486" spans="2:15">
      <c r="B486" s="146">
        <v>41943</v>
      </c>
      <c r="C486" t="s">
        <v>220</v>
      </c>
      <c r="D486" s="99">
        <v>32756</v>
      </c>
      <c r="E486" t="s">
        <v>211</v>
      </c>
      <c r="O486" s="160"/>
    </row>
    <row r="487" spans="2:15">
      <c r="B487" s="146">
        <v>41776</v>
      </c>
      <c r="C487" t="s">
        <v>218</v>
      </c>
      <c r="D487" s="99">
        <v>17667</v>
      </c>
      <c r="E487" t="s">
        <v>212</v>
      </c>
      <c r="O487" s="160"/>
    </row>
    <row r="488" spans="2:15">
      <c r="B488" s="146">
        <v>41751</v>
      </c>
      <c r="C488" t="s">
        <v>217</v>
      </c>
      <c r="D488" s="99">
        <v>17493</v>
      </c>
      <c r="E488" t="s">
        <v>212</v>
      </c>
      <c r="O488" s="160"/>
    </row>
    <row r="489" spans="2:15">
      <c r="B489" s="146">
        <v>41653</v>
      </c>
      <c r="C489" t="s">
        <v>219</v>
      </c>
      <c r="D489" s="99">
        <v>18614</v>
      </c>
      <c r="E489" t="s">
        <v>212</v>
      </c>
      <c r="O489" s="160"/>
    </row>
    <row r="490" spans="2:15">
      <c r="B490" s="146">
        <v>41495</v>
      </c>
      <c r="C490" t="s">
        <v>217</v>
      </c>
      <c r="D490" s="99">
        <v>34322</v>
      </c>
      <c r="E490" t="s">
        <v>213</v>
      </c>
      <c r="O490" s="160"/>
    </row>
    <row r="491" spans="2:15">
      <c r="B491" s="146">
        <v>41262</v>
      </c>
      <c r="C491" t="s">
        <v>219</v>
      </c>
      <c r="D491" s="99">
        <v>28798</v>
      </c>
      <c r="E491" t="s">
        <v>211</v>
      </c>
      <c r="O491" s="160"/>
    </row>
    <row r="492" spans="2:15">
      <c r="B492" s="146">
        <v>41403</v>
      </c>
      <c r="C492" t="s">
        <v>217</v>
      </c>
      <c r="D492" s="99">
        <v>12249</v>
      </c>
      <c r="E492" t="s">
        <v>211</v>
      </c>
      <c r="O492" s="160"/>
    </row>
    <row r="493" spans="2:15">
      <c r="B493" s="146">
        <v>41490</v>
      </c>
      <c r="C493" t="s">
        <v>219</v>
      </c>
      <c r="D493" s="99">
        <v>18618</v>
      </c>
      <c r="E493" t="s">
        <v>212</v>
      </c>
      <c r="O493" s="160"/>
    </row>
    <row r="494" spans="2:15">
      <c r="B494" s="146">
        <v>41601</v>
      </c>
      <c r="C494" t="s">
        <v>220</v>
      </c>
      <c r="D494" s="99">
        <v>14486</v>
      </c>
      <c r="E494" t="s">
        <v>212</v>
      </c>
      <c r="O494" s="160"/>
    </row>
    <row r="495" spans="2:15">
      <c r="B495" s="146">
        <v>41629</v>
      </c>
      <c r="C495" t="s">
        <v>217</v>
      </c>
      <c r="D495" s="99">
        <v>31455</v>
      </c>
      <c r="E495" t="s">
        <v>210</v>
      </c>
      <c r="O495" s="160"/>
    </row>
    <row r="496" spans="2:15">
      <c r="B496" s="146">
        <v>41560</v>
      </c>
      <c r="C496" t="s">
        <v>217</v>
      </c>
      <c r="D496" s="99">
        <v>18309</v>
      </c>
      <c r="E496" t="s">
        <v>212</v>
      </c>
      <c r="O496" s="160"/>
    </row>
    <row r="497" spans="2:15">
      <c r="B497" s="146">
        <v>41478</v>
      </c>
      <c r="C497" t="s">
        <v>219</v>
      </c>
      <c r="D497" s="99">
        <v>38238</v>
      </c>
      <c r="E497" t="s">
        <v>213</v>
      </c>
      <c r="O497" s="160"/>
    </row>
    <row r="498" spans="2:15">
      <c r="B498" s="146">
        <v>41389</v>
      </c>
      <c r="C498" t="s">
        <v>218</v>
      </c>
      <c r="D498" s="99">
        <v>21305</v>
      </c>
      <c r="E498" t="s">
        <v>212</v>
      </c>
      <c r="O498" s="160"/>
    </row>
    <row r="499" spans="2:15">
      <c r="B499" s="146">
        <v>41468</v>
      </c>
      <c r="C499" t="s">
        <v>218</v>
      </c>
      <c r="D499" s="99">
        <v>16093</v>
      </c>
      <c r="E499" t="s">
        <v>213</v>
      </c>
      <c r="O499" s="160"/>
    </row>
    <row r="500" spans="2:15">
      <c r="B500" s="146">
        <v>41244</v>
      </c>
      <c r="C500" t="s">
        <v>218</v>
      </c>
      <c r="D500" s="99">
        <v>10386</v>
      </c>
      <c r="E500" t="s">
        <v>210</v>
      </c>
      <c r="O500" s="160"/>
    </row>
    <row r="501" spans="2:15">
      <c r="B501" s="146">
        <v>41954</v>
      </c>
      <c r="C501" t="s">
        <v>217</v>
      </c>
      <c r="D501" s="99">
        <v>12331</v>
      </c>
      <c r="E501" t="s">
        <v>213</v>
      </c>
      <c r="O501" s="160"/>
    </row>
    <row r="502" spans="2:15">
      <c r="B502" s="146">
        <v>41817</v>
      </c>
      <c r="C502" t="s">
        <v>217</v>
      </c>
      <c r="D502" s="99">
        <v>11065</v>
      </c>
      <c r="E502" t="s">
        <v>213</v>
      </c>
      <c r="O502" s="160"/>
    </row>
    <row r="503" spans="2:15">
      <c r="B503" s="146">
        <v>41698</v>
      </c>
      <c r="C503" t="s">
        <v>217</v>
      </c>
      <c r="D503" s="99">
        <v>35414</v>
      </c>
      <c r="E503" t="s">
        <v>213</v>
      </c>
      <c r="O503" s="160"/>
    </row>
    <row r="504" spans="2:15">
      <c r="B504" s="146">
        <v>41675</v>
      </c>
      <c r="C504" t="s">
        <v>217</v>
      </c>
      <c r="D504" s="99">
        <v>22617</v>
      </c>
      <c r="E504" t="s">
        <v>211</v>
      </c>
      <c r="O504" s="160"/>
    </row>
    <row r="505" spans="2:15">
      <c r="B505" s="146">
        <v>41230</v>
      </c>
      <c r="C505" t="s">
        <v>220</v>
      </c>
      <c r="D505" s="99">
        <v>23323</v>
      </c>
      <c r="E505" t="s">
        <v>212</v>
      </c>
      <c r="O505" s="160"/>
    </row>
    <row r="506" spans="2:15">
      <c r="B506" s="146">
        <v>41370</v>
      </c>
      <c r="C506" t="s">
        <v>217</v>
      </c>
      <c r="D506" s="99">
        <v>19283</v>
      </c>
      <c r="E506" t="s">
        <v>210</v>
      </c>
      <c r="O506" s="160"/>
    </row>
    <row r="507" spans="2:15">
      <c r="B507" s="146">
        <v>41157</v>
      </c>
      <c r="C507" t="s">
        <v>220</v>
      </c>
      <c r="D507" s="99">
        <v>14046</v>
      </c>
      <c r="E507" t="s">
        <v>210</v>
      </c>
      <c r="O507" s="160"/>
    </row>
    <row r="508" spans="2:15">
      <c r="B508" s="146">
        <v>41605</v>
      </c>
      <c r="C508" t="s">
        <v>220</v>
      </c>
      <c r="D508" s="99">
        <v>35148</v>
      </c>
      <c r="E508" t="s">
        <v>210</v>
      </c>
      <c r="O508" s="160"/>
    </row>
    <row r="509" spans="2:15">
      <c r="B509" s="146">
        <v>41706</v>
      </c>
      <c r="C509" t="s">
        <v>220</v>
      </c>
      <c r="D509" s="99">
        <v>25340</v>
      </c>
      <c r="E509" t="s">
        <v>212</v>
      </c>
      <c r="O509" s="160"/>
    </row>
    <row r="510" spans="2:15">
      <c r="B510" s="146">
        <v>41865</v>
      </c>
      <c r="C510" t="s">
        <v>219</v>
      </c>
      <c r="D510" s="99">
        <v>32409</v>
      </c>
      <c r="E510" t="s">
        <v>213</v>
      </c>
      <c r="O510" s="160"/>
    </row>
    <row r="511" spans="2:15">
      <c r="B511" s="146">
        <v>41805</v>
      </c>
      <c r="C511" t="s">
        <v>219</v>
      </c>
      <c r="D511" s="99">
        <v>6032</v>
      </c>
      <c r="E511" t="s">
        <v>210</v>
      </c>
      <c r="O511" s="160"/>
    </row>
    <row r="512" spans="2:15">
      <c r="B512" s="146">
        <v>41677</v>
      </c>
      <c r="C512" t="s">
        <v>217</v>
      </c>
      <c r="D512" s="99">
        <v>27844</v>
      </c>
      <c r="E512" t="s">
        <v>213</v>
      </c>
      <c r="O512" s="160"/>
    </row>
    <row r="513" spans="2:15">
      <c r="B513" s="146">
        <v>41206</v>
      </c>
      <c r="C513" t="s">
        <v>220</v>
      </c>
      <c r="D513" s="99">
        <v>24807</v>
      </c>
      <c r="E513" t="s">
        <v>211</v>
      </c>
      <c r="O513" s="160"/>
    </row>
    <row r="514" spans="2:15">
      <c r="B514" s="146">
        <v>41234</v>
      </c>
      <c r="C514" t="s">
        <v>219</v>
      </c>
      <c r="D514" s="99">
        <v>20853</v>
      </c>
      <c r="E514" t="s">
        <v>212</v>
      </c>
      <c r="O514" s="160"/>
    </row>
    <row r="515" spans="2:15">
      <c r="B515" s="146">
        <v>41423</v>
      </c>
      <c r="C515" t="s">
        <v>218</v>
      </c>
      <c r="D515" s="99">
        <v>20183</v>
      </c>
      <c r="E515" t="s">
        <v>213</v>
      </c>
      <c r="O515" s="160"/>
    </row>
    <row r="516" spans="2:15">
      <c r="B516" s="146">
        <v>41285</v>
      </c>
      <c r="C516" t="s">
        <v>218</v>
      </c>
      <c r="D516" s="99">
        <v>7997</v>
      </c>
      <c r="E516" t="s">
        <v>213</v>
      </c>
      <c r="O516" s="160"/>
    </row>
    <row r="517" spans="2:15">
      <c r="B517" s="146">
        <v>41760</v>
      </c>
      <c r="C517" t="s">
        <v>220</v>
      </c>
      <c r="D517" s="99">
        <v>8549</v>
      </c>
      <c r="E517" t="s">
        <v>211</v>
      </c>
      <c r="O517" s="160"/>
    </row>
    <row r="518" spans="2:15">
      <c r="B518" s="146">
        <v>41372</v>
      </c>
      <c r="C518" t="s">
        <v>219</v>
      </c>
      <c r="D518" s="99">
        <v>19014</v>
      </c>
      <c r="E518" t="s">
        <v>210</v>
      </c>
      <c r="O518" s="160"/>
    </row>
    <row r="519" spans="2:15">
      <c r="B519" s="146">
        <v>41339</v>
      </c>
      <c r="C519" t="s">
        <v>220</v>
      </c>
      <c r="D519" s="99">
        <v>12773</v>
      </c>
      <c r="E519" t="s">
        <v>211</v>
      </c>
      <c r="O519" s="160"/>
    </row>
    <row r="520" spans="2:15">
      <c r="B520" s="146">
        <v>41749</v>
      </c>
      <c r="C520" t="s">
        <v>218</v>
      </c>
      <c r="D520" s="99">
        <v>38286</v>
      </c>
      <c r="E520" t="s">
        <v>213</v>
      </c>
      <c r="O520" s="160"/>
    </row>
    <row r="521" spans="2:15">
      <c r="B521" s="146">
        <v>41652</v>
      </c>
      <c r="C521" t="s">
        <v>217</v>
      </c>
      <c r="D521" s="99">
        <v>36863</v>
      </c>
      <c r="E521" t="s">
        <v>210</v>
      </c>
      <c r="O521" s="160"/>
    </row>
    <row r="522" spans="2:15">
      <c r="B522" s="146">
        <v>41633</v>
      </c>
      <c r="C522" t="s">
        <v>219</v>
      </c>
      <c r="D522" s="99">
        <v>7564</v>
      </c>
      <c r="E522" t="s">
        <v>212</v>
      </c>
      <c r="O522" s="160"/>
    </row>
    <row r="523" spans="2:15">
      <c r="B523" s="146">
        <v>41920</v>
      </c>
      <c r="C523" t="s">
        <v>217</v>
      </c>
      <c r="D523" s="99">
        <v>29464</v>
      </c>
      <c r="E523" t="s">
        <v>213</v>
      </c>
      <c r="O523" s="160"/>
    </row>
    <row r="524" spans="2:15">
      <c r="B524" s="146">
        <v>41473</v>
      </c>
      <c r="C524" t="s">
        <v>218</v>
      </c>
      <c r="D524" s="99">
        <v>20853</v>
      </c>
      <c r="E524" t="s">
        <v>212</v>
      </c>
      <c r="O524" s="160"/>
    </row>
    <row r="525" spans="2:15">
      <c r="B525" s="146">
        <v>41474</v>
      </c>
      <c r="C525" t="s">
        <v>217</v>
      </c>
      <c r="D525" s="99">
        <v>12050</v>
      </c>
      <c r="E525" t="s">
        <v>211</v>
      </c>
      <c r="O525" s="160"/>
    </row>
    <row r="526" spans="2:15">
      <c r="B526" s="146">
        <v>41592</v>
      </c>
      <c r="C526" t="s">
        <v>218</v>
      </c>
      <c r="D526" s="99">
        <v>28383</v>
      </c>
      <c r="E526" t="s">
        <v>213</v>
      </c>
      <c r="O526" s="160"/>
    </row>
    <row r="527" spans="2:15">
      <c r="B527" s="146">
        <v>41629</v>
      </c>
      <c r="C527" t="s">
        <v>218</v>
      </c>
      <c r="D527" s="99">
        <v>31673</v>
      </c>
      <c r="E527" t="s">
        <v>212</v>
      </c>
      <c r="O527" s="160"/>
    </row>
    <row r="528" spans="2:15">
      <c r="B528" s="146">
        <v>41143</v>
      </c>
      <c r="C528" t="s">
        <v>220</v>
      </c>
      <c r="D528" s="99">
        <v>22938</v>
      </c>
      <c r="E528" t="s">
        <v>211</v>
      </c>
      <c r="O528" s="160"/>
    </row>
    <row r="529" spans="2:15">
      <c r="B529" s="146">
        <v>41619</v>
      </c>
      <c r="C529" t="s">
        <v>217</v>
      </c>
      <c r="D529" s="99">
        <v>36383</v>
      </c>
      <c r="E529" t="s">
        <v>213</v>
      </c>
      <c r="O529" s="160"/>
    </row>
    <row r="530" spans="2:15">
      <c r="B530" s="146">
        <v>41594</v>
      </c>
      <c r="C530" t="s">
        <v>217</v>
      </c>
      <c r="D530" s="99">
        <v>27239</v>
      </c>
      <c r="E530" t="s">
        <v>210</v>
      </c>
      <c r="O530" s="160"/>
    </row>
    <row r="531" spans="2:15">
      <c r="B531" s="146">
        <v>41305</v>
      </c>
      <c r="C531" t="s">
        <v>220</v>
      </c>
      <c r="D531" s="99">
        <v>25460</v>
      </c>
      <c r="E531" t="s">
        <v>210</v>
      </c>
      <c r="O531" s="160"/>
    </row>
    <row r="532" spans="2:15">
      <c r="B532" s="146">
        <v>41456</v>
      </c>
      <c r="C532" t="s">
        <v>218</v>
      </c>
      <c r="D532" s="99">
        <v>14755</v>
      </c>
      <c r="E532" t="s">
        <v>213</v>
      </c>
      <c r="O532" s="160"/>
    </row>
    <row r="533" spans="2:15">
      <c r="B533" s="146">
        <v>41141</v>
      </c>
      <c r="C533" t="s">
        <v>219</v>
      </c>
      <c r="D533" s="99">
        <v>38541</v>
      </c>
      <c r="E533" t="s">
        <v>213</v>
      </c>
      <c r="O533" s="160"/>
    </row>
    <row r="534" spans="2:15">
      <c r="B534" s="146">
        <v>41655</v>
      </c>
      <c r="C534" t="s">
        <v>219</v>
      </c>
      <c r="D534" s="99">
        <v>38001</v>
      </c>
      <c r="E534" t="s">
        <v>210</v>
      </c>
      <c r="O534" s="160"/>
    </row>
    <row r="535" spans="2:15">
      <c r="B535" s="146">
        <v>41353</v>
      </c>
      <c r="C535" t="s">
        <v>219</v>
      </c>
      <c r="D535" s="99">
        <v>14590</v>
      </c>
      <c r="E535" t="s">
        <v>213</v>
      </c>
      <c r="O535" s="160"/>
    </row>
    <row r="536" spans="2:15">
      <c r="B536" s="146">
        <v>41904</v>
      </c>
      <c r="C536" t="s">
        <v>219</v>
      </c>
      <c r="D536" s="99">
        <v>32643</v>
      </c>
      <c r="E536" t="s">
        <v>210</v>
      </c>
      <c r="O536" s="160"/>
    </row>
    <row r="537" spans="2:15">
      <c r="B537" s="146">
        <v>41882</v>
      </c>
      <c r="C537" t="s">
        <v>220</v>
      </c>
      <c r="D537" s="99">
        <v>5767</v>
      </c>
      <c r="E537" t="s">
        <v>211</v>
      </c>
      <c r="O537" s="160"/>
    </row>
    <row r="538" spans="2:15">
      <c r="B538" s="146">
        <v>41400</v>
      </c>
      <c r="C538" t="s">
        <v>217</v>
      </c>
      <c r="D538" s="99">
        <v>25852</v>
      </c>
      <c r="E538" t="s">
        <v>211</v>
      </c>
      <c r="O538" s="160"/>
    </row>
    <row r="539" spans="2:15">
      <c r="B539" s="146">
        <v>41435</v>
      </c>
      <c r="C539" t="s">
        <v>218</v>
      </c>
      <c r="D539" s="99">
        <v>29006</v>
      </c>
      <c r="E539" t="s">
        <v>211</v>
      </c>
      <c r="O539" s="160"/>
    </row>
    <row r="540" spans="2:15">
      <c r="B540" s="146">
        <v>41348</v>
      </c>
      <c r="C540" t="s">
        <v>219</v>
      </c>
      <c r="D540" s="99">
        <v>35536</v>
      </c>
      <c r="E540" t="s">
        <v>213</v>
      </c>
      <c r="O540" s="160"/>
    </row>
    <row r="541" spans="2:15">
      <c r="B541" s="146">
        <v>41187</v>
      </c>
      <c r="C541" t="s">
        <v>218</v>
      </c>
      <c r="D541" s="99">
        <v>38402</v>
      </c>
      <c r="E541" t="s">
        <v>213</v>
      </c>
      <c r="O541" s="160"/>
    </row>
    <row r="542" spans="2:15">
      <c r="B542" s="146">
        <v>41232</v>
      </c>
      <c r="C542" t="s">
        <v>220</v>
      </c>
      <c r="D542" s="99">
        <v>18606</v>
      </c>
      <c r="E542" t="s">
        <v>211</v>
      </c>
      <c r="O542" s="160"/>
    </row>
    <row r="543" spans="2:15">
      <c r="B543" s="146">
        <v>41770</v>
      </c>
      <c r="C543" t="s">
        <v>218</v>
      </c>
      <c r="D543" s="99">
        <v>13469</v>
      </c>
      <c r="E543" t="s">
        <v>211</v>
      </c>
      <c r="O543" s="160"/>
    </row>
    <row r="544" spans="2:15">
      <c r="B544" s="146">
        <v>41511</v>
      </c>
      <c r="C544" t="s">
        <v>219</v>
      </c>
      <c r="D544" s="99">
        <v>18028</v>
      </c>
      <c r="E544" t="s">
        <v>212</v>
      </c>
      <c r="O544" s="160"/>
    </row>
    <row r="545" spans="2:15">
      <c r="B545" s="146">
        <v>41573</v>
      </c>
      <c r="C545" t="s">
        <v>219</v>
      </c>
      <c r="D545" s="99">
        <v>15971</v>
      </c>
      <c r="E545" t="s">
        <v>211</v>
      </c>
      <c r="O545" s="160"/>
    </row>
    <row r="546" spans="2:15">
      <c r="B546" s="146">
        <v>41672</v>
      </c>
      <c r="C546" t="s">
        <v>220</v>
      </c>
      <c r="D546" s="99">
        <v>10481</v>
      </c>
      <c r="E546" t="s">
        <v>213</v>
      </c>
      <c r="O546" s="160"/>
    </row>
    <row r="547" spans="2:15">
      <c r="B547" s="146">
        <v>41781</v>
      </c>
      <c r="C547" t="s">
        <v>219</v>
      </c>
      <c r="D547" s="99">
        <v>23912</v>
      </c>
      <c r="E547" t="s">
        <v>210</v>
      </c>
      <c r="O547" s="160"/>
    </row>
    <row r="548" spans="2:15">
      <c r="B548" s="146">
        <v>41888</v>
      </c>
      <c r="C548" t="s">
        <v>219</v>
      </c>
      <c r="D548" s="99">
        <v>10688</v>
      </c>
      <c r="E548" t="s">
        <v>211</v>
      </c>
      <c r="O548" s="160"/>
    </row>
    <row r="549" spans="2:15">
      <c r="B549" s="146">
        <v>41132</v>
      </c>
      <c r="C549" t="s">
        <v>220</v>
      </c>
      <c r="D549" s="99">
        <v>21239</v>
      </c>
      <c r="E549" t="s">
        <v>211</v>
      </c>
      <c r="O549" s="160"/>
    </row>
    <row r="550" spans="2:15">
      <c r="B550" s="146">
        <v>41932</v>
      </c>
      <c r="C550" t="s">
        <v>218</v>
      </c>
      <c r="D550" s="99">
        <v>16884</v>
      </c>
      <c r="E550" t="s">
        <v>210</v>
      </c>
      <c r="O550" s="160"/>
    </row>
    <row r="551" spans="2:15">
      <c r="B551" s="146">
        <v>41257</v>
      </c>
      <c r="C551" t="s">
        <v>220</v>
      </c>
      <c r="D551" s="99">
        <v>8270</v>
      </c>
      <c r="E551" t="s">
        <v>213</v>
      </c>
      <c r="O551" s="160"/>
    </row>
    <row r="552" spans="2:15">
      <c r="B552" s="146">
        <v>41471</v>
      </c>
      <c r="C552" t="s">
        <v>217</v>
      </c>
      <c r="D552" s="99">
        <v>12737</v>
      </c>
      <c r="E552" t="s">
        <v>212</v>
      </c>
      <c r="O552" s="160"/>
    </row>
    <row r="553" spans="2:15">
      <c r="B553" s="146">
        <v>41502</v>
      </c>
      <c r="C553" t="s">
        <v>220</v>
      </c>
      <c r="D553" s="99">
        <v>23880</v>
      </c>
      <c r="E553" t="s">
        <v>213</v>
      </c>
      <c r="O553" s="160"/>
    </row>
    <row r="554" spans="2:15">
      <c r="B554" s="146">
        <v>41777</v>
      </c>
      <c r="C554" t="s">
        <v>217</v>
      </c>
      <c r="D554" s="99">
        <v>12583</v>
      </c>
      <c r="E554" t="s">
        <v>210</v>
      </c>
      <c r="O554" s="160"/>
    </row>
    <row r="555" spans="2:15">
      <c r="B555" s="146">
        <v>41580</v>
      </c>
      <c r="C555" t="s">
        <v>220</v>
      </c>
      <c r="D555" s="99">
        <v>6014</v>
      </c>
      <c r="E555" t="s">
        <v>213</v>
      </c>
      <c r="O555" s="160"/>
    </row>
    <row r="556" spans="2:15">
      <c r="B556" s="146">
        <v>41696</v>
      </c>
      <c r="C556" t="s">
        <v>218</v>
      </c>
      <c r="D556" s="99">
        <v>6356</v>
      </c>
      <c r="E556" t="s">
        <v>210</v>
      </c>
      <c r="O556" s="160"/>
    </row>
    <row r="557" spans="2:15">
      <c r="B557" s="146">
        <v>41356</v>
      </c>
      <c r="C557" t="s">
        <v>217</v>
      </c>
      <c r="D557" s="99">
        <v>22205</v>
      </c>
      <c r="E557" t="s">
        <v>213</v>
      </c>
      <c r="O557" s="160"/>
    </row>
    <row r="558" spans="2:15">
      <c r="B558" s="146">
        <v>41456</v>
      </c>
      <c r="C558" t="s">
        <v>220</v>
      </c>
      <c r="D558" s="99">
        <v>29894</v>
      </c>
      <c r="E558" t="s">
        <v>210</v>
      </c>
      <c r="O558" s="160"/>
    </row>
    <row r="559" spans="2:15">
      <c r="B559" s="146">
        <v>41893</v>
      </c>
      <c r="C559" t="s">
        <v>217</v>
      </c>
      <c r="D559" s="99">
        <v>28576</v>
      </c>
      <c r="E559" t="s">
        <v>210</v>
      </c>
      <c r="O559" s="160"/>
    </row>
    <row r="560" spans="2:15">
      <c r="B560" s="146">
        <v>41758</v>
      </c>
      <c r="C560" t="s">
        <v>218</v>
      </c>
      <c r="D560" s="99">
        <v>34208</v>
      </c>
      <c r="E560" t="s">
        <v>212</v>
      </c>
      <c r="O560" s="160"/>
    </row>
    <row r="561" spans="2:15">
      <c r="B561" s="146">
        <v>41280</v>
      </c>
      <c r="C561" t="s">
        <v>219</v>
      </c>
      <c r="D561" s="99">
        <v>16821</v>
      </c>
      <c r="E561" t="s">
        <v>210</v>
      </c>
      <c r="O561" s="160"/>
    </row>
    <row r="562" spans="2:15">
      <c r="B562" s="146">
        <v>41817</v>
      </c>
      <c r="C562" t="s">
        <v>218</v>
      </c>
      <c r="D562" s="99">
        <v>6512</v>
      </c>
      <c r="E562" t="s">
        <v>210</v>
      </c>
      <c r="O562" s="160"/>
    </row>
    <row r="563" spans="2:15">
      <c r="B563" s="146">
        <v>41790</v>
      </c>
      <c r="C563" t="s">
        <v>217</v>
      </c>
      <c r="D563" s="99">
        <v>10316</v>
      </c>
      <c r="E563" t="s">
        <v>213</v>
      </c>
      <c r="O563" s="160"/>
    </row>
    <row r="564" spans="2:15">
      <c r="B564" s="146">
        <v>41766</v>
      </c>
      <c r="C564" t="s">
        <v>218</v>
      </c>
      <c r="D564" s="99">
        <v>39454</v>
      </c>
      <c r="E564" t="s">
        <v>213</v>
      </c>
      <c r="O564" s="160"/>
    </row>
    <row r="565" spans="2:15">
      <c r="B565" s="146">
        <v>41773</v>
      </c>
      <c r="C565" t="s">
        <v>217</v>
      </c>
      <c r="D565" s="99">
        <v>15436</v>
      </c>
      <c r="E565" t="s">
        <v>211</v>
      </c>
      <c r="O565" s="160"/>
    </row>
    <row r="566" spans="2:15">
      <c r="B566" s="146">
        <v>41208</v>
      </c>
      <c r="C566" t="s">
        <v>219</v>
      </c>
      <c r="D566" s="99">
        <v>32691</v>
      </c>
      <c r="E566" t="s">
        <v>211</v>
      </c>
      <c r="O566" s="160"/>
    </row>
    <row r="567" spans="2:15">
      <c r="B567" s="146">
        <v>41328</v>
      </c>
      <c r="C567" t="s">
        <v>218</v>
      </c>
      <c r="D567" s="99">
        <v>33702</v>
      </c>
      <c r="E567" t="s">
        <v>213</v>
      </c>
      <c r="O567" s="160"/>
    </row>
    <row r="568" spans="2:15">
      <c r="B568" s="146">
        <v>41518</v>
      </c>
      <c r="C568" t="s">
        <v>217</v>
      </c>
      <c r="D568" s="99">
        <v>13134</v>
      </c>
      <c r="E568" t="s">
        <v>213</v>
      </c>
      <c r="O568" s="160"/>
    </row>
    <row r="569" spans="2:15">
      <c r="B569" s="146">
        <v>41994</v>
      </c>
      <c r="C569" t="s">
        <v>217</v>
      </c>
      <c r="D569" s="99">
        <v>32011</v>
      </c>
      <c r="E569" t="s">
        <v>210</v>
      </c>
      <c r="O569" s="160"/>
    </row>
    <row r="570" spans="2:15">
      <c r="B570" s="146">
        <v>41250</v>
      </c>
      <c r="C570" t="s">
        <v>220</v>
      </c>
      <c r="D570" s="99">
        <v>17743</v>
      </c>
      <c r="E570" t="s">
        <v>210</v>
      </c>
      <c r="O570" s="160"/>
    </row>
    <row r="571" spans="2:15">
      <c r="B571" s="146">
        <v>41777</v>
      </c>
      <c r="C571" t="s">
        <v>220</v>
      </c>
      <c r="D571" s="99">
        <v>31828</v>
      </c>
      <c r="E571" t="s">
        <v>213</v>
      </c>
      <c r="O571" s="160"/>
    </row>
    <row r="572" spans="2:15">
      <c r="B572" s="146">
        <v>41709</v>
      </c>
      <c r="C572" t="s">
        <v>220</v>
      </c>
      <c r="D572" s="99">
        <v>11873</v>
      </c>
      <c r="E572" t="s">
        <v>213</v>
      </c>
      <c r="O572" s="160"/>
    </row>
    <row r="573" spans="2:15">
      <c r="B573" s="146">
        <v>41956</v>
      </c>
      <c r="C573" t="s">
        <v>219</v>
      </c>
      <c r="D573" s="99">
        <v>21158</v>
      </c>
      <c r="E573" t="s">
        <v>212</v>
      </c>
      <c r="O573" s="160"/>
    </row>
    <row r="574" spans="2:15">
      <c r="B574" s="146">
        <v>41395</v>
      </c>
      <c r="C574" t="s">
        <v>217</v>
      </c>
      <c r="D574" s="99">
        <v>11977</v>
      </c>
      <c r="E574" t="s">
        <v>212</v>
      </c>
      <c r="O574" s="160"/>
    </row>
    <row r="575" spans="2:15">
      <c r="B575" s="146">
        <v>41316</v>
      </c>
      <c r="C575" t="s">
        <v>220</v>
      </c>
      <c r="D575" s="99">
        <v>33497</v>
      </c>
      <c r="E575" t="s">
        <v>210</v>
      </c>
      <c r="O575" s="160"/>
    </row>
    <row r="576" spans="2:15">
      <c r="B576" s="146">
        <v>41639</v>
      </c>
      <c r="C576" t="s">
        <v>219</v>
      </c>
      <c r="D576" s="99">
        <v>12185</v>
      </c>
      <c r="E576" t="s">
        <v>210</v>
      </c>
      <c r="O576" s="160"/>
    </row>
    <row r="577" spans="2:15">
      <c r="B577" s="146">
        <v>41985</v>
      </c>
      <c r="C577" t="s">
        <v>217</v>
      </c>
      <c r="D577" s="99">
        <v>27094</v>
      </c>
      <c r="E577" t="s">
        <v>212</v>
      </c>
      <c r="O577" s="160"/>
    </row>
    <row r="578" spans="2:15">
      <c r="B578" s="146">
        <v>41357</v>
      </c>
      <c r="C578" t="s">
        <v>218</v>
      </c>
      <c r="D578" s="99">
        <v>27283</v>
      </c>
      <c r="E578" t="s">
        <v>213</v>
      </c>
      <c r="O578" s="160"/>
    </row>
    <row r="579" spans="2:15">
      <c r="B579" s="146">
        <v>41927</v>
      </c>
      <c r="C579" t="s">
        <v>218</v>
      </c>
      <c r="D579" s="99">
        <v>26950</v>
      </c>
      <c r="E579" t="s">
        <v>210</v>
      </c>
      <c r="O579" s="160"/>
    </row>
    <row r="580" spans="2:15">
      <c r="B580" s="146">
        <v>41947</v>
      </c>
      <c r="C580" t="s">
        <v>218</v>
      </c>
      <c r="D580" s="99">
        <v>10303</v>
      </c>
      <c r="E580" t="s">
        <v>212</v>
      </c>
      <c r="O580" s="160"/>
    </row>
    <row r="581" spans="2:15">
      <c r="B581" s="146">
        <v>41889</v>
      </c>
      <c r="C581" t="s">
        <v>218</v>
      </c>
      <c r="D581" s="99">
        <v>28905</v>
      </c>
      <c r="E581" t="s">
        <v>213</v>
      </c>
      <c r="O581" s="160"/>
    </row>
    <row r="582" spans="2:15">
      <c r="B582" s="146">
        <v>41223</v>
      </c>
      <c r="C582" t="s">
        <v>218</v>
      </c>
      <c r="D582" s="99">
        <v>24222</v>
      </c>
      <c r="E582" t="s">
        <v>213</v>
      </c>
      <c r="O582" s="160"/>
    </row>
    <row r="583" spans="2:15">
      <c r="B583" s="146">
        <v>41804</v>
      </c>
      <c r="C583" t="s">
        <v>217</v>
      </c>
      <c r="D583" s="99">
        <v>32114</v>
      </c>
      <c r="E583" t="s">
        <v>211</v>
      </c>
      <c r="O583" s="160"/>
    </row>
    <row r="584" spans="2:15">
      <c r="B584" s="146">
        <v>41577</v>
      </c>
      <c r="C584" t="s">
        <v>217</v>
      </c>
      <c r="D584" s="99">
        <v>34866</v>
      </c>
      <c r="E584" t="s">
        <v>210</v>
      </c>
      <c r="O584" s="160"/>
    </row>
    <row r="585" spans="2:15">
      <c r="B585" s="146">
        <v>41692</v>
      </c>
      <c r="C585" t="s">
        <v>218</v>
      </c>
      <c r="D585" s="99">
        <v>30253</v>
      </c>
      <c r="E585" t="s">
        <v>211</v>
      </c>
      <c r="O585" s="160"/>
    </row>
    <row r="586" spans="2:15">
      <c r="B586" s="146">
        <v>41882</v>
      </c>
      <c r="C586" t="s">
        <v>217</v>
      </c>
      <c r="D586" s="99">
        <v>31412</v>
      </c>
      <c r="E586" t="s">
        <v>213</v>
      </c>
      <c r="O586" s="160"/>
    </row>
    <row r="587" spans="2:15">
      <c r="B587" s="146">
        <v>41411</v>
      </c>
      <c r="C587" t="s">
        <v>220</v>
      </c>
      <c r="D587" s="99">
        <v>33931</v>
      </c>
      <c r="E587" t="s">
        <v>211</v>
      </c>
      <c r="O587" s="160"/>
    </row>
    <row r="588" spans="2:15">
      <c r="B588" s="146">
        <v>41899</v>
      </c>
      <c r="C588" t="s">
        <v>218</v>
      </c>
      <c r="D588" s="99">
        <v>30935</v>
      </c>
      <c r="E588" t="s">
        <v>211</v>
      </c>
      <c r="O588" s="160"/>
    </row>
    <row r="589" spans="2:15">
      <c r="B589" s="146">
        <v>41353</v>
      </c>
      <c r="C589" t="s">
        <v>218</v>
      </c>
      <c r="D589" s="99">
        <v>11302</v>
      </c>
      <c r="E589" t="s">
        <v>213</v>
      </c>
      <c r="O589" s="160"/>
    </row>
    <row r="590" spans="2:15">
      <c r="B590" s="146">
        <v>41159</v>
      </c>
      <c r="C590" t="s">
        <v>217</v>
      </c>
      <c r="D590" s="99">
        <v>7692</v>
      </c>
      <c r="E590" t="s">
        <v>211</v>
      </c>
      <c r="O590" s="160"/>
    </row>
    <row r="591" spans="2:15">
      <c r="B591" s="146">
        <v>41994</v>
      </c>
      <c r="C591" t="s">
        <v>217</v>
      </c>
      <c r="D591" s="99">
        <v>15573</v>
      </c>
      <c r="E591" t="s">
        <v>212</v>
      </c>
      <c r="O591" s="160"/>
    </row>
    <row r="592" spans="2:15">
      <c r="B592" s="146">
        <v>41749</v>
      </c>
      <c r="C592" t="s">
        <v>217</v>
      </c>
      <c r="D592" s="99">
        <v>15817</v>
      </c>
      <c r="E592" t="s">
        <v>212</v>
      </c>
      <c r="O592" s="160"/>
    </row>
    <row r="593" spans="2:15">
      <c r="B593" s="146">
        <v>41178</v>
      </c>
      <c r="C593" t="s">
        <v>217</v>
      </c>
      <c r="D593" s="99">
        <v>9911</v>
      </c>
      <c r="E593" t="s">
        <v>213</v>
      </c>
      <c r="O593" s="160"/>
    </row>
    <row r="594" spans="2:15">
      <c r="B594" s="146">
        <v>41814</v>
      </c>
      <c r="C594" t="s">
        <v>219</v>
      </c>
      <c r="D594" s="99">
        <v>20542</v>
      </c>
      <c r="E594" t="s">
        <v>212</v>
      </c>
      <c r="O594" s="160"/>
    </row>
    <row r="595" spans="2:15">
      <c r="B595" s="146">
        <v>41159</v>
      </c>
      <c r="C595" t="s">
        <v>217</v>
      </c>
      <c r="D595" s="99">
        <v>25556</v>
      </c>
      <c r="E595" t="s">
        <v>212</v>
      </c>
      <c r="O595" s="160"/>
    </row>
    <row r="596" spans="2:15">
      <c r="B596" s="146">
        <v>41288</v>
      </c>
      <c r="C596" t="s">
        <v>220</v>
      </c>
      <c r="D596" s="99">
        <v>27393</v>
      </c>
      <c r="E596" t="s">
        <v>210</v>
      </c>
      <c r="O596" s="160"/>
    </row>
    <row r="597" spans="2:15">
      <c r="B597" s="146">
        <v>41652</v>
      </c>
      <c r="C597" t="s">
        <v>220</v>
      </c>
      <c r="D597" s="99">
        <v>25504</v>
      </c>
      <c r="E597" t="s">
        <v>212</v>
      </c>
      <c r="O597" s="160"/>
    </row>
    <row r="598" spans="2:15">
      <c r="B598" s="146">
        <v>41388</v>
      </c>
      <c r="C598" t="s">
        <v>218</v>
      </c>
      <c r="D598" s="99">
        <v>27477</v>
      </c>
      <c r="E598" t="s">
        <v>210</v>
      </c>
      <c r="O598" s="160"/>
    </row>
    <row r="599" spans="2:15">
      <c r="B599" s="146">
        <v>41827</v>
      </c>
      <c r="C599" t="s">
        <v>217</v>
      </c>
      <c r="D599" s="99">
        <v>7671</v>
      </c>
      <c r="E599" t="s">
        <v>213</v>
      </c>
      <c r="O599" s="160"/>
    </row>
    <row r="600" spans="2:15">
      <c r="B600" s="146">
        <v>41249</v>
      </c>
      <c r="C600" t="s">
        <v>219</v>
      </c>
      <c r="D600" s="99">
        <v>38851</v>
      </c>
      <c r="E600" t="s">
        <v>213</v>
      </c>
      <c r="O600" s="160"/>
    </row>
    <row r="601" spans="2:15">
      <c r="B601" s="146">
        <v>41606</v>
      </c>
      <c r="C601" t="s">
        <v>218</v>
      </c>
      <c r="D601" s="99">
        <v>34402</v>
      </c>
      <c r="E601" t="s">
        <v>211</v>
      </c>
      <c r="O601" s="160"/>
    </row>
    <row r="602" spans="2:15">
      <c r="B602" s="146">
        <v>41344</v>
      </c>
      <c r="C602" t="s">
        <v>219</v>
      </c>
      <c r="D602" s="99">
        <v>31756</v>
      </c>
      <c r="E602" t="s">
        <v>211</v>
      </c>
      <c r="O602" s="160"/>
    </row>
    <row r="603" spans="2:15">
      <c r="B603" s="146">
        <v>41832</v>
      </c>
      <c r="C603" t="s">
        <v>220</v>
      </c>
      <c r="D603" s="99">
        <v>22736</v>
      </c>
      <c r="E603" t="s">
        <v>210</v>
      </c>
      <c r="O603" s="160"/>
    </row>
    <row r="604" spans="2:15">
      <c r="B604" s="146">
        <v>41376</v>
      </c>
      <c r="C604" t="s">
        <v>220</v>
      </c>
      <c r="D604" s="99">
        <v>21416</v>
      </c>
      <c r="E604" t="s">
        <v>210</v>
      </c>
      <c r="O604" s="160"/>
    </row>
    <row r="605" spans="2:15">
      <c r="B605" s="146">
        <v>41497</v>
      </c>
      <c r="C605" t="s">
        <v>220</v>
      </c>
      <c r="D605" s="99">
        <v>38825</v>
      </c>
      <c r="E605" t="s">
        <v>213</v>
      </c>
      <c r="O605" s="160"/>
    </row>
    <row r="606" spans="2:15">
      <c r="B606" s="146">
        <v>41693</v>
      </c>
      <c r="C606" t="s">
        <v>219</v>
      </c>
      <c r="D606" s="99">
        <v>18762</v>
      </c>
      <c r="E606" t="s">
        <v>210</v>
      </c>
      <c r="O606" s="160"/>
    </row>
    <row r="607" spans="2:15">
      <c r="B607" s="146">
        <v>41642</v>
      </c>
      <c r="C607" t="s">
        <v>218</v>
      </c>
      <c r="D607" s="99">
        <v>20104</v>
      </c>
      <c r="E607" t="s">
        <v>213</v>
      </c>
      <c r="O607" s="160"/>
    </row>
    <row r="608" spans="2:15">
      <c r="B608" s="146">
        <v>41562</v>
      </c>
      <c r="C608" t="s">
        <v>217</v>
      </c>
      <c r="D608" s="99">
        <v>19993</v>
      </c>
      <c r="E608" t="s">
        <v>211</v>
      </c>
      <c r="O608" s="160"/>
    </row>
    <row r="609" spans="2:15">
      <c r="B609" s="146">
        <v>41932</v>
      </c>
      <c r="C609" t="s">
        <v>220</v>
      </c>
      <c r="D609" s="99">
        <v>34975</v>
      </c>
      <c r="E609" t="s">
        <v>213</v>
      </c>
      <c r="O609" s="160"/>
    </row>
    <row r="610" spans="2:15">
      <c r="B610" s="146">
        <v>41650</v>
      </c>
      <c r="C610" t="s">
        <v>218</v>
      </c>
      <c r="D610" s="99">
        <v>17555</v>
      </c>
      <c r="E610" t="s">
        <v>211</v>
      </c>
      <c r="O610" s="160"/>
    </row>
    <row r="611" spans="2:15">
      <c r="B611" s="146">
        <v>41653</v>
      </c>
      <c r="C611" t="s">
        <v>218</v>
      </c>
      <c r="D611" s="99">
        <v>9102</v>
      </c>
      <c r="E611" t="s">
        <v>213</v>
      </c>
      <c r="O611" s="160"/>
    </row>
    <row r="612" spans="2:15">
      <c r="B612" s="146">
        <v>41945</v>
      </c>
      <c r="C612" t="s">
        <v>220</v>
      </c>
      <c r="D612" s="99">
        <v>27418</v>
      </c>
      <c r="E612" t="s">
        <v>210</v>
      </c>
      <c r="O612" s="160"/>
    </row>
    <row r="613" spans="2:15">
      <c r="B613" s="146">
        <v>41362</v>
      </c>
      <c r="C613" t="s">
        <v>220</v>
      </c>
      <c r="D613" s="99">
        <v>26972</v>
      </c>
      <c r="E613" t="s">
        <v>213</v>
      </c>
      <c r="O613" s="160"/>
    </row>
    <row r="614" spans="2:15">
      <c r="B614" s="146">
        <v>41992</v>
      </c>
      <c r="C614" t="s">
        <v>218</v>
      </c>
      <c r="D614" s="99">
        <v>5237</v>
      </c>
      <c r="E614" t="s">
        <v>213</v>
      </c>
      <c r="O614" s="160"/>
    </row>
    <row r="615" spans="2:15">
      <c r="B615" s="146">
        <v>41155</v>
      </c>
      <c r="C615" t="s">
        <v>218</v>
      </c>
      <c r="D615" s="99">
        <v>18605</v>
      </c>
      <c r="E615" t="s">
        <v>210</v>
      </c>
      <c r="O615" s="160"/>
    </row>
    <row r="616" spans="2:15">
      <c r="B616" s="146">
        <v>41245</v>
      </c>
      <c r="C616" t="s">
        <v>220</v>
      </c>
      <c r="D616" s="99">
        <v>31200</v>
      </c>
      <c r="E616" t="s">
        <v>211</v>
      </c>
      <c r="O616" s="160"/>
    </row>
    <row r="617" spans="2:15">
      <c r="B617" s="146">
        <v>41640</v>
      </c>
      <c r="C617" t="s">
        <v>217</v>
      </c>
      <c r="D617" s="99">
        <v>34107</v>
      </c>
      <c r="E617" t="s">
        <v>210</v>
      </c>
      <c r="O617" s="160"/>
    </row>
    <row r="618" spans="2:15">
      <c r="B618" s="146">
        <v>41915</v>
      </c>
      <c r="C618" t="s">
        <v>217</v>
      </c>
      <c r="D618" s="99">
        <v>23828</v>
      </c>
      <c r="E618" t="s">
        <v>210</v>
      </c>
      <c r="O618" s="160"/>
    </row>
    <row r="619" spans="2:15">
      <c r="B619" s="146">
        <v>41536</v>
      </c>
      <c r="C619" t="s">
        <v>219</v>
      </c>
      <c r="D619" s="99">
        <v>34836</v>
      </c>
      <c r="E619" t="s">
        <v>212</v>
      </c>
      <c r="O619" s="160"/>
    </row>
    <row r="620" spans="2:15">
      <c r="B620" s="146">
        <v>41291</v>
      </c>
      <c r="C620" t="s">
        <v>217</v>
      </c>
      <c r="D620" s="99">
        <v>36801</v>
      </c>
      <c r="E620" t="s">
        <v>213</v>
      </c>
      <c r="O620" s="160"/>
    </row>
    <row r="621" spans="2:15">
      <c r="B621" s="146">
        <v>41609</v>
      </c>
      <c r="C621" t="s">
        <v>218</v>
      </c>
      <c r="D621" s="99">
        <v>29335</v>
      </c>
      <c r="E621" t="s">
        <v>213</v>
      </c>
      <c r="O621" s="160"/>
    </row>
    <row r="622" spans="2:15">
      <c r="B622" s="146">
        <v>41180</v>
      </c>
      <c r="C622" t="s">
        <v>218</v>
      </c>
      <c r="D622" s="99">
        <v>5278</v>
      </c>
      <c r="E622" t="s">
        <v>212</v>
      </c>
      <c r="O622" s="160"/>
    </row>
    <row r="623" spans="2:15">
      <c r="B623" s="146">
        <v>41168</v>
      </c>
      <c r="C623" t="s">
        <v>219</v>
      </c>
      <c r="D623" s="99">
        <v>19513</v>
      </c>
      <c r="E623" t="s">
        <v>211</v>
      </c>
      <c r="O623" s="160"/>
    </row>
    <row r="624" spans="2:15">
      <c r="B624" s="146">
        <v>41361</v>
      </c>
      <c r="C624" t="s">
        <v>217</v>
      </c>
      <c r="D624" s="99">
        <v>39828</v>
      </c>
      <c r="E624" t="s">
        <v>211</v>
      </c>
      <c r="O624" s="160"/>
    </row>
    <row r="625" spans="2:15">
      <c r="B625" s="146">
        <v>41201</v>
      </c>
      <c r="C625" t="s">
        <v>217</v>
      </c>
      <c r="D625" s="99">
        <v>7157</v>
      </c>
      <c r="E625" t="s">
        <v>211</v>
      </c>
      <c r="O625" s="160"/>
    </row>
    <row r="626" spans="2:15">
      <c r="B626" s="146">
        <v>41228</v>
      </c>
      <c r="C626" t="s">
        <v>218</v>
      </c>
      <c r="D626" s="99">
        <v>33506</v>
      </c>
      <c r="E626" t="s">
        <v>213</v>
      </c>
      <c r="O626" s="160"/>
    </row>
    <row r="627" spans="2:15">
      <c r="B627" s="146">
        <v>41788</v>
      </c>
      <c r="C627" t="s">
        <v>217</v>
      </c>
      <c r="D627" s="99">
        <v>22626</v>
      </c>
      <c r="E627" t="s">
        <v>212</v>
      </c>
      <c r="O627" s="160"/>
    </row>
    <row r="628" spans="2:15">
      <c r="B628" s="146">
        <v>41397</v>
      </c>
      <c r="C628" t="s">
        <v>217</v>
      </c>
      <c r="D628" s="99">
        <v>5548</v>
      </c>
      <c r="E628" t="s">
        <v>212</v>
      </c>
      <c r="O628" s="160"/>
    </row>
    <row r="629" spans="2:15">
      <c r="B629" s="146">
        <v>41158</v>
      </c>
      <c r="C629" t="s">
        <v>219</v>
      </c>
      <c r="D629" s="99">
        <v>33353</v>
      </c>
      <c r="E629" t="s">
        <v>213</v>
      </c>
      <c r="O629" s="160"/>
    </row>
    <row r="630" spans="2:15">
      <c r="B630" s="146">
        <v>41229</v>
      </c>
      <c r="C630" t="s">
        <v>219</v>
      </c>
      <c r="D630" s="99">
        <v>26955</v>
      </c>
      <c r="E630" t="s">
        <v>211</v>
      </c>
      <c r="O630" s="160"/>
    </row>
    <row r="631" spans="2:15">
      <c r="B631" s="146">
        <v>41234</v>
      </c>
      <c r="C631" t="s">
        <v>219</v>
      </c>
      <c r="D631" s="99">
        <v>10366</v>
      </c>
      <c r="E631" t="s">
        <v>213</v>
      </c>
      <c r="O631" s="160"/>
    </row>
    <row r="632" spans="2:15">
      <c r="B632" s="146">
        <v>41802</v>
      </c>
      <c r="C632" t="s">
        <v>220</v>
      </c>
      <c r="D632" s="99">
        <v>26302</v>
      </c>
      <c r="E632" t="s">
        <v>211</v>
      </c>
      <c r="O632" s="160"/>
    </row>
    <row r="633" spans="2:15">
      <c r="B633" s="146">
        <v>41475</v>
      </c>
      <c r="C633" t="s">
        <v>217</v>
      </c>
      <c r="D633" s="99">
        <v>5268</v>
      </c>
      <c r="E633" t="s">
        <v>211</v>
      </c>
      <c r="O633" s="160"/>
    </row>
    <row r="634" spans="2:15">
      <c r="B634" s="146">
        <v>41230</v>
      </c>
      <c r="C634" t="s">
        <v>220</v>
      </c>
      <c r="D634" s="99">
        <v>14226</v>
      </c>
      <c r="E634" t="s">
        <v>213</v>
      </c>
      <c r="O634" s="160"/>
    </row>
    <row r="635" spans="2:15">
      <c r="B635" s="146">
        <v>41576</v>
      </c>
      <c r="C635" t="s">
        <v>218</v>
      </c>
      <c r="D635" s="99">
        <v>10398</v>
      </c>
      <c r="E635" t="s">
        <v>211</v>
      </c>
      <c r="O635" s="160"/>
    </row>
    <row r="636" spans="2:15">
      <c r="B636" s="146">
        <v>41384</v>
      </c>
      <c r="C636" t="s">
        <v>219</v>
      </c>
      <c r="D636" s="99">
        <v>17734</v>
      </c>
      <c r="E636" t="s">
        <v>210</v>
      </c>
      <c r="O636" s="160"/>
    </row>
    <row r="637" spans="2:15">
      <c r="B637" s="146">
        <v>41895</v>
      </c>
      <c r="C637" t="s">
        <v>219</v>
      </c>
      <c r="D637" s="99">
        <v>16281</v>
      </c>
      <c r="E637" t="s">
        <v>213</v>
      </c>
      <c r="O637" s="160"/>
    </row>
    <row r="638" spans="2:15">
      <c r="B638" s="146">
        <v>41541</v>
      </c>
      <c r="C638" t="s">
        <v>217</v>
      </c>
      <c r="D638" s="99">
        <v>11384</v>
      </c>
      <c r="E638" t="s">
        <v>212</v>
      </c>
      <c r="O638" s="160"/>
    </row>
    <row r="639" spans="2:15">
      <c r="B639" s="146">
        <v>41951</v>
      </c>
      <c r="C639" t="s">
        <v>219</v>
      </c>
      <c r="D639" s="99">
        <v>39619</v>
      </c>
      <c r="E639" t="s">
        <v>211</v>
      </c>
      <c r="O639" s="160"/>
    </row>
    <row r="640" spans="2:15">
      <c r="B640" s="146">
        <v>41679</v>
      </c>
      <c r="C640" t="s">
        <v>219</v>
      </c>
      <c r="D640" s="99">
        <v>25327</v>
      </c>
      <c r="E640" t="s">
        <v>211</v>
      </c>
      <c r="O640" s="160"/>
    </row>
    <row r="641" spans="2:15">
      <c r="B641" s="146">
        <v>41922</v>
      </c>
      <c r="C641" t="s">
        <v>217</v>
      </c>
      <c r="D641" s="99">
        <v>5509</v>
      </c>
      <c r="E641" t="s">
        <v>211</v>
      </c>
      <c r="O641" s="160"/>
    </row>
    <row r="642" spans="2:15">
      <c r="B642" s="146">
        <v>41568</v>
      </c>
      <c r="C642" t="s">
        <v>220</v>
      </c>
      <c r="D642" s="99">
        <v>21274</v>
      </c>
      <c r="E642" t="s">
        <v>212</v>
      </c>
      <c r="O642" s="160"/>
    </row>
    <row r="643" spans="2:15">
      <c r="B643" s="146">
        <v>41486</v>
      </c>
      <c r="C643" t="s">
        <v>220</v>
      </c>
      <c r="D643" s="99">
        <v>15492</v>
      </c>
      <c r="E643" t="s">
        <v>210</v>
      </c>
      <c r="O643" s="160"/>
    </row>
    <row r="644" spans="2:15">
      <c r="B644" s="146">
        <v>41464</v>
      </c>
      <c r="C644" t="s">
        <v>219</v>
      </c>
      <c r="D644" s="99">
        <v>11305</v>
      </c>
      <c r="E644" t="s">
        <v>213</v>
      </c>
      <c r="O644" s="160"/>
    </row>
    <row r="645" spans="2:15">
      <c r="B645" s="146">
        <v>41655</v>
      </c>
      <c r="C645" t="s">
        <v>218</v>
      </c>
      <c r="D645" s="99">
        <v>35979</v>
      </c>
      <c r="E645" t="s">
        <v>212</v>
      </c>
      <c r="O645" s="160"/>
    </row>
    <row r="646" spans="2:15">
      <c r="B646" s="146">
        <v>41856</v>
      </c>
      <c r="C646" t="s">
        <v>217</v>
      </c>
      <c r="D646" s="99">
        <v>14941</v>
      </c>
      <c r="E646" t="s">
        <v>213</v>
      </c>
      <c r="O646" s="160"/>
    </row>
    <row r="647" spans="2:15">
      <c r="B647" s="146">
        <v>41224</v>
      </c>
      <c r="C647" t="s">
        <v>218</v>
      </c>
      <c r="D647" s="99">
        <v>15086</v>
      </c>
      <c r="E647" t="s">
        <v>213</v>
      </c>
      <c r="O647" s="160"/>
    </row>
    <row r="648" spans="2:15">
      <c r="B648" s="146">
        <v>41508</v>
      </c>
      <c r="C648" t="s">
        <v>218</v>
      </c>
      <c r="D648" s="99">
        <v>10046</v>
      </c>
      <c r="E648" t="s">
        <v>210</v>
      </c>
      <c r="O648" s="160"/>
    </row>
    <row r="649" spans="2:15">
      <c r="B649" s="146">
        <v>41964</v>
      </c>
      <c r="C649" t="s">
        <v>217</v>
      </c>
      <c r="D649" s="99">
        <v>8318</v>
      </c>
      <c r="E649" t="s">
        <v>210</v>
      </c>
      <c r="O649" s="160"/>
    </row>
    <row r="650" spans="2:15">
      <c r="B650" s="146">
        <v>41825</v>
      </c>
      <c r="C650" t="s">
        <v>219</v>
      </c>
      <c r="D650" s="99">
        <v>34949</v>
      </c>
      <c r="E650" t="s">
        <v>211</v>
      </c>
      <c r="O650" s="160"/>
    </row>
    <row r="651" spans="2:15">
      <c r="B651" s="146">
        <v>41182</v>
      </c>
      <c r="C651" t="s">
        <v>218</v>
      </c>
      <c r="D651" s="99">
        <v>15050</v>
      </c>
      <c r="E651" t="s">
        <v>211</v>
      </c>
      <c r="O651" s="160"/>
    </row>
    <row r="652" spans="2:15">
      <c r="B652" s="146">
        <v>41467</v>
      </c>
      <c r="C652" t="s">
        <v>220</v>
      </c>
      <c r="D652" s="99">
        <v>9820</v>
      </c>
      <c r="E652" t="s">
        <v>210</v>
      </c>
      <c r="O652" s="160"/>
    </row>
    <row r="653" spans="2:15">
      <c r="B653" s="146">
        <v>41657</v>
      </c>
      <c r="C653" t="s">
        <v>218</v>
      </c>
      <c r="D653" s="99">
        <v>29468</v>
      </c>
      <c r="E653" t="s">
        <v>210</v>
      </c>
      <c r="O653" s="160"/>
    </row>
    <row r="654" spans="2:15">
      <c r="B654" s="146">
        <v>41298</v>
      </c>
      <c r="C654" t="s">
        <v>217</v>
      </c>
      <c r="D654" s="99">
        <v>5680</v>
      </c>
      <c r="E654" t="s">
        <v>212</v>
      </c>
      <c r="O654" s="160"/>
    </row>
    <row r="655" spans="2:15">
      <c r="B655" s="146">
        <v>41832</v>
      </c>
      <c r="C655" t="s">
        <v>220</v>
      </c>
      <c r="D655" s="99">
        <v>18208</v>
      </c>
      <c r="E655" t="s">
        <v>212</v>
      </c>
      <c r="O655" s="160"/>
    </row>
    <row r="656" spans="2:15">
      <c r="B656" s="146">
        <v>41321</v>
      </c>
      <c r="C656" t="s">
        <v>218</v>
      </c>
      <c r="D656" s="99">
        <v>19698</v>
      </c>
      <c r="E656" t="s">
        <v>211</v>
      </c>
      <c r="O656" s="160"/>
    </row>
    <row r="657" spans="2:15">
      <c r="B657" s="146">
        <v>41917</v>
      </c>
      <c r="C657" t="s">
        <v>219</v>
      </c>
      <c r="D657" s="99">
        <v>34774</v>
      </c>
      <c r="E657" t="s">
        <v>210</v>
      </c>
      <c r="O657" s="160"/>
    </row>
    <row r="658" spans="2:15">
      <c r="B658" s="146">
        <v>41875</v>
      </c>
      <c r="C658" t="s">
        <v>220</v>
      </c>
      <c r="D658" s="99">
        <v>27196</v>
      </c>
      <c r="E658" t="s">
        <v>212</v>
      </c>
      <c r="O658" s="160"/>
    </row>
    <row r="659" spans="2:15">
      <c r="B659" s="146">
        <v>41146</v>
      </c>
      <c r="C659" t="s">
        <v>220</v>
      </c>
      <c r="D659" s="99">
        <v>24020</v>
      </c>
      <c r="E659" t="s">
        <v>210</v>
      </c>
      <c r="O659" s="160"/>
    </row>
    <row r="660" spans="2:15">
      <c r="B660" s="146">
        <v>41757</v>
      </c>
      <c r="C660" t="s">
        <v>219</v>
      </c>
      <c r="D660" s="99">
        <v>24616</v>
      </c>
      <c r="E660" t="s">
        <v>212</v>
      </c>
      <c r="O660" s="160"/>
    </row>
    <row r="661" spans="2:15">
      <c r="B661" s="146">
        <v>41651</v>
      </c>
      <c r="C661" t="s">
        <v>217</v>
      </c>
      <c r="D661" s="99">
        <v>28943</v>
      </c>
      <c r="E661" t="s">
        <v>212</v>
      </c>
      <c r="O661" s="160"/>
    </row>
    <row r="662" spans="2:15">
      <c r="B662" s="146">
        <v>41536</v>
      </c>
      <c r="C662" t="s">
        <v>218</v>
      </c>
      <c r="D662" s="99">
        <v>35860</v>
      </c>
      <c r="E662" t="s">
        <v>210</v>
      </c>
      <c r="O662" s="160"/>
    </row>
    <row r="663" spans="2:15">
      <c r="B663" s="146">
        <v>41384</v>
      </c>
      <c r="C663" t="s">
        <v>218</v>
      </c>
      <c r="D663" s="99">
        <v>23775</v>
      </c>
      <c r="E663" t="s">
        <v>212</v>
      </c>
      <c r="O663" s="160"/>
    </row>
    <row r="664" spans="2:15">
      <c r="B664" s="146">
        <v>41126</v>
      </c>
      <c r="C664" t="s">
        <v>220</v>
      </c>
      <c r="D664" s="99">
        <v>16123</v>
      </c>
      <c r="E664" t="s">
        <v>211</v>
      </c>
      <c r="O664" s="160"/>
    </row>
    <row r="665" spans="2:15">
      <c r="B665" s="146">
        <v>41489</v>
      </c>
      <c r="C665" t="s">
        <v>219</v>
      </c>
      <c r="D665" s="99">
        <v>28182</v>
      </c>
      <c r="E665" t="s">
        <v>212</v>
      </c>
      <c r="O665" s="160"/>
    </row>
    <row r="666" spans="2:15">
      <c r="B666" s="146">
        <v>41535</v>
      </c>
      <c r="C666" t="s">
        <v>218</v>
      </c>
      <c r="D666" s="99">
        <v>14091</v>
      </c>
      <c r="E666" t="s">
        <v>210</v>
      </c>
      <c r="O666" s="160"/>
    </row>
    <row r="667" spans="2:15">
      <c r="B667" s="146">
        <v>41162</v>
      </c>
      <c r="C667" t="s">
        <v>220</v>
      </c>
      <c r="D667" s="99">
        <v>9842</v>
      </c>
      <c r="E667" t="s">
        <v>210</v>
      </c>
      <c r="O667" s="160"/>
    </row>
    <row r="668" spans="2:15">
      <c r="B668" s="146">
        <v>41685</v>
      </c>
      <c r="C668" t="s">
        <v>219</v>
      </c>
      <c r="D668" s="99">
        <v>36045</v>
      </c>
      <c r="E668" t="s">
        <v>212</v>
      </c>
      <c r="O668" s="160"/>
    </row>
    <row r="669" spans="2:15">
      <c r="B669" s="146">
        <v>41948</v>
      </c>
      <c r="C669" t="s">
        <v>217</v>
      </c>
      <c r="D669" s="99">
        <v>11022</v>
      </c>
      <c r="E669" t="s">
        <v>212</v>
      </c>
      <c r="O669" s="160"/>
    </row>
    <row r="670" spans="2:15">
      <c r="B670" s="146">
        <v>41812</v>
      </c>
      <c r="C670" t="s">
        <v>220</v>
      </c>
      <c r="D670" s="99">
        <v>15698</v>
      </c>
      <c r="E670" t="s">
        <v>211</v>
      </c>
      <c r="O670" s="160"/>
    </row>
    <row r="671" spans="2:15">
      <c r="B671" s="146">
        <v>42018</v>
      </c>
      <c r="C671" t="s">
        <v>220</v>
      </c>
      <c r="D671" s="99">
        <v>15060</v>
      </c>
      <c r="E671" t="s">
        <v>211</v>
      </c>
      <c r="O671" s="160"/>
    </row>
    <row r="672" spans="2:15">
      <c r="B672" s="146">
        <v>41992</v>
      </c>
      <c r="C672" t="s">
        <v>219</v>
      </c>
      <c r="D672" s="99">
        <v>28267</v>
      </c>
      <c r="E672" t="s">
        <v>210</v>
      </c>
      <c r="O672" s="160"/>
    </row>
    <row r="673" spans="2:15">
      <c r="B673" s="146">
        <v>41546</v>
      </c>
      <c r="C673" t="s">
        <v>220</v>
      </c>
      <c r="D673" s="99">
        <v>15454</v>
      </c>
      <c r="E673" t="s">
        <v>210</v>
      </c>
      <c r="O673" s="160"/>
    </row>
    <row r="674" spans="2:15">
      <c r="B674" s="146">
        <v>41710</v>
      </c>
      <c r="C674" t="s">
        <v>218</v>
      </c>
      <c r="D674" s="99">
        <v>37306</v>
      </c>
      <c r="E674" t="s">
        <v>213</v>
      </c>
      <c r="O674" s="160"/>
    </row>
    <row r="675" spans="2:15">
      <c r="B675" s="146">
        <v>41972</v>
      </c>
      <c r="C675" t="s">
        <v>218</v>
      </c>
      <c r="D675" s="99">
        <v>32163</v>
      </c>
      <c r="E675" t="s">
        <v>213</v>
      </c>
      <c r="O675" s="160"/>
    </row>
    <row r="676" spans="2:15">
      <c r="B676" s="146">
        <v>41756</v>
      </c>
      <c r="C676" t="s">
        <v>217</v>
      </c>
      <c r="D676" s="99">
        <v>30221</v>
      </c>
      <c r="E676" t="s">
        <v>211</v>
      </c>
      <c r="O676" s="160"/>
    </row>
    <row r="677" spans="2:15">
      <c r="B677" s="146">
        <v>41263</v>
      </c>
      <c r="C677" t="s">
        <v>220</v>
      </c>
      <c r="D677" s="99">
        <v>5187</v>
      </c>
      <c r="E677" t="s">
        <v>211</v>
      </c>
      <c r="O677" s="160"/>
    </row>
    <row r="678" spans="2:15">
      <c r="B678" s="146">
        <v>41843</v>
      </c>
      <c r="C678" t="s">
        <v>218</v>
      </c>
      <c r="D678" s="99">
        <v>38237</v>
      </c>
      <c r="E678" t="s">
        <v>213</v>
      </c>
      <c r="O678" s="160"/>
    </row>
    <row r="679" spans="2:15">
      <c r="B679" s="146">
        <v>41654</v>
      </c>
      <c r="C679" t="s">
        <v>220</v>
      </c>
      <c r="D679" s="99">
        <v>38312</v>
      </c>
      <c r="E679" t="s">
        <v>211</v>
      </c>
      <c r="O679" s="160"/>
    </row>
    <row r="680" spans="2:15">
      <c r="B680" s="146">
        <v>41906</v>
      </c>
      <c r="C680" t="s">
        <v>219</v>
      </c>
      <c r="D680" s="99">
        <v>27972</v>
      </c>
      <c r="E680" t="s">
        <v>213</v>
      </c>
      <c r="O680" s="160"/>
    </row>
    <row r="681" spans="2:15">
      <c r="B681" s="146">
        <v>41764</v>
      </c>
      <c r="C681" t="s">
        <v>218</v>
      </c>
      <c r="D681" s="99">
        <v>12172</v>
      </c>
      <c r="E681" t="s">
        <v>212</v>
      </c>
      <c r="O681" s="160"/>
    </row>
    <row r="682" spans="2:15">
      <c r="B682" s="146">
        <v>41924</v>
      </c>
      <c r="C682" t="s">
        <v>220</v>
      </c>
      <c r="D682" s="99">
        <v>35898</v>
      </c>
      <c r="E682" t="s">
        <v>211</v>
      </c>
      <c r="O682" s="160"/>
    </row>
    <row r="683" spans="2:15">
      <c r="B683" s="146">
        <v>41773</v>
      </c>
      <c r="C683" t="s">
        <v>218</v>
      </c>
      <c r="D683" s="99">
        <v>35713</v>
      </c>
      <c r="E683" t="s">
        <v>213</v>
      </c>
      <c r="O683" s="160"/>
    </row>
    <row r="684" spans="2:15">
      <c r="B684" s="146">
        <v>41744</v>
      </c>
      <c r="C684" t="s">
        <v>220</v>
      </c>
      <c r="D684" s="99">
        <v>39706</v>
      </c>
      <c r="E684" t="s">
        <v>211</v>
      </c>
      <c r="O684" s="160"/>
    </row>
    <row r="685" spans="2:15">
      <c r="B685" s="146">
        <v>41383</v>
      </c>
      <c r="C685" t="s">
        <v>220</v>
      </c>
      <c r="D685" s="99">
        <v>10495</v>
      </c>
      <c r="E685" t="s">
        <v>210</v>
      </c>
      <c r="O685" s="160"/>
    </row>
    <row r="686" spans="2:15">
      <c r="B686" s="146">
        <v>41216</v>
      </c>
      <c r="C686" t="s">
        <v>220</v>
      </c>
      <c r="D686" s="99">
        <v>26609</v>
      </c>
      <c r="E686" t="s">
        <v>211</v>
      </c>
      <c r="O686" s="160"/>
    </row>
    <row r="687" spans="2:15">
      <c r="B687" s="146">
        <v>41142</v>
      </c>
      <c r="C687" t="s">
        <v>218</v>
      </c>
      <c r="D687" s="99">
        <v>17256</v>
      </c>
      <c r="E687" t="s">
        <v>213</v>
      </c>
      <c r="O687" s="160"/>
    </row>
    <row r="688" spans="2:15">
      <c r="B688" s="146">
        <v>41548</v>
      </c>
      <c r="C688" t="s">
        <v>217</v>
      </c>
      <c r="D688" s="99">
        <v>21066</v>
      </c>
      <c r="E688" t="s">
        <v>213</v>
      </c>
      <c r="O688" s="160"/>
    </row>
    <row r="689" spans="2:15">
      <c r="B689" s="146">
        <v>41594</v>
      </c>
      <c r="C689" t="s">
        <v>220</v>
      </c>
      <c r="D689" s="99">
        <v>11832</v>
      </c>
      <c r="E689" t="s">
        <v>210</v>
      </c>
      <c r="O689" s="160"/>
    </row>
    <row r="690" spans="2:15">
      <c r="B690" s="146">
        <v>41511</v>
      </c>
      <c r="C690" t="s">
        <v>217</v>
      </c>
      <c r="D690" s="99">
        <v>13733</v>
      </c>
      <c r="E690" t="s">
        <v>210</v>
      </c>
      <c r="O690" s="160"/>
    </row>
    <row r="691" spans="2:15">
      <c r="B691" s="146">
        <v>41453</v>
      </c>
      <c r="C691" t="s">
        <v>218</v>
      </c>
      <c r="D691" s="99">
        <v>26758</v>
      </c>
      <c r="E691" t="s">
        <v>210</v>
      </c>
      <c r="O691" s="160"/>
    </row>
    <row r="692" spans="2:15">
      <c r="B692" s="146">
        <v>41402</v>
      </c>
      <c r="C692" t="s">
        <v>220</v>
      </c>
      <c r="D692" s="99">
        <v>5412</v>
      </c>
      <c r="E692" t="s">
        <v>213</v>
      </c>
      <c r="O692" s="160"/>
    </row>
    <row r="693" spans="2:15">
      <c r="B693" s="146">
        <v>41843</v>
      </c>
      <c r="C693" t="s">
        <v>220</v>
      </c>
      <c r="D693" s="99">
        <v>6200</v>
      </c>
      <c r="E693" t="s">
        <v>212</v>
      </c>
      <c r="O693" s="160"/>
    </row>
    <row r="694" spans="2:15">
      <c r="B694" s="146">
        <v>41678</v>
      </c>
      <c r="C694" t="s">
        <v>220</v>
      </c>
      <c r="D694" s="99">
        <v>17313</v>
      </c>
      <c r="E694" t="s">
        <v>211</v>
      </c>
      <c r="O694" s="160"/>
    </row>
    <row r="695" spans="2:15">
      <c r="B695" s="146">
        <v>41168</v>
      </c>
      <c r="C695" t="s">
        <v>219</v>
      </c>
      <c r="D695" s="99">
        <v>37846</v>
      </c>
      <c r="E695" t="s">
        <v>212</v>
      </c>
      <c r="O695" s="160"/>
    </row>
    <row r="696" spans="2:15">
      <c r="B696" s="146">
        <v>41901</v>
      </c>
      <c r="C696" t="s">
        <v>217</v>
      </c>
      <c r="D696" s="99">
        <v>7803</v>
      </c>
      <c r="E696" t="s">
        <v>213</v>
      </c>
      <c r="O696" s="160"/>
    </row>
    <row r="697" spans="2:15">
      <c r="B697" s="146">
        <v>41222</v>
      </c>
      <c r="C697" t="s">
        <v>217</v>
      </c>
      <c r="D697" s="99">
        <v>28588</v>
      </c>
      <c r="E697" t="s">
        <v>211</v>
      </c>
      <c r="O697" s="160"/>
    </row>
    <row r="698" spans="2:15">
      <c r="B698" s="146">
        <v>41422</v>
      </c>
      <c r="C698" t="s">
        <v>217</v>
      </c>
      <c r="D698" s="99">
        <v>22553</v>
      </c>
      <c r="E698" t="s">
        <v>210</v>
      </c>
      <c r="O698" s="160"/>
    </row>
    <row r="699" spans="2:15">
      <c r="B699" s="146">
        <v>41319</v>
      </c>
      <c r="C699" t="s">
        <v>217</v>
      </c>
      <c r="D699" s="99">
        <v>19311</v>
      </c>
      <c r="E699" t="s">
        <v>210</v>
      </c>
      <c r="O699" s="160"/>
    </row>
    <row r="700" spans="2:15">
      <c r="B700" s="146">
        <v>41672</v>
      </c>
      <c r="C700" t="s">
        <v>219</v>
      </c>
      <c r="D700" s="99">
        <v>34005</v>
      </c>
      <c r="E700" t="s">
        <v>211</v>
      </c>
      <c r="O700" s="160"/>
    </row>
    <row r="701" spans="2:15">
      <c r="B701" s="146">
        <v>41954</v>
      </c>
      <c r="C701" t="s">
        <v>217</v>
      </c>
      <c r="D701" s="99">
        <v>12271</v>
      </c>
      <c r="E701" t="s">
        <v>213</v>
      </c>
      <c r="O701" s="160"/>
    </row>
    <row r="702" spans="2:15">
      <c r="B702" s="146">
        <v>41296</v>
      </c>
      <c r="C702" t="s">
        <v>217</v>
      </c>
      <c r="D702" s="99">
        <v>19449</v>
      </c>
      <c r="E702" t="s">
        <v>210</v>
      </c>
      <c r="O702" s="160"/>
    </row>
    <row r="703" spans="2:15">
      <c r="B703" s="146">
        <v>41231</v>
      </c>
      <c r="C703" t="s">
        <v>219</v>
      </c>
      <c r="D703" s="99">
        <v>13213</v>
      </c>
      <c r="E703" t="s">
        <v>212</v>
      </c>
      <c r="O703" s="160"/>
    </row>
    <row r="704" spans="2:15">
      <c r="B704" s="146">
        <v>41347</v>
      </c>
      <c r="C704" t="s">
        <v>219</v>
      </c>
      <c r="D704" s="99">
        <v>36737</v>
      </c>
      <c r="E704" t="s">
        <v>210</v>
      </c>
      <c r="O704" s="160"/>
    </row>
    <row r="705" spans="2:15">
      <c r="B705" s="146">
        <v>41647</v>
      </c>
      <c r="C705" t="s">
        <v>220</v>
      </c>
      <c r="D705" s="99">
        <v>37438</v>
      </c>
      <c r="E705" t="s">
        <v>210</v>
      </c>
      <c r="O705" s="160"/>
    </row>
    <row r="706" spans="2:15">
      <c r="B706" s="146">
        <v>41362</v>
      </c>
      <c r="C706" t="s">
        <v>218</v>
      </c>
      <c r="D706" s="99">
        <v>38746</v>
      </c>
      <c r="E706" t="s">
        <v>212</v>
      </c>
      <c r="O706" s="160"/>
    </row>
    <row r="707" spans="2:15">
      <c r="B707" s="146">
        <v>41507</v>
      </c>
      <c r="C707" t="s">
        <v>219</v>
      </c>
      <c r="D707" s="99">
        <v>22007</v>
      </c>
      <c r="E707" t="s">
        <v>212</v>
      </c>
      <c r="O707" s="160"/>
    </row>
    <row r="708" spans="2:15">
      <c r="B708" s="146">
        <v>41417</v>
      </c>
      <c r="C708" t="s">
        <v>217</v>
      </c>
      <c r="D708" s="99">
        <v>30915</v>
      </c>
      <c r="E708" t="s">
        <v>210</v>
      </c>
      <c r="O708" s="160"/>
    </row>
    <row r="709" spans="2:15">
      <c r="B709" s="146">
        <v>41436</v>
      </c>
      <c r="C709" t="s">
        <v>220</v>
      </c>
      <c r="D709" s="99">
        <v>35152</v>
      </c>
      <c r="E709" t="s">
        <v>210</v>
      </c>
      <c r="O709" s="160"/>
    </row>
    <row r="710" spans="2:15">
      <c r="B710" s="146">
        <v>41471</v>
      </c>
      <c r="C710" t="s">
        <v>218</v>
      </c>
      <c r="D710" s="99">
        <v>11358</v>
      </c>
      <c r="E710" t="s">
        <v>210</v>
      </c>
      <c r="O710" s="160"/>
    </row>
    <row r="711" spans="2:15">
      <c r="B711" s="146">
        <v>41442</v>
      </c>
      <c r="C711" t="s">
        <v>220</v>
      </c>
      <c r="D711" s="99">
        <v>27165</v>
      </c>
      <c r="E711" t="s">
        <v>211</v>
      </c>
      <c r="O711" s="160"/>
    </row>
    <row r="712" spans="2:15">
      <c r="B712" s="146">
        <v>41519</v>
      </c>
      <c r="C712" t="s">
        <v>218</v>
      </c>
      <c r="D712" s="99">
        <v>14016</v>
      </c>
      <c r="E712" t="s">
        <v>211</v>
      </c>
      <c r="O712" s="160"/>
    </row>
    <row r="713" spans="2:15">
      <c r="B713" s="146">
        <v>41237</v>
      </c>
      <c r="C713" t="s">
        <v>220</v>
      </c>
      <c r="D713" s="99">
        <v>11222</v>
      </c>
      <c r="E713" t="s">
        <v>211</v>
      </c>
      <c r="O713" s="160"/>
    </row>
    <row r="714" spans="2:15">
      <c r="B714" s="146">
        <v>41195</v>
      </c>
      <c r="C714" t="s">
        <v>219</v>
      </c>
      <c r="D714" s="99">
        <v>24513</v>
      </c>
      <c r="E714" t="s">
        <v>213</v>
      </c>
      <c r="O714" s="160"/>
    </row>
    <row r="715" spans="2:15">
      <c r="B715" s="146">
        <v>41319</v>
      </c>
      <c r="C715" t="s">
        <v>219</v>
      </c>
      <c r="D715" s="99">
        <v>29030</v>
      </c>
      <c r="E715" t="s">
        <v>213</v>
      </c>
      <c r="O715" s="160"/>
    </row>
    <row r="716" spans="2:15">
      <c r="B716" s="146">
        <v>41735</v>
      </c>
      <c r="C716" t="s">
        <v>219</v>
      </c>
      <c r="D716" s="99">
        <v>20164</v>
      </c>
      <c r="E716" t="s">
        <v>210</v>
      </c>
      <c r="O716" s="160"/>
    </row>
    <row r="717" spans="2:15">
      <c r="B717" s="146">
        <v>41740</v>
      </c>
      <c r="C717" t="s">
        <v>217</v>
      </c>
      <c r="D717" s="99">
        <v>9826</v>
      </c>
      <c r="E717" t="s">
        <v>211</v>
      </c>
      <c r="O717" s="160"/>
    </row>
    <row r="718" spans="2:15">
      <c r="B718" s="146">
        <v>41354</v>
      </c>
      <c r="C718" t="s">
        <v>217</v>
      </c>
      <c r="D718" s="99">
        <v>25081</v>
      </c>
      <c r="E718" t="s">
        <v>212</v>
      </c>
      <c r="O718" s="160"/>
    </row>
    <row r="719" spans="2:15">
      <c r="B719" s="146">
        <v>41773</v>
      </c>
      <c r="C719" t="s">
        <v>217</v>
      </c>
      <c r="D719" s="99">
        <v>37696</v>
      </c>
      <c r="E719" t="s">
        <v>212</v>
      </c>
      <c r="O719" s="160"/>
    </row>
    <row r="720" spans="2:15">
      <c r="B720" s="146">
        <v>41936</v>
      </c>
      <c r="C720" t="s">
        <v>217</v>
      </c>
      <c r="D720" s="99">
        <v>26880</v>
      </c>
      <c r="E720" t="s">
        <v>210</v>
      </c>
      <c r="O720" s="160"/>
    </row>
    <row r="721" spans="2:15">
      <c r="B721" s="146">
        <v>41181</v>
      </c>
      <c r="C721" t="s">
        <v>217</v>
      </c>
      <c r="D721" s="99">
        <v>29424</v>
      </c>
      <c r="E721" t="s">
        <v>210</v>
      </c>
      <c r="O721" s="160"/>
    </row>
    <row r="722" spans="2:15">
      <c r="B722" s="146">
        <v>41553</v>
      </c>
      <c r="C722" t="s">
        <v>217</v>
      </c>
      <c r="D722" s="99">
        <v>24677</v>
      </c>
      <c r="E722" t="s">
        <v>211</v>
      </c>
      <c r="O722" s="160"/>
    </row>
    <row r="723" spans="2:15">
      <c r="B723" s="146">
        <v>41470</v>
      </c>
      <c r="C723" t="s">
        <v>217</v>
      </c>
      <c r="D723" s="99">
        <v>15316</v>
      </c>
      <c r="E723" t="s">
        <v>211</v>
      </c>
      <c r="O723" s="160"/>
    </row>
    <row r="724" spans="2:15">
      <c r="B724" s="146">
        <v>41879</v>
      </c>
      <c r="C724" t="s">
        <v>220</v>
      </c>
      <c r="D724" s="99">
        <v>21503</v>
      </c>
      <c r="E724" t="s">
        <v>213</v>
      </c>
      <c r="O724" s="160"/>
    </row>
    <row r="725" spans="2:15">
      <c r="B725" s="146">
        <v>41269</v>
      </c>
      <c r="C725" t="s">
        <v>220</v>
      </c>
      <c r="D725" s="99">
        <v>32369</v>
      </c>
      <c r="E725" t="s">
        <v>210</v>
      </c>
      <c r="O725" s="160"/>
    </row>
    <row r="726" spans="2:15">
      <c r="B726" s="146">
        <v>41913</v>
      </c>
      <c r="C726" t="s">
        <v>219</v>
      </c>
      <c r="D726" s="99">
        <v>10897</v>
      </c>
      <c r="E726" t="s">
        <v>213</v>
      </c>
      <c r="O726" s="160"/>
    </row>
    <row r="727" spans="2:15">
      <c r="B727" s="146">
        <v>41866</v>
      </c>
      <c r="C727" t="s">
        <v>220</v>
      </c>
      <c r="D727" s="99">
        <v>12666</v>
      </c>
      <c r="E727" t="s">
        <v>213</v>
      </c>
      <c r="O727" s="160"/>
    </row>
    <row r="728" spans="2:15">
      <c r="B728" s="146">
        <v>41815</v>
      </c>
      <c r="C728" t="s">
        <v>220</v>
      </c>
      <c r="D728" s="99">
        <v>18305</v>
      </c>
      <c r="E728" t="s">
        <v>213</v>
      </c>
      <c r="O728" s="160"/>
    </row>
    <row r="729" spans="2:15">
      <c r="B729" s="146">
        <v>41126</v>
      </c>
      <c r="C729" t="s">
        <v>217</v>
      </c>
      <c r="D729" s="99">
        <v>7187</v>
      </c>
      <c r="E729" t="s">
        <v>211</v>
      </c>
      <c r="O729" s="160"/>
    </row>
    <row r="730" spans="2:15">
      <c r="B730" s="146">
        <v>41239</v>
      </c>
      <c r="C730" t="s">
        <v>218</v>
      </c>
      <c r="D730" s="99">
        <v>15635</v>
      </c>
      <c r="E730" t="s">
        <v>212</v>
      </c>
      <c r="O730" s="160"/>
    </row>
    <row r="731" spans="2:15">
      <c r="B731" s="146">
        <v>41618</v>
      </c>
      <c r="C731" t="s">
        <v>218</v>
      </c>
      <c r="D731" s="99">
        <v>23213</v>
      </c>
      <c r="E731" t="s">
        <v>213</v>
      </c>
      <c r="O731" s="160"/>
    </row>
    <row r="732" spans="2:15">
      <c r="B732" s="146">
        <v>41381</v>
      </c>
      <c r="C732" t="s">
        <v>217</v>
      </c>
      <c r="D732" s="99">
        <v>36748</v>
      </c>
      <c r="E732" t="s">
        <v>213</v>
      </c>
      <c r="O732" s="160"/>
    </row>
    <row r="733" spans="2:15">
      <c r="B733" s="146">
        <v>41766</v>
      </c>
      <c r="C733" t="s">
        <v>220</v>
      </c>
      <c r="D733" s="99">
        <v>35038</v>
      </c>
      <c r="E733" t="s">
        <v>213</v>
      </c>
      <c r="O733" s="160"/>
    </row>
    <row r="734" spans="2:15">
      <c r="B734" s="146">
        <v>41613</v>
      </c>
      <c r="C734" t="s">
        <v>219</v>
      </c>
      <c r="D734" s="99">
        <v>33264</v>
      </c>
      <c r="E734" t="s">
        <v>212</v>
      </c>
      <c r="O734" s="160"/>
    </row>
    <row r="735" spans="2:15">
      <c r="B735" s="146">
        <v>41543</v>
      </c>
      <c r="C735" t="s">
        <v>219</v>
      </c>
      <c r="D735" s="99">
        <v>10083</v>
      </c>
      <c r="E735" t="s">
        <v>212</v>
      </c>
      <c r="O735" s="160"/>
    </row>
    <row r="736" spans="2:15">
      <c r="B736" s="146">
        <v>41231</v>
      </c>
      <c r="C736" t="s">
        <v>217</v>
      </c>
      <c r="D736" s="99">
        <v>39584</v>
      </c>
      <c r="E736" t="s">
        <v>210</v>
      </c>
      <c r="O736" s="160"/>
    </row>
    <row r="737" spans="2:15">
      <c r="B737" s="146">
        <v>41598</v>
      </c>
      <c r="C737" t="s">
        <v>220</v>
      </c>
      <c r="D737" s="99">
        <v>11036</v>
      </c>
      <c r="E737" t="s">
        <v>213</v>
      </c>
      <c r="O737" s="160"/>
    </row>
    <row r="738" spans="2:15">
      <c r="B738" s="146">
        <v>41195</v>
      </c>
      <c r="C738" t="s">
        <v>218</v>
      </c>
      <c r="D738" s="99">
        <v>13663</v>
      </c>
      <c r="E738" t="s">
        <v>212</v>
      </c>
      <c r="O738" s="160"/>
    </row>
    <row r="739" spans="2:15">
      <c r="B739" s="146">
        <v>42014</v>
      </c>
      <c r="C739" t="s">
        <v>218</v>
      </c>
      <c r="D739" s="99">
        <v>22119</v>
      </c>
      <c r="E739" t="s">
        <v>213</v>
      </c>
      <c r="O739" s="160"/>
    </row>
    <row r="740" spans="2:15">
      <c r="B740" s="146">
        <v>41744</v>
      </c>
      <c r="C740" t="s">
        <v>219</v>
      </c>
      <c r="D740" s="99">
        <v>34347</v>
      </c>
      <c r="E740" t="s">
        <v>213</v>
      </c>
      <c r="O740" s="160"/>
    </row>
    <row r="741" spans="2:15">
      <c r="B741" s="146">
        <v>41377</v>
      </c>
      <c r="C741" t="s">
        <v>220</v>
      </c>
      <c r="D741" s="99">
        <v>32760</v>
      </c>
      <c r="E741" t="s">
        <v>211</v>
      </c>
      <c r="O741" s="160"/>
    </row>
    <row r="742" spans="2:15">
      <c r="B742" s="146">
        <v>41182</v>
      </c>
      <c r="C742" t="s">
        <v>219</v>
      </c>
      <c r="D742" s="99">
        <v>23460</v>
      </c>
      <c r="E742" t="s">
        <v>213</v>
      </c>
      <c r="O742" s="160"/>
    </row>
    <row r="743" spans="2:15">
      <c r="B743" s="146">
        <v>41851</v>
      </c>
      <c r="C743" t="s">
        <v>219</v>
      </c>
      <c r="D743" s="99">
        <v>13244</v>
      </c>
      <c r="E743" t="s">
        <v>212</v>
      </c>
      <c r="O743" s="160"/>
    </row>
    <row r="744" spans="2:15">
      <c r="B744" s="146">
        <v>41805</v>
      </c>
      <c r="C744" t="s">
        <v>218</v>
      </c>
      <c r="D744" s="99">
        <v>28479</v>
      </c>
      <c r="E744" t="s">
        <v>210</v>
      </c>
      <c r="O744" s="160"/>
    </row>
    <row r="745" spans="2:15">
      <c r="B745" s="146">
        <v>41712</v>
      </c>
      <c r="C745" t="s">
        <v>220</v>
      </c>
      <c r="D745" s="99">
        <v>21923</v>
      </c>
      <c r="E745" t="s">
        <v>213</v>
      </c>
      <c r="O745" s="160"/>
    </row>
    <row r="746" spans="2:15">
      <c r="B746" s="146">
        <v>41500</v>
      </c>
      <c r="C746" t="s">
        <v>217</v>
      </c>
      <c r="D746" s="99">
        <v>18742</v>
      </c>
      <c r="E746" t="s">
        <v>210</v>
      </c>
      <c r="O746" s="160"/>
    </row>
    <row r="747" spans="2:15">
      <c r="B747" s="146">
        <v>41885</v>
      </c>
      <c r="C747" t="s">
        <v>217</v>
      </c>
      <c r="D747" s="99">
        <v>10304</v>
      </c>
      <c r="E747" t="s">
        <v>212</v>
      </c>
      <c r="O747" s="160"/>
    </row>
    <row r="748" spans="2:15">
      <c r="B748" s="146">
        <v>41196</v>
      </c>
      <c r="C748" t="s">
        <v>218</v>
      </c>
      <c r="D748" s="99">
        <v>5661</v>
      </c>
      <c r="E748" t="s">
        <v>212</v>
      </c>
      <c r="O748" s="160"/>
    </row>
    <row r="749" spans="2:15">
      <c r="B749" s="146">
        <v>41246</v>
      </c>
      <c r="C749" t="s">
        <v>218</v>
      </c>
      <c r="D749" s="99">
        <v>36821</v>
      </c>
      <c r="E749" t="s">
        <v>211</v>
      </c>
      <c r="O749" s="160"/>
    </row>
    <row r="750" spans="2:15">
      <c r="B750" s="146">
        <v>41594</v>
      </c>
      <c r="C750" t="s">
        <v>219</v>
      </c>
      <c r="D750" s="99">
        <v>23874</v>
      </c>
      <c r="E750" t="s">
        <v>212</v>
      </c>
      <c r="O750" s="160"/>
    </row>
    <row r="751" spans="2:15">
      <c r="B751" s="146">
        <v>41267</v>
      </c>
      <c r="C751" t="s">
        <v>218</v>
      </c>
      <c r="D751" s="99">
        <v>20931</v>
      </c>
      <c r="E751" t="s">
        <v>210</v>
      </c>
      <c r="O751" s="160"/>
    </row>
    <row r="752" spans="2:15">
      <c r="B752" s="146">
        <v>41865</v>
      </c>
      <c r="C752" t="s">
        <v>220</v>
      </c>
      <c r="D752" s="99">
        <v>12329</v>
      </c>
      <c r="E752" t="s">
        <v>212</v>
      </c>
      <c r="O752" s="160"/>
    </row>
    <row r="753" spans="2:15">
      <c r="B753" s="146">
        <v>41140</v>
      </c>
      <c r="C753" t="s">
        <v>218</v>
      </c>
      <c r="D753" s="99">
        <v>24490</v>
      </c>
      <c r="E753" t="s">
        <v>211</v>
      </c>
      <c r="O753" s="160"/>
    </row>
    <row r="754" spans="2:15">
      <c r="B754" s="146">
        <v>41535</v>
      </c>
      <c r="C754" t="s">
        <v>217</v>
      </c>
      <c r="D754" s="99">
        <v>23656</v>
      </c>
      <c r="E754" t="s">
        <v>211</v>
      </c>
      <c r="O754" s="160"/>
    </row>
    <row r="755" spans="2:15">
      <c r="B755" s="146">
        <v>41481</v>
      </c>
      <c r="C755" t="s">
        <v>220</v>
      </c>
      <c r="D755" s="99">
        <v>30733</v>
      </c>
      <c r="E755" t="s">
        <v>210</v>
      </c>
      <c r="O755" s="160"/>
    </row>
    <row r="756" spans="2:15">
      <c r="B756" s="146">
        <v>41878</v>
      </c>
      <c r="C756" t="s">
        <v>218</v>
      </c>
      <c r="D756" s="99">
        <v>38187</v>
      </c>
      <c r="E756" t="s">
        <v>211</v>
      </c>
      <c r="O756" s="160"/>
    </row>
    <row r="757" spans="2:15">
      <c r="B757" s="146">
        <v>41487</v>
      </c>
      <c r="C757" t="s">
        <v>217</v>
      </c>
      <c r="D757" s="99">
        <v>17604</v>
      </c>
      <c r="E757" t="s">
        <v>212</v>
      </c>
      <c r="O757" s="160"/>
    </row>
    <row r="758" spans="2:15">
      <c r="B758" s="146">
        <v>41861</v>
      </c>
      <c r="C758" t="s">
        <v>218</v>
      </c>
      <c r="D758" s="99">
        <v>29059</v>
      </c>
      <c r="E758" t="s">
        <v>213</v>
      </c>
      <c r="O758" s="160"/>
    </row>
    <row r="759" spans="2:15">
      <c r="B759" s="146">
        <v>41654</v>
      </c>
      <c r="C759" t="s">
        <v>218</v>
      </c>
      <c r="D759" s="99">
        <v>32847</v>
      </c>
      <c r="E759" t="s">
        <v>212</v>
      </c>
      <c r="O759" s="160"/>
    </row>
    <row r="760" spans="2:15">
      <c r="B760" s="146">
        <v>41232</v>
      </c>
      <c r="C760" t="s">
        <v>219</v>
      </c>
      <c r="D760" s="99">
        <v>6191</v>
      </c>
      <c r="E760" t="s">
        <v>210</v>
      </c>
      <c r="O760" s="160"/>
    </row>
    <row r="761" spans="2:15">
      <c r="B761" s="146">
        <v>41719</v>
      </c>
      <c r="C761" t="s">
        <v>220</v>
      </c>
      <c r="D761" s="99">
        <v>10540</v>
      </c>
      <c r="E761" t="s">
        <v>210</v>
      </c>
      <c r="O761" s="160"/>
    </row>
    <row r="762" spans="2:15">
      <c r="B762" s="146">
        <v>41735</v>
      </c>
      <c r="C762" t="s">
        <v>217</v>
      </c>
      <c r="D762" s="99">
        <v>28135</v>
      </c>
      <c r="E762" t="s">
        <v>211</v>
      </c>
      <c r="O762" s="160"/>
    </row>
    <row r="763" spans="2:15">
      <c r="B763" s="146">
        <v>41524</v>
      </c>
      <c r="C763" t="s">
        <v>219</v>
      </c>
      <c r="D763" s="99">
        <v>28279</v>
      </c>
      <c r="E763" t="s">
        <v>213</v>
      </c>
      <c r="O763" s="160"/>
    </row>
    <row r="764" spans="2:15">
      <c r="B764" s="146">
        <v>41600</v>
      </c>
      <c r="C764" t="s">
        <v>218</v>
      </c>
      <c r="D764" s="99">
        <v>20964</v>
      </c>
      <c r="E764" t="s">
        <v>212</v>
      </c>
      <c r="O764" s="160"/>
    </row>
    <row r="765" spans="2:15">
      <c r="B765" s="146">
        <v>41744</v>
      </c>
      <c r="C765" t="s">
        <v>219</v>
      </c>
      <c r="D765" s="99">
        <v>8031</v>
      </c>
      <c r="E765" t="s">
        <v>212</v>
      </c>
      <c r="O765" s="160"/>
    </row>
    <row r="766" spans="2:15">
      <c r="B766" s="146">
        <v>41213</v>
      </c>
      <c r="C766" t="s">
        <v>219</v>
      </c>
      <c r="D766" s="99">
        <v>29505</v>
      </c>
      <c r="E766" t="s">
        <v>212</v>
      </c>
      <c r="O766" s="160"/>
    </row>
    <row r="767" spans="2:15">
      <c r="B767" s="146">
        <v>41284</v>
      </c>
      <c r="C767" t="s">
        <v>219</v>
      </c>
      <c r="D767" s="99">
        <v>36342</v>
      </c>
      <c r="E767" t="s">
        <v>213</v>
      </c>
      <c r="O767" s="160"/>
    </row>
    <row r="768" spans="2:15">
      <c r="B768" s="146">
        <v>41257</v>
      </c>
      <c r="C768" t="s">
        <v>219</v>
      </c>
      <c r="D768" s="99">
        <v>6494</v>
      </c>
      <c r="E768" t="s">
        <v>212</v>
      </c>
      <c r="O768" s="160"/>
    </row>
    <row r="769" spans="2:15">
      <c r="B769" s="146">
        <v>41776</v>
      </c>
      <c r="C769" t="s">
        <v>219</v>
      </c>
      <c r="D769" s="99">
        <v>35685</v>
      </c>
      <c r="E769" t="s">
        <v>213</v>
      </c>
      <c r="O769" s="160"/>
    </row>
    <row r="770" spans="2:15">
      <c r="B770" s="146">
        <v>41285</v>
      </c>
      <c r="C770" t="s">
        <v>219</v>
      </c>
      <c r="D770" s="99">
        <v>17962</v>
      </c>
      <c r="E770" t="s">
        <v>211</v>
      </c>
      <c r="O770" s="160"/>
    </row>
    <row r="771" spans="2:15">
      <c r="B771" s="146">
        <v>41320</v>
      </c>
      <c r="C771" t="s">
        <v>220</v>
      </c>
      <c r="D771" s="99">
        <v>13579</v>
      </c>
      <c r="E771" t="s">
        <v>210</v>
      </c>
      <c r="O771" s="160"/>
    </row>
    <row r="772" spans="2:15">
      <c r="B772" s="146">
        <v>42008</v>
      </c>
      <c r="C772" t="s">
        <v>217</v>
      </c>
      <c r="D772" s="99">
        <v>12675</v>
      </c>
      <c r="E772" t="s">
        <v>211</v>
      </c>
      <c r="O772" s="160"/>
    </row>
    <row r="773" spans="2:15">
      <c r="B773" s="146">
        <v>41934</v>
      </c>
      <c r="C773" t="s">
        <v>218</v>
      </c>
      <c r="D773" s="99">
        <v>5912</v>
      </c>
      <c r="E773" t="s">
        <v>212</v>
      </c>
      <c r="O773" s="160"/>
    </row>
    <row r="774" spans="2:15">
      <c r="B774" s="146">
        <v>41222</v>
      </c>
      <c r="C774" t="s">
        <v>217</v>
      </c>
      <c r="D774" s="99">
        <v>11822</v>
      </c>
      <c r="E774" t="s">
        <v>212</v>
      </c>
      <c r="O774" s="160"/>
    </row>
    <row r="775" spans="2:15">
      <c r="B775" s="146">
        <v>41443</v>
      </c>
      <c r="C775" t="s">
        <v>218</v>
      </c>
      <c r="D775" s="99">
        <v>25522</v>
      </c>
      <c r="E775" t="s">
        <v>212</v>
      </c>
      <c r="O775" s="160"/>
    </row>
    <row r="776" spans="2:15">
      <c r="B776" s="146">
        <v>41312</v>
      </c>
      <c r="C776" t="s">
        <v>219</v>
      </c>
      <c r="D776" s="99">
        <v>19106</v>
      </c>
      <c r="E776" t="s">
        <v>212</v>
      </c>
      <c r="O776" s="160"/>
    </row>
    <row r="777" spans="2:15">
      <c r="B777" s="146">
        <v>41130</v>
      </c>
      <c r="C777" t="s">
        <v>220</v>
      </c>
      <c r="D777" s="99">
        <v>22969</v>
      </c>
      <c r="E777" t="s">
        <v>213</v>
      </c>
      <c r="O777" s="160"/>
    </row>
    <row r="778" spans="2:15">
      <c r="B778" s="146">
        <v>41872</v>
      </c>
      <c r="C778" t="s">
        <v>220</v>
      </c>
      <c r="D778" s="99">
        <v>33208</v>
      </c>
      <c r="E778" t="s">
        <v>212</v>
      </c>
      <c r="O778" s="160"/>
    </row>
    <row r="779" spans="2:15">
      <c r="B779" s="146">
        <v>41680</v>
      </c>
      <c r="C779" t="s">
        <v>217</v>
      </c>
      <c r="D779" s="99">
        <v>11313</v>
      </c>
      <c r="E779" t="s">
        <v>211</v>
      </c>
      <c r="O779" s="160"/>
    </row>
    <row r="780" spans="2:15">
      <c r="B780" s="146">
        <v>41984</v>
      </c>
      <c r="C780" t="s">
        <v>218</v>
      </c>
      <c r="D780" s="99">
        <v>16926</v>
      </c>
      <c r="E780" t="s">
        <v>211</v>
      </c>
      <c r="O780" s="160"/>
    </row>
    <row r="781" spans="2:15">
      <c r="B781" s="146">
        <v>41395</v>
      </c>
      <c r="C781" t="s">
        <v>218</v>
      </c>
      <c r="D781" s="99">
        <v>33937</v>
      </c>
      <c r="E781" t="s">
        <v>212</v>
      </c>
      <c r="O781" s="160"/>
    </row>
    <row r="782" spans="2:15">
      <c r="B782" s="146">
        <v>41764</v>
      </c>
      <c r="C782" t="s">
        <v>219</v>
      </c>
      <c r="D782" s="99">
        <v>16827</v>
      </c>
      <c r="E782" t="s">
        <v>211</v>
      </c>
      <c r="O782" s="160"/>
    </row>
    <row r="783" spans="2:15">
      <c r="B783" s="146">
        <v>41613</v>
      </c>
      <c r="C783" t="s">
        <v>218</v>
      </c>
      <c r="D783" s="99">
        <v>20666</v>
      </c>
      <c r="E783" t="s">
        <v>210</v>
      </c>
      <c r="O783" s="160"/>
    </row>
    <row r="784" spans="2:15">
      <c r="B784" s="146">
        <v>41838</v>
      </c>
      <c r="C784" t="s">
        <v>217</v>
      </c>
      <c r="D784" s="99">
        <v>34019</v>
      </c>
      <c r="E784" t="s">
        <v>212</v>
      </c>
      <c r="O784" s="160"/>
    </row>
    <row r="785" spans="2:15">
      <c r="B785" s="146">
        <v>41136</v>
      </c>
      <c r="C785" t="s">
        <v>217</v>
      </c>
      <c r="D785" s="99">
        <v>31853</v>
      </c>
      <c r="E785" t="s">
        <v>212</v>
      </c>
      <c r="O785" s="160"/>
    </row>
    <row r="786" spans="2:15">
      <c r="B786" s="146">
        <v>41150</v>
      </c>
      <c r="C786" t="s">
        <v>220</v>
      </c>
      <c r="D786" s="99">
        <v>10897</v>
      </c>
      <c r="E786" t="s">
        <v>210</v>
      </c>
      <c r="O786" s="160"/>
    </row>
    <row r="787" spans="2:15">
      <c r="B787" s="146">
        <v>41798</v>
      </c>
      <c r="C787" t="s">
        <v>217</v>
      </c>
      <c r="D787" s="99">
        <v>30470</v>
      </c>
      <c r="E787" t="s">
        <v>210</v>
      </c>
      <c r="O787" s="160"/>
    </row>
    <row r="788" spans="2:15">
      <c r="B788" s="146">
        <v>41734</v>
      </c>
      <c r="C788" t="s">
        <v>218</v>
      </c>
      <c r="D788" s="99">
        <v>37107</v>
      </c>
      <c r="E788" t="s">
        <v>213</v>
      </c>
      <c r="O788" s="160"/>
    </row>
    <row r="789" spans="2:15">
      <c r="B789" s="146">
        <v>41338</v>
      </c>
      <c r="C789" t="s">
        <v>220</v>
      </c>
      <c r="D789" s="99">
        <v>27565</v>
      </c>
      <c r="E789" t="s">
        <v>213</v>
      </c>
      <c r="O789" s="160"/>
    </row>
    <row r="790" spans="2:15">
      <c r="B790" s="146">
        <v>41223</v>
      </c>
      <c r="C790" t="s">
        <v>218</v>
      </c>
      <c r="D790" s="99">
        <v>30442</v>
      </c>
      <c r="E790" t="s">
        <v>213</v>
      </c>
      <c r="O790" s="160"/>
    </row>
    <row r="791" spans="2:15">
      <c r="B791" s="146">
        <v>41694</v>
      </c>
      <c r="C791" t="s">
        <v>217</v>
      </c>
      <c r="D791" s="99">
        <v>10582</v>
      </c>
      <c r="E791" t="s">
        <v>213</v>
      </c>
      <c r="O791" s="160"/>
    </row>
    <row r="792" spans="2:15">
      <c r="B792" s="146">
        <v>41744</v>
      </c>
      <c r="C792" t="s">
        <v>219</v>
      </c>
      <c r="D792" s="99">
        <v>32909</v>
      </c>
      <c r="E792" t="s">
        <v>210</v>
      </c>
      <c r="O792" s="160"/>
    </row>
    <row r="793" spans="2:15">
      <c r="B793" s="146">
        <v>41794</v>
      </c>
      <c r="C793" t="s">
        <v>219</v>
      </c>
      <c r="D793" s="99">
        <v>34069</v>
      </c>
      <c r="E793" t="s">
        <v>210</v>
      </c>
      <c r="O793" s="160"/>
    </row>
    <row r="794" spans="2:15">
      <c r="B794" s="146">
        <v>41859</v>
      </c>
      <c r="C794" t="s">
        <v>219</v>
      </c>
      <c r="D794" s="99">
        <v>20005</v>
      </c>
      <c r="E794" t="s">
        <v>213</v>
      </c>
      <c r="O794" s="160"/>
    </row>
    <row r="795" spans="2:15">
      <c r="B795" s="146">
        <v>41821</v>
      </c>
      <c r="C795" t="s">
        <v>218</v>
      </c>
      <c r="D795" s="99">
        <v>19577</v>
      </c>
      <c r="E795" t="s">
        <v>213</v>
      </c>
      <c r="O795" s="160"/>
    </row>
    <row r="796" spans="2:15">
      <c r="B796" s="146">
        <v>41268</v>
      </c>
      <c r="C796" t="s">
        <v>217</v>
      </c>
      <c r="D796" s="99">
        <v>22658</v>
      </c>
      <c r="E796" t="s">
        <v>212</v>
      </c>
      <c r="O796" s="160"/>
    </row>
    <row r="797" spans="2:15">
      <c r="B797" s="146">
        <v>41143</v>
      </c>
      <c r="C797" t="s">
        <v>219</v>
      </c>
      <c r="D797" s="99">
        <v>26895</v>
      </c>
      <c r="E797" t="s">
        <v>210</v>
      </c>
      <c r="O797" s="160"/>
    </row>
    <row r="798" spans="2:15">
      <c r="B798" s="146">
        <v>41196</v>
      </c>
      <c r="C798" t="s">
        <v>220</v>
      </c>
      <c r="D798" s="99">
        <v>12775</v>
      </c>
      <c r="E798" t="s">
        <v>213</v>
      </c>
      <c r="O798" s="160"/>
    </row>
    <row r="799" spans="2:15">
      <c r="B799" s="146">
        <v>41256</v>
      </c>
      <c r="C799" t="s">
        <v>220</v>
      </c>
      <c r="D799" s="99">
        <v>31848</v>
      </c>
      <c r="E799" t="s">
        <v>211</v>
      </c>
      <c r="O799" s="160"/>
    </row>
    <row r="800" spans="2:15">
      <c r="B800" s="146">
        <v>41990</v>
      </c>
      <c r="C800" t="s">
        <v>218</v>
      </c>
      <c r="D800" s="99">
        <v>39917</v>
      </c>
      <c r="E800" t="s">
        <v>213</v>
      </c>
      <c r="O800" s="160"/>
    </row>
    <row r="801" spans="2:15">
      <c r="B801" s="146">
        <v>41161</v>
      </c>
      <c r="C801" t="s">
        <v>219</v>
      </c>
      <c r="D801" s="99">
        <v>38428</v>
      </c>
      <c r="E801" t="s">
        <v>212</v>
      </c>
      <c r="O801" s="160"/>
    </row>
    <row r="802" spans="2:15">
      <c r="B802" s="146">
        <v>41557</v>
      </c>
      <c r="C802" t="s">
        <v>220</v>
      </c>
      <c r="D802" s="99">
        <v>30538</v>
      </c>
      <c r="E802" t="s">
        <v>213</v>
      </c>
      <c r="O802" s="160"/>
    </row>
    <row r="803" spans="2:15">
      <c r="B803" s="146">
        <v>41325</v>
      </c>
      <c r="C803" t="s">
        <v>220</v>
      </c>
      <c r="D803" s="99">
        <v>27018</v>
      </c>
      <c r="E803" t="s">
        <v>213</v>
      </c>
      <c r="O803" s="160"/>
    </row>
    <row r="804" spans="2:15">
      <c r="B804" s="146">
        <v>41520</v>
      </c>
      <c r="C804" t="s">
        <v>218</v>
      </c>
      <c r="D804" s="99">
        <v>16308</v>
      </c>
      <c r="E804" t="s">
        <v>212</v>
      </c>
      <c r="O804" s="160"/>
    </row>
    <row r="805" spans="2:15">
      <c r="B805" s="146">
        <v>41519</v>
      </c>
      <c r="C805" t="s">
        <v>220</v>
      </c>
      <c r="D805" s="99">
        <v>39534</v>
      </c>
      <c r="E805" t="s">
        <v>213</v>
      </c>
      <c r="O805" s="160"/>
    </row>
    <row r="806" spans="2:15">
      <c r="B806" s="146">
        <v>41123</v>
      </c>
      <c r="C806" t="s">
        <v>218</v>
      </c>
      <c r="D806" s="99">
        <v>32952</v>
      </c>
      <c r="E806" t="s">
        <v>212</v>
      </c>
      <c r="O806" s="160"/>
    </row>
    <row r="807" spans="2:15">
      <c r="B807" s="146">
        <v>41200</v>
      </c>
      <c r="C807" t="s">
        <v>219</v>
      </c>
      <c r="D807" s="99">
        <v>7146</v>
      </c>
      <c r="E807" t="s">
        <v>213</v>
      </c>
      <c r="O807" s="160"/>
    </row>
    <row r="808" spans="2:15">
      <c r="B808" s="146">
        <v>41408</v>
      </c>
      <c r="C808" t="s">
        <v>217</v>
      </c>
      <c r="D808" s="99">
        <v>15902</v>
      </c>
      <c r="E808" t="s">
        <v>212</v>
      </c>
      <c r="O808" s="160"/>
    </row>
    <row r="809" spans="2:15">
      <c r="B809" s="146">
        <v>41938</v>
      </c>
      <c r="C809" t="s">
        <v>217</v>
      </c>
      <c r="D809" s="99">
        <v>39076</v>
      </c>
      <c r="E809" t="s">
        <v>212</v>
      </c>
      <c r="O809" s="160"/>
    </row>
    <row r="810" spans="2:15">
      <c r="B810" s="146">
        <v>41996</v>
      </c>
      <c r="C810" t="s">
        <v>218</v>
      </c>
      <c r="D810" s="99">
        <v>33294</v>
      </c>
      <c r="E810" t="s">
        <v>213</v>
      </c>
      <c r="O810" s="160"/>
    </row>
    <row r="811" spans="2:15">
      <c r="B811" s="146">
        <v>42004</v>
      </c>
      <c r="C811" t="s">
        <v>218</v>
      </c>
      <c r="D811" s="99">
        <v>33331</v>
      </c>
      <c r="E811" t="s">
        <v>212</v>
      </c>
      <c r="O811" s="160"/>
    </row>
    <row r="812" spans="2:15">
      <c r="B812" s="146">
        <v>41220</v>
      </c>
      <c r="C812" t="s">
        <v>218</v>
      </c>
      <c r="D812" s="99">
        <v>12601</v>
      </c>
      <c r="E812" t="s">
        <v>210</v>
      </c>
      <c r="O812" s="160"/>
    </row>
    <row r="813" spans="2:15">
      <c r="B813" s="146">
        <v>41362</v>
      </c>
      <c r="C813" t="s">
        <v>220</v>
      </c>
      <c r="D813" s="99">
        <v>20646</v>
      </c>
      <c r="E813" t="s">
        <v>213</v>
      </c>
      <c r="O813" s="160"/>
    </row>
    <row r="814" spans="2:15">
      <c r="B814" s="146">
        <v>41741</v>
      </c>
      <c r="C814" t="s">
        <v>217</v>
      </c>
      <c r="D814" s="99">
        <v>10191</v>
      </c>
      <c r="E814" t="s">
        <v>212</v>
      </c>
      <c r="O814" s="160"/>
    </row>
    <row r="815" spans="2:15">
      <c r="B815" s="146">
        <v>41598</v>
      </c>
      <c r="C815" t="s">
        <v>217</v>
      </c>
      <c r="D815" s="99">
        <v>35510</v>
      </c>
      <c r="E815" t="s">
        <v>211</v>
      </c>
      <c r="O815" s="160"/>
    </row>
    <row r="816" spans="2:15">
      <c r="B816" s="146">
        <v>41910</v>
      </c>
      <c r="C816" t="s">
        <v>219</v>
      </c>
      <c r="D816" s="99">
        <v>35320</v>
      </c>
      <c r="E816" t="s">
        <v>210</v>
      </c>
      <c r="O816" s="160"/>
    </row>
    <row r="817" spans="2:15">
      <c r="B817" s="146">
        <v>41731</v>
      </c>
      <c r="C817" t="s">
        <v>217</v>
      </c>
      <c r="D817" s="99">
        <v>20273</v>
      </c>
      <c r="E817" t="s">
        <v>212</v>
      </c>
      <c r="O817" s="160"/>
    </row>
    <row r="818" spans="2:15">
      <c r="B818" s="146">
        <v>41910</v>
      </c>
      <c r="C818" t="s">
        <v>220</v>
      </c>
      <c r="D818" s="99">
        <v>16668</v>
      </c>
      <c r="E818" t="s">
        <v>211</v>
      </c>
      <c r="O818" s="160"/>
    </row>
    <row r="819" spans="2:15">
      <c r="B819" s="146">
        <v>41199</v>
      </c>
      <c r="C819" t="s">
        <v>219</v>
      </c>
      <c r="D819" s="99">
        <v>19646</v>
      </c>
      <c r="E819" t="s">
        <v>211</v>
      </c>
      <c r="O819" s="160"/>
    </row>
    <row r="820" spans="2:15">
      <c r="B820" s="146">
        <v>41368</v>
      </c>
      <c r="C820" t="s">
        <v>218</v>
      </c>
      <c r="D820" s="99">
        <v>15792</v>
      </c>
      <c r="E820" t="s">
        <v>213</v>
      </c>
      <c r="O820" s="160"/>
    </row>
    <row r="821" spans="2:15">
      <c r="B821" s="146">
        <v>41588</v>
      </c>
      <c r="C821" t="s">
        <v>219</v>
      </c>
      <c r="D821" s="99">
        <v>24649</v>
      </c>
      <c r="E821" t="s">
        <v>210</v>
      </c>
      <c r="O821" s="160"/>
    </row>
    <row r="822" spans="2:15">
      <c r="B822" s="146">
        <v>41990</v>
      </c>
      <c r="C822" t="s">
        <v>217</v>
      </c>
      <c r="D822" s="99">
        <v>15541</v>
      </c>
      <c r="E822" t="s">
        <v>211</v>
      </c>
      <c r="O822" s="160"/>
    </row>
    <row r="823" spans="2:15">
      <c r="B823" s="146">
        <v>41802</v>
      </c>
      <c r="C823" t="s">
        <v>219</v>
      </c>
      <c r="D823" s="99">
        <v>8072</v>
      </c>
      <c r="E823" t="s">
        <v>210</v>
      </c>
      <c r="O823" s="160"/>
    </row>
    <row r="824" spans="2:15">
      <c r="B824" s="146">
        <v>41827</v>
      </c>
      <c r="C824" t="s">
        <v>217</v>
      </c>
      <c r="D824" s="99">
        <v>9578</v>
      </c>
      <c r="E824" t="s">
        <v>212</v>
      </c>
      <c r="O824" s="160"/>
    </row>
    <row r="825" spans="2:15">
      <c r="B825" s="146">
        <v>41490</v>
      </c>
      <c r="C825" t="s">
        <v>219</v>
      </c>
      <c r="D825" s="99">
        <v>16171</v>
      </c>
      <c r="E825" t="s">
        <v>210</v>
      </c>
      <c r="O825" s="160"/>
    </row>
    <row r="826" spans="2:15">
      <c r="B826" s="146">
        <v>41680</v>
      </c>
      <c r="C826" t="s">
        <v>219</v>
      </c>
      <c r="D826" s="99">
        <v>25812</v>
      </c>
      <c r="E826" t="s">
        <v>211</v>
      </c>
      <c r="O826" s="160"/>
    </row>
    <row r="827" spans="2:15">
      <c r="B827" s="146">
        <v>41742</v>
      </c>
      <c r="C827" t="s">
        <v>217</v>
      </c>
      <c r="D827" s="99">
        <v>30431</v>
      </c>
      <c r="E827" t="s">
        <v>213</v>
      </c>
      <c r="O827" s="160"/>
    </row>
    <row r="828" spans="2:15">
      <c r="B828" s="146">
        <v>41510</v>
      </c>
      <c r="C828" t="s">
        <v>220</v>
      </c>
      <c r="D828" s="99">
        <v>8995</v>
      </c>
      <c r="E828" t="s">
        <v>213</v>
      </c>
      <c r="O828" s="160"/>
    </row>
    <row r="829" spans="2:15">
      <c r="B829" s="146">
        <v>41655</v>
      </c>
      <c r="C829" t="s">
        <v>220</v>
      </c>
      <c r="D829" s="99">
        <v>26196</v>
      </c>
      <c r="E829" t="s">
        <v>210</v>
      </c>
      <c r="O829" s="160"/>
    </row>
    <row r="830" spans="2:15">
      <c r="B830" s="146">
        <v>41993</v>
      </c>
      <c r="C830" t="s">
        <v>220</v>
      </c>
      <c r="D830" s="99">
        <v>10313</v>
      </c>
      <c r="E830" t="s">
        <v>212</v>
      </c>
      <c r="O830" s="160"/>
    </row>
    <row r="831" spans="2:15">
      <c r="B831" s="146">
        <v>41997</v>
      </c>
      <c r="C831" t="s">
        <v>218</v>
      </c>
      <c r="D831" s="99">
        <v>6914</v>
      </c>
      <c r="E831" t="s">
        <v>212</v>
      </c>
      <c r="O831" s="160"/>
    </row>
    <row r="832" spans="2:15">
      <c r="B832" s="146">
        <v>41586</v>
      </c>
      <c r="C832" t="s">
        <v>218</v>
      </c>
      <c r="D832" s="99">
        <v>36882</v>
      </c>
      <c r="E832" t="s">
        <v>210</v>
      </c>
      <c r="O832" s="160"/>
    </row>
    <row r="833" spans="2:15">
      <c r="B833" s="146">
        <v>41501</v>
      </c>
      <c r="C833" t="s">
        <v>219</v>
      </c>
      <c r="D833" s="99">
        <v>31125</v>
      </c>
      <c r="E833" t="s">
        <v>213</v>
      </c>
      <c r="O833" s="160"/>
    </row>
    <row r="834" spans="2:15">
      <c r="B834" s="146">
        <v>41744</v>
      </c>
      <c r="C834" t="s">
        <v>219</v>
      </c>
      <c r="D834" s="99">
        <v>27548</v>
      </c>
      <c r="E834" t="s">
        <v>210</v>
      </c>
      <c r="O834" s="160"/>
    </row>
    <row r="835" spans="2:15">
      <c r="B835" s="146">
        <v>41576</v>
      </c>
      <c r="C835" t="s">
        <v>218</v>
      </c>
      <c r="D835" s="99">
        <v>8588</v>
      </c>
      <c r="E835" t="s">
        <v>213</v>
      </c>
      <c r="O835" s="160"/>
    </row>
    <row r="836" spans="2:15">
      <c r="B836" s="146">
        <v>41393</v>
      </c>
      <c r="C836" t="s">
        <v>217</v>
      </c>
      <c r="D836" s="99">
        <v>34009</v>
      </c>
      <c r="E836" t="s">
        <v>213</v>
      </c>
      <c r="O836" s="160"/>
    </row>
    <row r="837" spans="2:15">
      <c r="B837" s="146">
        <v>41206</v>
      </c>
      <c r="C837" t="s">
        <v>217</v>
      </c>
      <c r="D837" s="99">
        <v>26648</v>
      </c>
      <c r="E837" t="s">
        <v>211</v>
      </c>
      <c r="O837" s="160"/>
    </row>
    <row r="838" spans="2:15">
      <c r="B838" s="146">
        <v>41560</v>
      </c>
      <c r="C838" t="s">
        <v>220</v>
      </c>
      <c r="D838" s="99">
        <v>20929</v>
      </c>
      <c r="E838" t="s">
        <v>213</v>
      </c>
      <c r="O838" s="160"/>
    </row>
    <row r="839" spans="2:15">
      <c r="B839" s="146">
        <v>41423</v>
      </c>
      <c r="C839" t="s">
        <v>218</v>
      </c>
      <c r="D839" s="99">
        <v>22938</v>
      </c>
      <c r="E839" t="s">
        <v>212</v>
      </c>
      <c r="O839" s="160"/>
    </row>
    <row r="840" spans="2:15">
      <c r="B840" s="146">
        <v>41798</v>
      </c>
      <c r="C840" t="s">
        <v>219</v>
      </c>
      <c r="D840" s="99">
        <v>12571</v>
      </c>
      <c r="E840" t="s">
        <v>210</v>
      </c>
      <c r="O840" s="160"/>
    </row>
    <row r="841" spans="2:15">
      <c r="B841" s="146">
        <v>41431</v>
      </c>
      <c r="C841" t="s">
        <v>220</v>
      </c>
      <c r="D841" s="99">
        <v>35826</v>
      </c>
      <c r="E841" t="s">
        <v>210</v>
      </c>
      <c r="O841" s="160"/>
    </row>
    <row r="842" spans="2:15">
      <c r="B842" s="146">
        <v>41773</v>
      </c>
      <c r="C842" t="s">
        <v>218</v>
      </c>
      <c r="D842" s="99">
        <v>23212</v>
      </c>
      <c r="E842" t="s">
        <v>212</v>
      </c>
      <c r="O842" s="160"/>
    </row>
    <row r="843" spans="2:15">
      <c r="B843" s="146">
        <v>41739</v>
      </c>
      <c r="C843" t="s">
        <v>220</v>
      </c>
      <c r="D843" s="99">
        <v>29694</v>
      </c>
      <c r="E843" t="s">
        <v>211</v>
      </c>
      <c r="O843" s="160"/>
    </row>
    <row r="844" spans="2:15">
      <c r="B844" s="146">
        <v>41698</v>
      </c>
      <c r="C844" t="s">
        <v>220</v>
      </c>
      <c r="D844" s="99">
        <v>18260</v>
      </c>
      <c r="E844" t="s">
        <v>211</v>
      </c>
      <c r="O844" s="160"/>
    </row>
    <row r="845" spans="2:15">
      <c r="B845" s="146">
        <v>41827</v>
      </c>
      <c r="C845" t="s">
        <v>217</v>
      </c>
      <c r="D845" s="99">
        <v>16486</v>
      </c>
      <c r="E845" t="s">
        <v>210</v>
      </c>
      <c r="O845" s="160"/>
    </row>
    <row r="846" spans="2:15">
      <c r="B846" s="146">
        <v>41657</v>
      </c>
      <c r="C846" t="s">
        <v>219</v>
      </c>
      <c r="D846" s="99">
        <v>13982</v>
      </c>
      <c r="E846" t="s">
        <v>210</v>
      </c>
      <c r="O846" s="160"/>
    </row>
    <row r="847" spans="2:15">
      <c r="B847" s="146">
        <v>41296</v>
      </c>
      <c r="C847" t="s">
        <v>219</v>
      </c>
      <c r="D847" s="99">
        <v>21102</v>
      </c>
      <c r="E847" t="s">
        <v>210</v>
      </c>
      <c r="O847" s="160"/>
    </row>
    <row r="848" spans="2:15">
      <c r="B848" s="146">
        <v>41317</v>
      </c>
      <c r="C848" t="s">
        <v>217</v>
      </c>
      <c r="D848" s="99">
        <v>28382</v>
      </c>
      <c r="E848" t="s">
        <v>213</v>
      </c>
      <c r="O848" s="160"/>
    </row>
    <row r="849" spans="2:15">
      <c r="B849" s="146">
        <v>41919</v>
      </c>
      <c r="C849" t="s">
        <v>217</v>
      </c>
      <c r="D849" s="99">
        <v>22291</v>
      </c>
      <c r="E849" t="s">
        <v>212</v>
      </c>
      <c r="O849" s="160"/>
    </row>
    <row r="850" spans="2:15">
      <c r="B850" s="146">
        <v>41939</v>
      </c>
      <c r="C850" t="s">
        <v>220</v>
      </c>
      <c r="D850" s="99">
        <v>26740</v>
      </c>
      <c r="E850" t="s">
        <v>213</v>
      </c>
      <c r="O850" s="160"/>
    </row>
    <row r="851" spans="2:15">
      <c r="B851" s="146">
        <v>41159</v>
      </c>
      <c r="C851" t="s">
        <v>219</v>
      </c>
      <c r="D851" s="99">
        <v>35373</v>
      </c>
      <c r="E851" t="s">
        <v>213</v>
      </c>
      <c r="O851" s="160"/>
    </row>
    <row r="852" spans="2:15">
      <c r="B852" s="146">
        <v>41398</v>
      </c>
      <c r="C852" t="s">
        <v>219</v>
      </c>
      <c r="D852" s="99">
        <v>6735</v>
      </c>
      <c r="E852" t="s">
        <v>210</v>
      </c>
      <c r="O852" s="160"/>
    </row>
    <row r="853" spans="2:15">
      <c r="B853" s="146">
        <v>41508</v>
      </c>
      <c r="C853" t="s">
        <v>219</v>
      </c>
      <c r="D853" s="99">
        <v>31512</v>
      </c>
      <c r="E853" t="s">
        <v>211</v>
      </c>
      <c r="O853" s="160"/>
    </row>
    <row r="854" spans="2:15">
      <c r="B854" s="146">
        <v>41905</v>
      </c>
      <c r="C854" t="s">
        <v>219</v>
      </c>
      <c r="D854" s="99">
        <v>17481</v>
      </c>
      <c r="E854" t="s">
        <v>213</v>
      </c>
      <c r="O854" s="160"/>
    </row>
    <row r="855" spans="2:15">
      <c r="B855" s="146">
        <v>41479</v>
      </c>
      <c r="C855" t="s">
        <v>220</v>
      </c>
      <c r="D855" s="99">
        <v>25383</v>
      </c>
      <c r="E855" t="s">
        <v>210</v>
      </c>
      <c r="O855" s="160"/>
    </row>
    <row r="856" spans="2:15">
      <c r="B856" s="146">
        <v>41615</v>
      </c>
      <c r="C856" t="s">
        <v>217</v>
      </c>
      <c r="D856" s="99">
        <v>14364</v>
      </c>
      <c r="E856" t="s">
        <v>211</v>
      </c>
      <c r="O856" s="160"/>
    </row>
    <row r="857" spans="2:15">
      <c r="B857" s="146">
        <v>41196</v>
      </c>
      <c r="C857" t="s">
        <v>220</v>
      </c>
      <c r="D857" s="99">
        <v>23797</v>
      </c>
      <c r="E857" t="s">
        <v>213</v>
      </c>
      <c r="O857" s="160"/>
    </row>
    <row r="858" spans="2:15">
      <c r="B858" s="146">
        <v>41542</v>
      </c>
      <c r="C858" t="s">
        <v>219</v>
      </c>
      <c r="D858" s="99">
        <v>28819</v>
      </c>
      <c r="E858" t="s">
        <v>213</v>
      </c>
      <c r="O858" s="160"/>
    </row>
    <row r="859" spans="2:15">
      <c r="B859" s="146">
        <v>41493</v>
      </c>
      <c r="C859" t="s">
        <v>218</v>
      </c>
      <c r="D859" s="99">
        <v>8974</v>
      </c>
      <c r="E859" t="s">
        <v>213</v>
      </c>
      <c r="O859" s="160"/>
    </row>
    <row r="860" spans="2:15">
      <c r="B860" s="146">
        <v>41269</v>
      </c>
      <c r="C860" t="s">
        <v>219</v>
      </c>
      <c r="D860" s="99">
        <v>19109</v>
      </c>
      <c r="E860" t="s">
        <v>211</v>
      </c>
      <c r="O860" s="160"/>
    </row>
    <row r="861" spans="2:15">
      <c r="B861" s="146">
        <v>41966</v>
      </c>
      <c r="C861" t="s">
        <v>219</v>
      </c>
      <c r="D861" s="99">
        <v>17018</v>
      </c>
      <c r="E861" t="s">
        <v>211</v>
      </c>
      <c r="O861" s="160"/>
    </row>
    <row r="862" spans="2:15">
      <c r="B862" s="146">
        <v>41199</v>
      </c>
      <c r="C862" t="s">
        <v>219</v>
      </c>
      <c r="D862" s="99">
        <v>8345</v>
      </c>
      <c r="E862" t="s">
        <v>211</v>
      </c>
      <c r="O862" s="160"/>
    </row>
    <row r="863" spans="2:15">
      <c r="B863" s="146">
        <v>41999</v>
      </c>
      <c r="C863" t="s">
        <v>217</v>
      </c>
      <c r="D863" s="99">
        <v>14039</v>
      </c>
      <c r="E863" t="s">
        <v>211</v>
      </c>
      <c r="O863" s="160"/>
    </row>
    <row r="864" spans="2:15">
      <c r="B864" s="146">
        <v>41592</v>
      </c>
      <c r="C864" t="s">
        <v>219</v>
      </c>
      <c r="D864" s="99">
        <v>24576</v>
      </c>
      <c r="E864" t="s">
        <v>210</v>
      </c>
      <c r="O864" s="160"/>
    </row>
    <row r="865" spans="2:15">
      <c r="B865" s="146">
        <v>41956</v>
      </c>
      <c r="C865" t="s">
        <v>219</v>
      </c>
      <c r="D865" s="99">
        <v>18989</v>
      </c>
      <c r="E865" t="s">
        <v>212</v>
      </c>
      <c r="O865" s="160"/>
    </row>
    <row r="866" spans="2:15">
      <c r="B866" s="146">
        <v>41277</v>
      </c>
      <c r="C866" t="s">
        <v>218</v>
      </c>
      <c r="D866" s="99">
        <v>16310</v>
      </c>
      <c r="E866" t="s">
        <v>212</v>
      </c>
      <c r="O866" s="160"/>
    </row>
    <row r="867" spans="2:15">
      <c r="B867" s="146">
        <v>41138</v>
      </c>
      <c r="C867" t="s">
        <v>217</v>
      </c>
      <c r="D867" s="99">
        <v>15434</v>
      </c>
      <c r="E867" t="s">
        <v>212</v>
      </c>
      <c r="O867" s="160"/>
    </row>
    <row r="868" spans="2:15">
      <c r="B868" s="146">
        <v>41452</v>
      </c>
      <c r="C868" t="s">
        <v>217</v>
      </c>
      <c r="D868" s="99">
        <v>37646</v>
      </c>
      <c r="E868" t="s">
        <v>212</v>
      </c>
      <c r="O868" s="160"/>
    </row>
    <row r="869" spans="2:15">
      <c r="B869" s="146">
        <v>41178</v>
      </c>
      <c r="C869" t="s">
        <v>219</v>
      </c>
      <c r="D869" s="99">
        <v>39023</v>
      </c>
      <c r="E869" t="s">
        <v>211</v>
      </c>
      <c r="O869" s="160"/>
    </row>
    <row r="870" spans="2:15">
      <c r="B870" s="146">
        <v>41812</v>
      </c>
      <c r="C870" t="s">
        <v>219</v>
      </c>
      <c r="D870" s="99">
        <v>28880</v>
      </c>
      <c r="E870" t="s">
        <v>213</v>
      </c>
      <c r="O870" s="160"/>
    </row>
    <row r="871" spans="2:15">
      <c r="B871" s="146">
        <v>41300</v>
      </c>
      <c r="C871" t="s">
        <v>218</v>
      </c>
      <c r="D871" s="99">
        <v>14978</v>
      </c>
      <c r="E871" t="s">
        <v>210</v>
      </c>
      <c r="O871" s="160"/>
    </row>
    <row r="872" spans="2:15">
      <c r="B872" s="146">
        <v>41192</v>
      </c>
      <c r="C872" t="s">
        <v>219</v>
      </c>
      <c r="D872" s="99">
        <v>30930</v>
      </c>
      <c r="E872" t="s">
        <v>212</v>
      </c>
      <c r="O872" s="160"/>
    </row>
    <row r="873" spans="2:15">
      <c r="B873" s="146">
        <v>41655</v>
      </c>
      <c r="C873" t="s">
        <v>220</v>
      </c>
      <c r="D873" s="99">
        <v>25915</v>
      </c>
      <c r="E873" t="s">
        <v>211</v>
      </c>
      <c r="O873" s="160"/>
    </row>
    <row r="874" spans="2:15">
      <c r="B874" s="146">
        <v>41377</v>
      </c>
      <c r="C874" t="s">
        <v>217</v>
      </c>
      <c r="D874" s="99">
        <v>14794</v>
      </c>
      <c r="E874" t="s">
        <v>211</v>
      </c>
      <c r="O874" s="160"/>
    </row>
    <row r="875" spans="2:15">
      <c r="B875" s="146">
        <v>41742</v>
      </c>
      <c r="C875" t="s">
        <v>218</v>
      </c>
      <c r="D875" s="99">
        <v>25353</v>
      </c>
      <c r="E875" t="s">
        <v>210</v>
      </c>
      <c r="O875" s="160"/>
    </row>
    <row r="876" spans="2:15">
      <c r="B876" s="146">
        <v>41962</v>
      </c>
      <c r="C876" t="s">
        <v>220</v>
      </c>
      <c r="D876" s="99">
        <v>32656</v>
      </c>
      <c r="E876" t="s">
        <v>213</v>
      </c>
      <c r="O876" s="160"/>
    </row>
    <row r="877" spans="2:15">
      <c r="B877" s="146">
        <v>41748</v>
      </c>
      <c r="C877" t="s">
        <v>217</v>
      </c>
      <c r="D877" s="99">
        <v>6984</v>
      </c>
      <c r="E877" t="s">
        <v>212</v>
      </c>
      <c r="O877" s="160"/>
    </row>
    <row r="878" spans="2:15">
      <c r="B878" s="146">
        <v>41344</v>
      </c>
      <c r="C878" t="s">
        <v>220</v>
      </c>
      <c r="D878" s="99">
        <v>12024</v>
      </c>
      <c r="E878" t="s">
        <v>212</v>
      </c>
      <c r="O878" s="160"/>
    </row>
    <row r="879" spans="2:15">
      <c r="B879" s="146">
        <v>41324</v>
      </c>
      <c r="C879" t="s">
        <v>217</v>
      </c>
      <c r="D879" s="99">
        <v>20097</v>
      </c>
      <c r="E879" t="s">
        <v>211</v>
      </c>
      <c r="O879" s="160"/>
    </row>
    <row r="880" spans="2:15">
      <c r="B880" s="146">
        <v>41718</v>
      </c>
      <c r="C880" t="s">
        <v>220</v>
      </c>
      <c r="D880" s="99">
        <v>29877</v>
      </c>
      <c r="E880" t="s">
        <v>212</v>
      </c>
      <c r="O880" s="160"/>
    </row>
    <row r="881" spans="2:15">
      <c r="B881" s="146">
        <v>41648</v>
      </c>
      <c r="C881" t="s">
        <v>217</v>
      </c>
      <c r="D881" s="99">
        <v>10416</v>
      </c>
      <c r="E881" t="s">
        <v>212</v>
      </c>
      <c r="O881" s="160"/>
    </row>
    <row r="882" spans="2:15">
      <c r="B882" s="146">
        <v>41536</v>
      </c>
      <c r="C882" t="s">
        <v>218</v>
      </c>
      <c r="D882" s="99">
        <v>31677</v>
      </c>
      <c r="E882" t="s">
        <v>212</v>
      </c>
      <c r="O882" s="160"/>
    </row>
    <row r="883" spans="2:15">
      <c r="B883" s="146">
        <v>41142</v>
      </c>
      <c r="C883" t="s">
        <v>218</v>
      </c>
      <c r="D883" s="99">
        <v>37538</v>
      </c>
      <c r="E883" t="s">
        <v>211</v>
      </c>
      <c r="O883" s="160"/>
    </row>
    <row r="884" spans="2:15">
      <c r="B884" s="146">
        <v>41410</v>
      </c>
      <c r="C884" t="s">
        <v>217</v>
      </c>
      <c r="D884" s="99">
        <v>11817</v>
      </c>
      <c r="E884" t="s">
        <v>210</v>
      </c>
      <c r="O884" s="160"/>
    </row>
    <row r="885" spans="2:15">
      <c r="B885" s="146">
        <v>41778</v>
      </c>
      <c r="C885" t="s">
        <v>217</v>
      </c>
      <c r="D885" s="99">
        <v>37640</v>
      </c>
      <c r="E885" t="s">
        <v>210</v>
      </c>
      <c r="O885" s="160"/>
    </row>
    <row r="886" spans="2:15">
      <c r="B886" s="146">
        <v>41858</v>
      </c>
      <c r="C886" t="s">
        <v>217</v>
      </c>
      <c r="D886" s="99">
        <v>33830</v>
      </c>
      <c r="E886" t="s">
        <v>210</v>
      </c>
      <c r="O886" s="160"/>
    </row>
    <row r="887" spans="2:15">
      <c r="B887" s="146">
        <v>41588</v>
      </c>
      <c r="C887" t="s">
        <v>218</v>
      </c>
      <c r="D887" s="99">
        <v>24788</v>
      </c>
      <c r="E887" t="s">
        <v>213</v>
      </c>
      <c r="O887" s="160"/>
    </row>
    <row r="888" spans="2:15">
      <c r="B888" s="146">
        <v>41189</v>
      </c>
      <c r="C888" t="s">
        <v>218</v>
      </c>
      <c r="D888" s="99">
        <v>33642</v>
      </c>
      <c r="E888" t="s">
        <v>213</v>
      </c>
      <c r="O888" s="160"/>
    </row>
    <row r="889" spans="2:15">
      <c r="B889" s="146">
        <v>41707</v>
      </c>
      <c r="C889" t="s">
        <v>217</v>
      </c>
      <c r="D889" s="99">
        <v>6243</v>
      </c>
      <c r="E889" t="s">
        <v>212</v>
      </c>
      <c r="O889" s="160"/>
    </row>
    <row r="890" spans="2:15">
      <c r="B890" s="146">
        <v>41581</v>
      </c>
      <c r="C890" t="s">
        <v>219</v>
      </c>
      <c r="D890" s="99">
        <v>18903</v>
      </c>
      <c r="E890" t="s">
        <v>213</v>
      </c>
      <c r="O890" s="160"/>
    </row>
    <row r="891" spans="2:15">
      <c r="B891" s="146">
        <v>41524</v>
      </c>
      <c r="C891" t="s">
        <v>219</v>
      </c>
      <c r="D891" s="99">
        <v>21177</v>
      </c>
      <c r="E891" t="s">
        <v>213</v>
      </c>
      <c r="O891" s="160"/>
    </row>
    <row r="892" spans="2:15">
      <c r="B892" s="146">
        <v>41236</v>
      </c>
      <c r="C892" t="s">
        <v>217</v>
      </c>
      <c r="D892" s="99">
        <v>9380</v>
      </c>
      <c r="E892" t="s">
        <v>210</v>
      </c>
      <c r="O892" s="160"/>
    </row>
    <row r="893" spans="2:15">
      <c r="B893" s="146">
        <v>41490</v>
      </c>
      <c r="C893" t="s">
        <v>218</v>
      </c>
      <c r="D893" s="99">
        <v>32319</v>
      </c>
      <c r="E893" t="s">
        <v>210</v>
      </c>
      <c r="O893" s="160"/>
    </row>
    <row r="894" spans="2:15">
      <c r="B894" s="146">
        <v>41133</v>
      </c>
      <c r="C894" t="s">
        <v>219</v>
      </c>
      <c r="D894" s="99">
        <v>11540</v>
      </c>
      <c r="E894" t="s">
        <v>210</v>
      </c>
      <c r="O894" s="160"/>
    </row>
    <row r="895" spans="2:15">
      <c r="B895" s="146">
        <v>41468</v>
      </c>
      <c r="C895" t="s">
        <v>220</v>
      </c>
      <c r="D895" s="99">
        <v>10456</v>
      </c>
      <c r="E895" t="s">
        <v>211</v>
      </c>
      <c r="O895" s="160"/>
    </row>
    <row r="896" spans="2:15">
      <c r="B896" s="146">
        <v>41408</v>
      </c>
      <c r="C896" t="s">
        <v>219</v>
      </c>
      <c r="D896" s="99">
        <v>7682</v>
      </c>
      <c r="E896" t="s">
        <v>211</v>
      </c>
      <c r="O896" s="160"/>
    </row>
    <row r="897" spans="2:15">
      <c r="B897" s="146">
        <v>41363</v>
      </c>
      <c r="C897" t="s">
        <v>217</v>
      </c>
      <c r="D897" s="99">
        <v>31281</v>
      </c>
      <c r="E897" t="s">
        <v>210</v>
      </c>
      <c r="O897" s="160"/>
    </row>
    <row r="898" spans="2:15">
      <c r="B898" s="146">
        <v>41272</v>
      </c>
      <c r="C898" t="s">
        <v>217</v>
      </c>
      <c r="D898" s="99">
        <v>22214</v>
      </c>
      <c r="E898" t="s">
        <v>212</v>
      </c>
      <c r="O898" s="160"/>
    </row>
    <row r="899" spans="2:15">
      <c r="B899" s="146">
        <v>41743</v>
      </c>
      <c r="C899" t="s">
        <v>218</v>
      </c>
      <c r="D899" s="99">
        <v>24922</v>
      </c>
      <c r="E899" t="s">
        <v>210</v>
      </c>
      <c r="O899" s="160"/>
    </row>
    <row r="900" spans="2:15">
      <c r="B900" s="146">
        <v>42016</v>
      </c>
      <c r="C900" t="s">
        <v>217</v>
      </c>
      <c r="D900" s="99">
        <v>16410</v>
      </c>
      <c r="E900" t="s">
        <v>210</v>
      </c>
      <c r="O900" s="160"/>
    </row>
    <row r="901" spans="2:15">
      <c r="B901" s="146">
        <v>41442</v>
      </c>
      <c r="C901" t="s">
        <v>219</v>
      </c>
      <c r="D901" s="99">
        <v>35790</v>
      </c>
      <c r="E901" t="s">
        <v>213</v>
      </c>
      <c r="O901" s="160"/>
    </row>
    <row r="902" spans="2:15">
      <c r="B902" s="146">
        <v>41163</v>
      </c>
      <c r="C902" t="s">
        <v>217</v>
      </c>
      <c r="D902" s="99">
        <v>20505</v>
      </c>
      <c r="E902" t="s">
        <v>213</v>
      </c>
      <c r="O902" s="160"/>
    </row>
    <row r="903" spans="2:15">
      <c r="B903" s="146">
        <v>41527</v>
      </c>
      <c r="C903" t="s">
        <v>217</v>
      </c>
      <c r="D903" s="99">
        <v>7955</v>
      </c>
      <c r="E903" t="s">
        <v>212</v>
      </c>
      <c r="O903" s="160"/>
    </row>
    <row r="904" spans="2:15">
      <c r="B904" s="146">
        <v>41437</v>
      </c>
      <c r="C904" t="s">
        <v>220</v>
      </c>
      <c r="D904" s="99">
        <v>30218</v>
      </c>
      <c r="E904" t="s">
        <v>210</v>
      </c>
      <c r="O904" s="160"/>
    </row>
    <row r="905" spans="2:15">
      <c r="B905" s="146">
        <v>41515</v>
      </c>
      <c r="C905" t="s">
        <v>217</v>
      </c>
      <c r="D905" s="99">
        <v>38457</v>
      </c>
      <c r="E905" t="s">
        <v>212</v>
      </c>
      <c r="O905" s="160"/>
    </row>
    <row r="906" spans="2:15">
      <c r="B906" s="146">
        <v>41218</v>
      </c>
      <c r="C906" t="s">
        <v>220</v>
      </c>
      <c r="D906" s="99">
        <v>28858</v>
      </c>
      <c r="E906" t="s">
        <v>211</v>
      </c>
      <c r="O906" s="160"/>
    </row>
    <row r="907" spans="2:15">
      <c r="B907" s="146">
        <v>41775</v>
      </c>
      <c r="C907" t="s">
        <v>218</v>
      </c>
      <c r="D907" s="99">
        <v>14185</v>
      </c>
      <c r="E907" t="s">
        <v>212</v>
      </c>
      <c r="O907" s="160"/>
    </row>
    <row r="908" spans="2:15">
      <c r="B908" s="146">
        <v>41260</v>
      </c>
      <c r="C908" t="s">
        <v>218</v>
      </c>
      <c r="D908" s="99">
        <v>5239</v>
      </c>
      <c r="E908" t="s">
        <v>210</v>
      </c>
      <c r="O908" s="160"/>
    </row>
    <row r="909" spans="2:15">
      <c r="B909" s="146">
        <v>41826</v>
      </c>
      <c r="C909" t="s">
        <v>220</v>
      </c>
      <c r="D909" s="99">
        <v>23229</v>
      </c>
      <c r="E909" t="s">
        <v>211</v>
      </c>
      <c r="O909" s="160"/>
    </row>
    <row r="910" spans="2:15">
      <c r="B910" s="146">
        <v>41904</v>
      </c>
      <c r="C910" t="s">
        <v>218</v>
      </c>
      <c r="D910" s="99">
        <v>33257</v>
      </c>
      <c r="E910" t="s">
        <v>212</v>
      </c>
      <c r="O910" s="160"/>
    </row>
    <row r="911" spans="2:15">
      <c r="B911" s="146">
        <v>41516</v>
      </c>
      <c r="C911" t="s">
        <v>220</v>
      </c>
      <c r="D911" s="99">
        <v>39771</v>
      </c>
      <c r="E911" t="s">
        <v>213</v>
      </c>
      <c r="O911" s="160"/>
    </row>
    <row r="912" spans="2:15">
      <c r="B912" s="146">
        <v>41799</v>
      </c>
      <c r="C912" t="s">
        <v>219</v>
      </c>
      <c r="D912" s="99">
        <v>37920</v>
      </c>
      <c r="E912" t="s">
        <v>212</v>
      </c>
      <c r="O912" s="160"/>
    </row>
    <row r="913" spans="2:15">
      <c r="B913" s="146">
        <v>41883</v>
      </c>
      <c r="C913" t="s">
        <v>217</v>
      </c>
      <c r="D913" s="99">
        <v>6951</v>
      </c>
      <c r="E913" t="s">
        <v>212</v>
      </c>
      <c r="O913" s="160"/>
    </row>
    <row r="914" spans="2:15">
      <c r="B914" s="146">
        <v>41270</v>
      </c>
      <c r="C914" t="s">
        <v>217</v>
      </c>
      <c r="D914" s="99">
        <v>20072</v>
      </c>
      <c r="E914" t="s">
        <v>210</v>
      </c>
      <c r="O914" s="160"/>
    </row>
    <row r="915" spans="2:15">
      <c r="B915" s="146">
        <v>41487</v>
      </c>
      <c r="C915" t="s">
        <v>220</v>
      </c>
      <c r="D915" s="99">
        <v>7047</v>
      </c>
      <c r="E915" t="s">
        <v>210</v>
      </c>
      <c r="O915" s="160"/>
    </row>
    <row r="916" spans="2:15">
      <c r="B916" s="146">
        <v>42001</v>
      </c>
      <c r="C916" t="s">
        <v>219</v>
      </c>
      <c r="D916" s="99">
        <v>21888</v>
      </c>
      <c r="E916" t="s">
        <v>213</v>
      </c>
      <c r="O916" s="160"/>
    </row>
    <row r="917" spans="2:15">
      <c r="B917" s="146">
        <v>41746</v>
      </c>
      <c r="C917" t="s">
        <v>219</v>
      </c>
      <c r="D917" s="99">
        <v>24711</v>
      </c>
      <c r="E917" t="s">
        <v>210</v>
      </c>
      <c r="O917" s="160"/>
    </row>
    <row r="918" spans="2:15">
      <c r="B918" s="146">
        <v>41169</v>
      </c>
      <c r="C918" t="s">
        <v>219</v>
      </c>
      <c r="D918" s="99">
        <v>9911</v>
      </c>
      <c r="E918" t="s">
        <v>211</v>
      </c>
      <c r="O918" s="160"/>
    </row>
    <row r="919" spans="2:15">
      <c r="B919" s="146">
        <v>41989</v>
      </c>
      <c r="C919" t="s">
        <v>218</v>
      </c>
      <c r="D919" s="99">
        <v>24538</v>
      </c>
      <c r="E919" t="s">
        <v>213</v>
      </c>
      <c r="O919" s="160"/>
    </row>
    <row r="920" spans="2:15">
      <c r="B920" s="146">
        <v>41716</v>
      </c>
      <c r="C920" t="s">
        <v>217</v>
      </c>
      <c r="D920" s="99">
        <v>10636</v>
      </c>
      <c r="E920" t="s">
        <v>212</v>
      </c>
      <c r="O920" s="160"/>
    </row>
    <row r="921" spans="2:15">
      <c r="B921" s="146">
        <v>41546</v>
      </c>
      <c r="C921" t="s">
        <v>218</v>
      </c>
      <c r="D921" s="99">
        <v>35070</v>
      </c>
      <c r="E921" t="s">
        <v>213</v>
      </c>
      <c r="O921" s="160"/>
    </row>
    <row r="922" spans="2:15">
      <c r="B922" s="146">
        <v>41876</v>
      </c>
      <c r="C922" t="s">
        <v>219</v>
      </c>
      <c r="D922" s="99">
        <v>13652</v>
      </c>
      <c r="E922" t="s">
        <v>212</v>
      </c>
      <c r="O922" s="160"/>
    </row>
    <row r="923" spans="2:15">
      <c r="B923" s="146">
        <v>41468</v>
      </c>
      <c r="C923" t="s">
        <v>218</v>
      </c>
      <c r="D923" s="99">
        <v>35976</v>
      </c>
      <c r="E923" t="s">
        <v>211</v>
      </c>
      <c r="O923" s="160"/>
    </row>
    <row r="924" spans="2:15">
      <c r="B924" s="146">
        <v>41444</v>
      </c>
      <c r="C924" t="s">
        <v>217</v>
      </c>
      <c r="D924" s="99">
        <v>29866</v>
      </c>
      <c r="E924" t="s">
        <v>211</v>
      </c>
      <c r="O924" s="160"/>
    </row>
    <row r="925" spans="2:15">
      <c r="B925" s="146">
        <v>41791</v>
      </c>
      <c r="C925" t="s">
        <v>220</v>
      </c>
      <c r="D925" s="99">
        <v>39092</v>
      </c>
      <c r="E925" t="s">
        <v>210</v>
      </c>
      <c r="O925" s="160"/>
    </row>
    <row r="926" spans="2:15">
      <c r="B926" s="146">
        <v>41765</v>
      </c>
      <c r="C926" t="s">
        <v>217</v>
      </c>
      <c r="D926" s="99">
        <v>13455</v>
      </c>
      <c r="E926" t="s">
        <v>213</v>
      </c>
      <c r="O926" s="160"/>
    </row>
    <row r="927" spans="2:15">
      <c r="B927" s="146">
        <v>41884</v>
      </c>
      <c r="C927" t="s">
        <v>220</v>
      </c>
      <c r="D927" s="99">
        <v>12403</v>
      </c>
      <c r="E927" t="s">
        <v>210</v>
      </c>
      <c r="O927" s="160"/>
    </row>
    <row r="928" spans="2:15">
      <c r="B928" s="146">
        <v>41961</v>
      </c>
      <c r="C928" t="s">
        <v>217</v>
      </c>
      <c r="D928" s="99">
        <v>36172</v>
      </c>
      <c r="E928" t="s">
        <v>212</v>
      </c>
      <c r="O928" s="160"/>
    </row>
    <row r="929" spans="2:15">
      <c r="B929" s="146">
        <v>41337</v>
      </c>
      <c r="C929" t="s">
        <v>219</v>
      </c>
      <c r="D929" s="99">
        <v>24344</v>
      </c>
      <c r="E929" t="s">
        <v>212</v>
      </c>
      <c r="O929" s="160"/>
    </row>
    <row r="930" spans="2:15">
      <c r="B930" s="146">
        <v>41704</v>
      </c>
      <c r="C930" t="s">
        <v>219</v>
      </c>
      <c r="D930" s="99">
        <v>38824</v>
      </c>
      <c r="E930" t="s">
        <v>210</v>
      </c>
      <c r="O930" s="160"/>
    </row>
    <row r="931" spans="2:15">
      <c r="B931" s="146">
        <v>41555</v>
      </c>
      <c r="C931" t="s">
        <v>218</v>
      </c>
      <c r="D931" s="99">
        <v>15044</v>
      </c>
      <c r="E931" t="s">
        <v>210</v>
      </c>
      <c r="O931" s="160"/>
    </row>
    <row r="932" spans="2:15">
      <c r="B932" s="146">
        <v>42017</v>
      </c>
      <c r="C932" t="s">
        <v>219</v>
      </c>
      <c r="D932" s="99">
        <v>11462</v>
      </c>
      <c r="E932" t="s">
        <v>211</v>
      </c>
      <c r="O932" s="160"/>
    </row>
    <row r="933" spans="2:15">
      <c r="B933" s="146">
        <v>41984</v>
      </c>
      <c r="C933" t="s">
        <v>218</v>
      </c>
      <c r="D933" s="99">
        <v>34295</v>
      </c>
      <c r="E933" t="s">
        <v>211</v>
      </c>
      <c r="O933" s="160"/>
    </row>
    <row r="934" spans="2:15">
      <c r="B934" s="146">
        <v>41998</v>
      </c>
      <c r="C934" t="s">
        <v>220</v>
      </c>
      <c r="D934" s="99">
        <v>16508</v>
      </c>
      <c r="E934" t="s">
        <v>211</v>
      </c>
      <c r="O934" s="160"/>
    </row>
    <row r="935" spans="2:15">
      <c r="B935" s="146">
        <v>41657</v>
      </c>
      <c r="C935" t="s">
        <v>217</v>
      </c>
      <c r="D935" s="99">
        <v>17557</v>
      </c>
      <c r="E935" t="s">
        <v>212</v>
      </c>
      <c r="O935" s="160"/>
    </row>
    <row r="936" spans="2:15">
      <c r="B936" s="146">
        <v>41260</v>
      </c>
      <c r="C936" t="s">
        <v>219</v>
      </c>
      <c r="D936" s="99">
        <v>37012</v>
      </c>
      <c r="E936" t="s">
        <v>212</v>
      </c>
      <c r="O936" s="160"/>
    </row>
    <row r="937" spans="2:15">
      <c r="B937" s="146">
        <v>41908</v>
      </c>
      <c r="C937" t="s">
        <v>217</v>
      </c>
      <c r="D937" s="99">
        <v>18879</v>
      </c>
      <c r="E937" t="s">
        <v>213</v>
      </c>
      <c r="O937" s="160"/>
    </row>
    <row r="938" spans="2:15">
      <c r="B938" s="146">
        <v>41754</v>
      </c>
      <c r="C938" t="s">
        <v>218</v>
      </c>
      <c r="D938" s="99">
        <v>33553</v>
      </c>
      <c r="E938" t="s">
        <v>212</v>
      </c>
      <c r="O938" s="160"/>
    </row>
    <row r="939" spans="2:15">
      <c r="B939" s="146">
        <v>41906</v>
      </c>
      <c r="C939" t="s">
        <v>217</v>
      </c>
      <c r="D939" s="99">
        <v>13903</v>
      </c>
      <c r="E939" t="s">
        <v>212</v>
      </c>
      <c r="O939" s="160"/>
    </row>
    <row r="940" spans="2:15">
      <c r="B940" s="146">
        <v>41875</v>
      </c>
      <c r="C940" t="s">
        <v>219</v>
      </c>
      <c r="D940" s="99">
        <v>28844</v>
      </c>
      <c r="E940" t="s">
        <v>211</v>
      </c>
      <c r="O940" s="160"/>
    </row>
    <row r="941" spans="2:15">
      <c r="B941" s="146">
        <v>41617</v>
      </c>
      <c r="C941" t="s">
        <v>220</v>
      </c>
      <c r="D941" s="99">
        <v>9370</v>
      </c>
      <c r="E941" t="s">
        <v>211</v>
      </c>
      <c r="O941" s="160"/>
    </row>
    <row r="942" spans="2:15">
      <c r="B942" s="146">
        <v>41695</v>
      </c>
      <c r="C942" t="s">
        <v>220</v>
      </c>
      <c r="D942" s="99">
        <v>5757</v>
      </c>
      <c r="E942" t="s">
        <v>213</v>
      </c>
      <c r="O942" s="160"/>
    </row>
    <row r="943" spans="2:15">
      <c r="B943" s="146">
        <v>41835</v>
      </c>
      <c r="C943" t="s">
        <v>219</v>
      </c>
      <c r="D943" s="99">
        <v>31592</v>
      </c>
      <c r="E943" t="s">
        <v>210</v>
      </c>
      <c r="O943" s="160"/>
    </row>
    <row r="944" spans="2:15">
      <c r="B944" s="146">
        <v>41176</v>
      </c>
      <c r="C944" t="s">
        <v>219</v>
      </c>
      <c r="D944" s="99">
        <v>32685</v>
      </c>
      <c r="E944" t="s">
        <v>212</v>
      </c>
      <c r="O944" s="160"/>
    </row>
    <row r="945" spans="2:15">
      <c r="B945" s="146">
        <v>41386</v>
      </c>
      <c r="C945" t="s">
        <v>217</v>
      </c>
      <c r="D945" s="99">
        <v>38895</v>
      </c>
      <c r="E945" t="s">
        <v>212</v>
      </c>
      <c r="O945" s="160"/>
    </row>
    <row r="946" spans="2:15">
      <c r="B946" s="146">
        <v>41810</v>
      </c>
      <c r="C946" t="s">
        <v>219</v>
      </c>
      <c r="D946" s="99">
        <v>36832</v>
      </c>
      <c r="E946" t="s">
        <v>213</v>
      </c>
      <c r="O946" s="160"/>
    </row>
    <row r="947" spans="2:15">
      <c r="B947" s="146">
        <v>41803</v>
      </c>
      <c r="C947" t="s">
        <v>217</v>
      </c>
      <c r="D947" s="99">
        <v>8883</v>
      </c>
      <c r="E947" t="s">
        <v>213</v>
      </c>
      <c r="O947" s="160"/>
    </row>
    <row r="948" spans="2:15">
      <c r="B948" s="146">
        <v>41638</v>
      </c>
      <c r="C948" t="s">
        <v>219</v>
      </c>
      <c r="D948" s="99">
        <v>20588</v>
      </c>
      <c r="E948" t="s">
        <v>211</v>
      </c>
      <c r="O948" s="160"/>
    </row>
    <row r="949" spans="2:15">
      <c r="B949" s="146">
        <v>41987</v>
      </c>
      <c r="C949" t="s">
        <v>218</v>
      </c>
      <c r="D949" s="99">
        <v>13191</v>
      </c>
      <c r="E949" t="s">
        <v>210</v>
      </c>
      <c r="O949" s="160"/>
    </row>
    <row r="950" spans="2:15">
      <c r="B950" s="146">
        <v>41887</v>
      </c>
      <c r="C950" t="s">
        <v>220</v>
      </c>
      <c r="D950" s="99">
        <v>24182</v>
      </c>
      <c r="E950" t="s">
        <v>212</v>
      </c>
      <c r="O950" s="160"/>
    </row>
    <row r="951" spans="2:15">
      <c r="B951" s="146">
        <v>41753</v>
      </c>
      <c r="C951" t="s">
        <v>217</v>
      </c>
      <c r="D951" s="99">
        <v>20050</v>
      </c>
      <c r="E951" t="s">
        <v>213</v>
      </c>
      <c r="O951" s="160"/>
    </row>
    <row r="952" spans="2:15">
      <c r="B952" s="146">
        <v>41734</v>
      </c>
      <c r="C952" t="s">
        <v>219</v>
      </c>
      <c r="D952" s="99">
        <v>7128</v>
      </c>
      <c r="E952" t="s">
        <v>210</v>
      </c>
      <c r="O952" s="160"/>
    </row>
    <row r="953" spans="2:15">
      <c r="B953" s="146">
        <v>41173</v>
      </c>
      <c r="C953" t="s">
        <v>217</v>
      </c>
      <c r="D953" s="99">
        <v>22514</v>
      </c>
      <c r="E953" t="s">
        <v>213</v>
      </c>
      <c r="O953" s="160"/>
    </row>
    <row r="954" spans="2:15">
      <c r="B954" s="146">
        <v>41682</v>
      </c>
      <c r="C954" t="s">
        <v>217</v>
      </c>
      <c r="D954" s="99">
        <v>30600</v>
      </c>
      <c r="E954" t="s">
        <v>211</v>
      </c>
      <c r="O954" s="160"/>
    </row>
    <row r="955" spans="2:15">
      <c r="B955" s="146">
        <v>41477</v>
      </c>
      <c r="C955" t="s">
        <v>219</v>
      </c>
      <c r="D955" s="99">
        <v>32720</v>
      </c>
      <c r="E955" t="s">
        <v>213</v>
      </c>
      <c r="O955" s="160"/>
    </row>
    <row r="956" spans="2:15">
      <c r="B956" s="146">
        <v>41866</v>
      </c>
      <c r="C956" t="s">
        <v>218</v>
      </c>
      <c r="D956" s="99">
        <v>21261</v>
      </c>
      <c r="E956" t="s">
        <v>212</v>
      </c>
      <c r="O956" s="160"/>
    </row>
    <row r="957" spans="2:15">
      <c r="B957" s="146">
        <v>41407</v>
      </c>
      <c r="C957" t="s">
        <v>218</v>
      </c>
      <c r="D957" s="99">
        <v>18502</v>
      </c>
      <c r="E957" t="s">
        <v>212</v>
      </c>
      <c r="O957" s="160"/>
    </row>
    <row r="958" spans="2:15">
      <c r="B958" s="146">
        <v>41152</v>
      </c>
      <c r="C958" t="s">
        <v>218</v>
      </c>
      <c r="D958" s="99">
        <v>5835</v>
      </c>
      <c r="E958" t="s">
        <v>213</v>
      </c>
      <c r="O958" s="160"/>
    </row>
    <row r="959" spans="2:15">
      <c r="B959" s="146">
        <v>41989</v>
      </c>
      <c r="C959" t="s">
        <v>217</v>
      </c>
      <c r="D959" s="99">
        <v>13082</v>
      </c>
      <c r="E959" t="s">
        <v>210</v>
      </c>
      <c r="O959" s="160"/>
    </row>
    <row r="960" spans="2:15">
      <c r="B960" s="146">
        <v>42002</v>
      </c>
      <c r="C960" t="s">
        <v>218</v>
      </c>
      <c r="D960" s="99">
        <v>17263</v>
      </c>
      <c r="E960" t="s">
        <v>210</v>
      </c>
      <c r="O960" s="160"/>
    </row>
    <row r="961" spans="2:15">
      <c r="B961" s="146">
        <v>41448</v>
      </c>
      <c r="C961" t="s">
        <v>220</v>
      </c>
      <c r="D961" s="99">
        <v>8903</v>
      </c>
      <c r="E961" t="s">
        <v>212</v>
      </c>
      <c r="O961" s="160"/>
    </row>
    <row r="962" spans="2:15">
      <c r="B962" s="146">
        <v>41349</v>
      </c>
      <c r="C962" t="s">
        <v>217</v>
      </c>
      <c r="D962" s="99">
        <v>5305</v>
      </c>
      <c r="E962" t="s">
        <v>211</v>
      </c>
      <c r="O962" s="160"/>
    </row>
    <row r="963" spans="2:15">
      <c r="B963" s="146">
        <v>41155</v>
      </c>
      <c r="C963" t="s">
        <v>219</v>
      </c>
      <c r="D963" s="99">
        <v>39298</v>
      </c>
      <c r="E963" t="s">
        <v>210</v>
      </c>
      <c r="O963" s="160"/>
    </row>
    <row r="964" spans="2:15">
      <c r="B964" s="146">
        <v>41459</v>
      </c>
      <c r="C964" t="s">
        <v>219</v>
      </c>
      <c r="D964" s="99">
        <v>37652</v>
      </c>
      <c r="E964" t="s">
        <v>213</v>
      </c>
      <c r="O964" s="160"/>
    </row>
    <row r="965" spans="2:15">
      <c r="B965" s="146">
        <v>41733</v>
      </c>
      <c r="C965" t="s">
        <v>219</v>
      </c>
      <c r="D965" s="99">
        <v>33926</v>
      </c>
      <c r="E965" t="s">
        <v>213</v>
      </c>
      <c r="O965" s="160"/>
    </row>
    <row r="966" spans="2:15">
      <c r="B966" s="146">
        <v>41805</v>
      </c>
      <c r="C966" t="s">
        <v>219</v>
      </c>
      <c r="D966" s="99">
        <v>26505</v>
      </c>
      <c r="E966" t="s">
        <v>210</v>
      </c>
      <c r="O966" s="160"/>
    </row>
    <row r="967" spans="2:15">
      <c r="B967" s="146">
        <v>41835</v>
      </c>
      <c r="C967" t="s">
        <v>220</v>
      </c>
      <c r="D967" s="99">
        <v>17149</v>
      </c>
      <c r="E967" t="s">
        <v>213</v>
      </c>
      <c r="O967" s="160"/>
    </row>
    <row r="968" spans="2:15">
      <c r="B968" s="146">
        <v>41364</v>
      </c>
      <c r="C968" t="s">
        <v>219</v>
      </c>
      <c r="D968" s="99">
        <v>18197</v>
      </c>
      <c r="E968" t="s">
        <v>213</v>
      </c>
      <c r="O968" s="160"/>
    </row>
    <row r="969" spans="2:15">
      <c r="B969" s="146">
        <v>41933</v>
      </c>
      <c r="C969" t="s">
        <v>218</v>
      </c>
      <c r="D969" s="99">
        <v>10043</v>
      </c>
      <c r="E969" t="s">
        <v>210</v>
      </c>
      <c r="O969" s="160"/>
    </row>
    <row r="970" spans="2:15">
      <c r="B970" s="146">
        <v>41987</v>
      </c>
      <c r="C970" t="s">
        <v>217</v>
      </c>
      <c r="D970" s="99">
        <v>39740</v>
      </c>
      <c r="E970" t="s">
        <v>212</v>
      </c>
      <c r="O970" s="160"/>
    </row>
    <row r="971" spans="2:15">
      <c r="B971" s="146">
        <v>41850</v>
      </c>
      <c r="C971" t="s">
        <v>217</v>
      </c>
      <c r="D971" s="99">
        <v>20454</v>
      </c>
      <c r="E971" t="s">
        <v>211</v>
      </c>
      <c r="O971" s="160"/>
    </row>
    <row r="972" spans="2:15">
      <c r="B972" s="146">
        <v>41262</v>
      </c>
      <c r="C972" t="s">
        <v>218</v>
      </c>
      <c r="D972" s="99">
        <v>39435</v>
      </c>
      <c r="E972" t="s">
        <v>210</v>
      </c>
      <c r="O972" s="160"/>
    </row>
    <row r="973" spans="2:15">
      <c r="B973" s="146">
        <v>41447</v>
      </c>
      <c r="C973" t="s">
        <v>217</v>
      </c>
      <c r="D973" s="99">
        <v>18617</v>
      </c>
      <c r="E973" t="s">
        <v>212</v>
      </c>
      <c r="O973" s="160"/>
    </row>
    <row r="974" spans="2:15">
      <c r="B974" s="146">
        <v>41417</v>
      </c>
      <c r="C974" t="s">
        <v>218</v>
      </c>
      <c r="D974" s="99">
        <v>29044</v>
      </c>
      <c r="E974" t="s">
        <v>210</v>
      </c>
      <c r="O974" s="160"/>
    </row>
    <row r="975" spans="2:15">
      <c r="B975" s="146">
        <v>41945</v>
      </c>
      <c r="C975" t="s">
        <v>219</v>
      </c>
      <c r="D975" s="99">
        <v>35725</v>
      </c>
      <c r="E975" t="s">
        <v>212</v>
      </c>
      <c r="O975" s="160"/>
    </row>
    <row r="976" spans="2:15">
      <c r="B976" s="146">
        <v>41824</v>
      </c>
      <c r="C976" t="s">
        <v>220</v>
      </c>
      <c r="D976" s="99">
        <v>29166</v>
      </c>
      <c r="E976" t="s">
        <v>210</v>
      </c>
      <c r="O976" s="160"/>
    </row>
    <row r="977" spans="2:15">
      <c r="B977" s="146">
        <v>41297</v>
      </c>
      <c r="C977" t="s">
        <v>217</v>
      </c>
      <c r="D977" s="99">
        <v>33335</v>
      </c>
      <c r="E977" t="s">
        <v>212</v>
      </c>
      <c r="O977" s="160"/>
    </row>
    <row r="978" spans="2:15">
      <c r="B978" s="146">
        <v>41946</v>
      </c>
      <c r="C978" t="s">
        <v>218</v>
      </c>
      <c r="D978" s="99">
        <v>20841</v>
      </c>
      <c r="E978" t="s">
        <v>212</v>
      </c>
      <c r="O978" s="160"/>
    </row>
    <row r="979" spans="2:15">
      <c r="B979" s="146">
        <v>41582</v>
      </c>
      <c r="C979" t="s">
        <v>220</v>
      </c>
      <c r="D979" s="99">
        <v>21891</v>
      </c>
      <c r="E979" t="s">
        <v>213</v>
      </c>
      <c r="O979" s="160"/>
    </row>
    <row r="980" spans="2:15">
      <c r="B980" s="146">
        <v>41659</v>
      </c>
      <c r="C980" t="s">
        <v>217</v>
      </c>
      <c r="D980" s="99">
        <v>14842</v>
      </c>
      <c r="E980" t="s">
        <v>210</v>
      </c>
      <c r="O980" s="160"/>
    </row>
    <row r="981" spans="2:15">
      <c r="B981" s="146">
        <v>41586</v>
      </c>
      <c r="C981" t="s">
        <v>218</v>
      </c>
      <c r="D981" s="99">
        <v>31944</v>
      </c>
      <c r="E981" t="s">
        <v>211</v>
      </c>
      <c r="O981" s="160"/>
    </row>
    <row r="982" spans="2:15">
      <c r="B982" s="146">
        <v>41559</v>
      </c>
      <c r="C982" t="s">
        <v>218</v>
      </c>
      <c r="D982" s="99">
        <v>8487</v>
      </c>
      <c r="E982" t="s">
        <v>211</v>
      </c>
      <c r="O982" s="160"/>
    </row>
    <row r="983" spans="2:15">
      <c r="B983" s="146">
        <v>41961</v>
      </c>
      <c r="C983" t="s">
        <v>218</v>
      </c>
      <c r="D983" s="99">
        <v>36648</v>
      </c>
      <c r="E983" t="s">
        <v>213</v>
      </c>
      <c r="O983" s="160"/>
    </row>
    <row r="984" spans="2:15">
      <c r="B984" s="146">
        <v>41471</v>
      </c>
      <c r="C984" t="s">
        <v>218</v>
      </c>
      <c r="D984" s="99">
        <v>37137</v>
      </c>
      <c r="E984" t="s">
        <v>210</v>
      </c>
      <c r="O984" s="160"/>
    </row>
    <row r="985" spans="2:15">
      <c r="B985" s="146">
        <v>41172</v>
      </c>
      <c r="C985" t="s">
        <v>218</v>
      </c>
      <c r="D985" s="99">
        <v>27664</v>
      </c>
      <c r="E985" t="s">
        <v>213</v>
      </c>
      <c r="O985" s="160"/>
    </row>
    <row r="986" spans="2:15">
      <c r="B986" s="146">
        <v>41779</v>
      </c>
      <c r="C986" t="s">
        <v>218</v>
      </c>
      <c r="D986" s="99">
        <v>16605</v>
      </c>
      <c r="E986" t="s">
        <v>212</v>
      </c>
      <c r="O986" s="160"/>
    </row>
    <row r="987" spans="2:15">
      <c r="B987" s="146">
        <v>41545</v>
      </c>
      <c r="C987" t="s">
        <v>220</v>
      </c>
      <c r="D987" s="99">
        <v>7175</v>
      </c>
      <c r="E987" t="s">
        <v>210</v>
      </c>
      <c r="O987" s="160"/>
    </row>
    <row r="988" spans="2:15">
      <c r="B988" s="146">
        <v>41205</v>
      </c>
      <c r="C988" t="s">
        <v>219</v>
      </c>
      <c r="D988" s="99">
        <v>17007</v>
      </c>
      <c r="E988" t="s">
        <v>212</v>
      </c>
      <c r="O988" s="160"/>
    </row>
    <row r="989" spans="2:15">
      <c r="B989" s="146">
        <v>41191</v>
      </c>
      <c r="C989" t="s">
        <v>218</v>
      </c>
      <c r="D989" s="99">
        <v>8427</v>
      </c>
      <c r="E989" t="s">
        <v>211</v>
      </c>
      <c r="O989" s="160"/>
    </row>
    <row r="990" spans="2:15">
      <c r="B990" s="146">
        <v>41462</v>
      </c>
      <c r="C990" t="s">
        <v>220</v>
      </c>
      <c r="D990" s="99">
        <v>26924</v>
      </c>
      <c r="E990" t="s">
        <v>210</v>
      </c>
      <c r="O990" s="160"/>
    </row>
    <row r="991" spans="2:15">
      <c r="B991" s="146">
        <v>41689</v>
      </c>
      <c r="C991" t="s">
        <v>218</v>
      </c>
      <c r="D991" s="99">
        <v>8087</v>
      </c>
      <c r="E991" t="s">
        <v>213</v>
      </c>
      <c r="O991" s="160"/>
    </row>
    <row r="992" spans="2:15">
      <c r="B992" s="146">
        <v>41759</v>
      </c>
      <c r="C992" t="s">
        <v>220</v>
      </c>
      <c r="D992" s="99">
        <v>17371</v>
      </c>
      <c r="E992" t="s">
        <v>212</v>
      </c>
      <c r="O992" s="160"/>
    </row>
    <row r="993" spans="2:15">
      <c r="B993" s="146">
        <v>41865</v>
      </c>
      <c r="C993" t="s">
        <v>217</v>
      </c>
      <c r="D993" s="99">
        <v>10400</v>
      </c>
      <c r="E993" t="s">
        <v>213</v>
      </c>
      <c r="O993" s="160"/>
    </row>
    <row r="994" spans="2:15">
      <c r="B994" s="146">
        <v>41345</v>
      </c>
      <c r="C994" t="s">
        <v>217</v>
      </c>
      <c r="D994" s="99">
        <v>35897</v>
      </c>
      <c r="E994" t="s">
        <v>212</v>
      </c>
      <c r="O994" s="160"/>
    </row>
    <row r="995" spans="2:15">
      <c r="B995" s="146">
        <v>41337</v>
      </c>
      <c r="C995" t="s">
        <v>217</v>
      </c>
      <c r="D995" s="99">
        <v>31309</v>
      </c>
      <c r="E995" t="s">
        <v>210</v>
      </c>
      <c r="O995" s="160"/>
    </row>
    <row r="996" spans="2:15">
      <c r="B996" s="146">
        <v>41634</v>
      </c>
      <c r="C996" t="s">
        <v>218</v>
      </c>
      <c r="D996" s="99">
        <v>28597</v>
      </c>
      <c r="E996" t="s">
        <v>212</v>
      </c>
      <c r="O996" s="160"/>
    </row>
    <row r="997" spans="2:15">
      <c r="B997" s="146">
        <v>41856</v>
      </c>
      <c r="C997" t="s">
        <v>220</v>
      </c>
      <c r="D997" s="99">
        <v>16238</v>
      </c>
      <c r="E997" t="s">
        <v>212</v>
      </c>
      <c r="O997" s="160"/>
    </row>
    <row r="998" spans="2:15">
      <c r="B998" s="146">
        <v>41742</v>
      </c>
      <c r="C998" t="s">
        <v>219</v>
      </c>
      <c r="D998" s="99">
        <v>19150</v>
      </c>
      <c r="E998" t="s">
        <v>213</v>
      </c>
      <c r="O998" s="160"/>
    </row>
    <row r="999" spans="2:15">
      <c r="B999" s="146">
        <v>41894</v>
      </c>
      <c r="C999" t="s">
        <v>219</v>
      </c>
      <c r="D999" s="99">
        <v>22347</v>
      </c>
      <c r="E999" t="s">
        <v>211</v>
      </c>
      <c r="O999" s="160"/>
    </row>
    <row r="1000" spans="2:15">
      <c r="B1000" s="146">
        <v>41213</v>
      </c>
      <c r="C1000" t="s">
        <v>219</v>
      </c>
      <c r="D1000" s="99">
        <v>35519</v>
      </c>
      <c r="E1000" t="s">
        <v>212</v>
      </c>
      <c r="O1000" s="160"/>
    </row>
    <row r="1001" spans="2:15">
      <c r="B1001" s="146">
        <v>41381</v>
      </c>
      <c r="C1001" t="s">
        <v>217</v>
      </c>
      <c r="D1001" s="99">
        <v>18869</v>
      </c>
      <c r="E1001" t="s">
        <v>212</v>
      </c>
      <c r="O1001" s="160"/>
    </row>
    <row r="1002" spans="2:15">
      <c r="B1002" s="146">
        <v>41916</v>
      </c>
      <c r="C1002" t="s">
        <v>217</v>
      </c>
      <c r="D1002" s="99">
        <v>39599</v>
      </c>
      <c r="E1002" t="s">
        <v>213</v>
      </c>
      <c r="O1002" s="160"/>
    </row>
    <row r="1003" spans="2:15">
      <c r="B1003" s="146">
        <v>41557</v>
      </c>
      <c r="C1003" t="s">
        <v>219</v>
      </c>
      <c r="D1003" s="99">
        <v>7606</v>
      </c>
      <c r="E1003" t="s">
        <v>210</v>
      </c>
      <c r="O1003" s="160"/>
    </row>
    <row r="1004" spans="2:15">
      <c r="B1004" s="146">
        <v>41433</v>
      </c>
      <c r="C1004" t="s">
        <v>219</v>
      </c>
      <c r="D1004" s="99">
        <v>5309</v>
      </c>
      <c r="E1004" t="s">
        <v>212</v>
      </c>
      <c r="O1004" s="160"/>
    </row>
    <row r="1005" spans="2:15">
      <c r="B1005" s="146">
        <v>41818</v>
      </c>
      <c r="C1005" t="s">
        <v>218</v>
      </c>
      <c r="D1005" s="99">
        <v>35447</v>
      </c>
      <c r="E1005" t="s">
        <v>213</v>
      </c>
      <c r="O1005" s="160"/>
    </row>
    <row r="1006" spans="2:15">
      <c r="B1006" s="146">
        <v>41724</v>
      </c>
      <c r="C1006" t="s">
        <v>220</v>
      </c>
      <c r="D1006" s="99">
        <v>13941</v>
      </c>
      <c r="E1006" t="s">
        <v>210</v>
      </c>
      <c r="O1006" s="160"/>
    </row>
    <row r="1007" spans="2:15">
      <c r="B1007" s="146">
        <v>41283</v>
      </c>
      <c r="C1007" t="s">
        <v>217</v>
      </c>
      <c r="D1007" s="99">
        <v>24147</v>
      </c>
      <c r="E1007" t="s">
        <v>210</v>
      </c>
      <c r="O1007" s="160"/>
    </row>
    <row r="1008" spans="2:15">
      <c r="B1008" s="146">
        <v>41633</v>
      </c>
      <c r="C1008" t="s">
        <v>217</v>
      </c>
      <c r="D1008" s="99">
        <v>9928</v>
      </c>
      <c r="E1008" t="s">
        <v>211</v>
      </c>
      <c r="O1008" s="160"/>
    </row>
    <row r="1009" spans="2:15">
      <c r="B1009" s="146">
        <v>41462</v>
      </c>
      <c r="C1009" t="s">
        <v>219</v>
      </c>
      <c r="D1009" s="99">
        <v>39946</v>
      </c>
      <c r="E1009" t="s">
        <v>212</v>
      </c>
      <c r="O1009" s="160"/>
    </row>
    <row r="1010" spans="2:15">
      <c r="B1010" s="146">
        <v>41212</v>
      </c>
      <c r="C1010" t="s">
        <v>217</v>
      </c>
      <c r="D1010" s="99">
        <v>26628</v>
      </c>
      <c r="E1010" t="s">
        <v>210</v>
      </c>
      <c r="O1010" s="160"/>
    </row>
    <row r="1011" spans="2:15">
      <c r="B1011" s="146">
        <v>41536</v>
      </c>
      <c r="C1011" t="s">
        <v>218</v>
      </c>
      <c r="D1011" s="99">
        <v>26544</v>
      </c>
      <c r="E1011" t="s">
        <v>213</v>
      </c>
      <c r="O1011" s="160"/>
    </row>
    <row r="1012" spans="2:15">
      <c r="B1012" s="146">
        <v>41759</v>
      </c>
      <c r="C1012" t="s">
        <v>220</v>
      </c>
      <c r="D1012" s="99">
        <v>7172</v>
      </c>
      <c r="E1012" t="s">
        <v>210</v>
      </c>
      <c r="O1012" s="160"/>
    </row>
    <row r="1013" spans="2:15">
      <c r="B1013" s="146">
        <v>41440</v>
      </c>
      <c r="C1013" t="s">
        <v>217</v>
      </c>
      <c r="D1013" s="99">
        <v>21088</v>
      </c>
      <c r="E1013" t="s">
        <v>213</v>
      </c>
      <c r="O1013" s="160"/>
    </row>
    <row r="1014" spans="2:15">
      <c r="B1014" s="146">
        <v>41962</v>
      </c>
      <c r="C1014" t="s">
        <v>219</v>
      </c>
      <c r="D1014" s="99">
        <v>23628</v>
      </c>
      <c r="E1014" t="s">
        <v>211</v>
      </c>
      <c r="O1014" s="160"/>
    </row>
    <row r="1015" spans="2:15">
      <c r="B1015" s="146">
        <v>41799</v>
      </c>
      <c r="C1015" t="s">
        <v>217</v>
      </c>
      <c r="D1015" s="99">
        <v>8367</v>
      </c>
      <c r="E1015" t="s">
        <v>211</v>
      </c>
      <c r="O1015" s="160"/>
    </row>
    <row r="1016" spans="2:15">
      <c r="B1016" s="146">
        <v>41728</v>
      </c>
      <c r="C1016" t="s">
        <v>220</v>
      </c>
      <c r="D1016" s="99">
        <v>38654</v>
      </c>
      <c r="E1016" t="s">
        <v>212</v>
      </c>
      <c r="O1016" s="160"/>
    </row>
    <row r="1017" spans="2:15">
      <c r="B1017" s="146">
        <v>41969</v>
      </c>
      <c r="C1017" t="s">
        <v>217</v>
      </c>
      <c r="D1017" s="99">
        <v>20363</v>
      </c>
      <c r="E1017" t="s">
        <v>211</v>
      </c>
      <c r="O1017" s="160"/>
    </row>
    <row r="1018" spans="2:15">
      <c r="B1018" s="146">
        <v>41836</v>
      </c>
      <c r="C1018" t="s">
        <v>218</v>
      </c>
      <c r="D1018" s="99">
        <v>24415</v>
      </c>
      <c r="E1018" t="s">
        <v>210</v>
      </c>
      <c r="O1018" s="160"/>
    </row>
    <row r="1019" spans="2:15">
      <c r="B1019" s="146">
        <v>41703</v>
      </c>
      <c r="C1019" t="s">
        <v>220</v>
      </c>
      <c r="D1019" s="99">
        <v>5706</v>
      </c>
      <c r="E1019" t="s">
        <v>212</v>
      </c>
      <c r="O1019" s="160"/>
    </row>
    <row r="1020" spans="2:15">
      <c r="B1020" s="146">
        <v>41266</v>
      </c>
      <c r="C1020" t="s">
        <v>218</v>
      </c>
      <c r="D1020" s="99">
        <v>11462</v>
      </c>
      <c r="E1020" t="s">
        <v>211</v>
      </c>
      <c r="O1020" s="160"/>
    </row>
    <row r="1021" spans="2:15">
      <c r="B1021" s="146">
        <v>41560</v>
      </c>
      <c r="C1021" t="s">
        <v>219</v>
      </c>
      <c r="D1021" s="99">
        <v>16162</v>
      </c>
      <c r="E1021" t="s">
        <v>210</v>
      </c>
      <c r="O1021" s="160"/>
    </row>
    <row r="1022" spans="2:15">
      <c r="B1022" s="146">
        <v>41921</v>
      </c>
      <c r="C1022" t="s">
        <v>217</v>
      </c>
      <c r="D1022" s="99">
        <v>11429</v>
      </c>
      <c r="E1022" t="s">
        <v>213</v>
      </c>
      <c r="O1022" s="160"/>
    </row>
    <row r="1023" spans="2:15">
      <c r="B1023" s="146">
        <v>41659</v>
      </c>
      <c r="C1023" t="s">
        <v>220</v>
      </c>
      <c r="D1023" s="99">
        <v>29391</v>
      </c>
      <c r="E1023" t="s">
        <v>210</v>
      </c>
      <c r="O1023" s="160"/>
    </row>
    <row r="1024" spans="2:15">
      <c r="B1024" s="146">
        <v>41189</v>
      </c>
      <c r="C1024" t="s">
        <v>219</v>
      </c>
      <c r="D1024" s="99">
        <v>11307</v>
      </c>
      <c r="E1024" t="s">
        <v>212</v>
      </c>
      <c r="O1024" s="160"/>
    </row>
    <row r="1025" spans="2:15">
      <c r="B1025" s="146">
        <v>41807</v>
      </c>
      <c r="C1025" t="s">
        <v>219</v>
      </c>
      <c r="D1025" s="99">
        <v>32396</v>
      </c>
      <c r="E1025" t="s">
        <v>211</v>
      </c>
      <c r="O1025" s="160"/>
    </row>
    <row r="1026" spans="2:15">
      <c r="B1026" s="146">
        <v>41330</v>
      </c>
      <c r="C1026" t="s">
        <v>219</v>
      </c>
      <c r="D1026" s="99">
        <v>31099</v>
      </c>
      <c r="E1026" t="s">
        <v>210</v>
      </c>
      <c r="O1026" s="160"/>
    </row>
    <row r="1027" spans="2:15">
      <c r="B1027" s="146">
        <v>41756</v>
      </c>
      <c r="C1027" t="s">
        <v>218</v>
      </c>
      <c r="D1027" s="99">
        <v>12839</v>
      </c>
      <c r="E1027" t="s">
        <v>211</v>
      </c>
      <c r="O1027" s="160"/>
    </row>
    <row r="1028" spans="2:15">
      <c r="B1028" s="146">
        <v>41586</v>
      </c>
      <c r="C1028" t="s">
        <v>217</v>
      </c>
      <c r="D1028" s="99">
        <v>35235</v>
      </c>
      <c r="E1028" t="s">
        <v>211</v>
      </c>
      <c r="O1028" s="160"/>
    </row>
    <row r="1029" spans="2:15">
      <c r="B1029" s="146">
        <v>41716</v>
      </c>
      <c r="C1029" t="s">
        <v>218</v>
      </c>
      <c r="D1029" s="99">
        <v>37444</v>
      </c>
      <c r="E1029" t="s">
        <v>210</v>
      </c>
      <c r="O1029" s="160"/>
    </row>
    <row r="1030" spans="2:15">
      <c r="B1030" s="146">
        <v>41245</v>
      </c>
      <c r="C1030" t="s">
        <v>218</v>
      </c>
      <c r="D1030" s="99">
        <v>39468</v>
      </c>
      <c r="E1030" t="s">
        <v>211</v>
      </c>
      <c r="O1030" s="160"/>
    </row>
    <row r="1031" spans="2:15">
      <c r="B1031" s="146">
        <v>41648</v>
      </c>
      <c r="C1031" t="s">
        <v>219</v>
      </c>
      <c r="D1031" s="99">
        <v>23543</v>
      </c>
      <c r="E1031" t="s">
        <v>210</v>
      </c>
      <c r="O1031" s="160"/>
    </row>
    <row r="1032" spans="2:15">
      <c r="B1032" s="146">
        <v>41282</v>
      </c>
      <c r="C1032" t="s">
        <v>219</v>
      </c>
      <c r="D1032" s="99">
        <v>15571</v>
      </c>
      <c r="E1032" t="s">
        <v>211</v>
      </c>
      <c r="O1032" s="160"/>
    </row>
    <row r="1033" spans="2:15">
      <c r="B1033" s="146">
        <v>41637</v>
      </c>
      <c r="C1033" t="s">
        <v>220</v>
      </c>
      <c r="D1033" s="99">
        <v>11968</v>
      </c>
      <c r="E1033" t="s">
        <v>212</v>
      </c>
      <c r="O1033" s="160"/>
    </row>
    <row r="1034" spans="2:15">
      <c r="B1034" s="146">
        <v>41480</v>
      </c>
      <c r="C1034" t="s">
        <v>218</v>
      </c>
      <c r="D1034" s="99">
        <v>7693</v>
      </c>
      <c r="E1034" t="s">
        <v>213</v>
      </c>
      <c r="O1034" s="160"/>
    </row>
    <row r="1035" spans="2:15">
      <c r="B1035" s="146">
        <v>41356</v>
      </c>
      <c r="C1035" t="s">
        <v>218</v>
      </c>
      <c r="D1035" s="99">
        <v>10009</v>
      </c>
      <c r="E1035" t="s">
        <v>211</v>
      </c>
      <c r="O1035" s="160"/>
    </row>
    <row r="1036" spans="2:15">
      <c r="B1036" s="146">
        <v>41210</v>
      </c>
      <c r="C1036" t="s">
        <v>217</v>
      </c>
      <c r="D1036" s="99">
        <v>17332</v>
      </c>
      <c r="E1036" t="s">
        <v>213</v>
      </c>
      <c r="O1036" s="160"/>
    </row>
    <row r="1037" spans="2:15">
      <c r="B1037" s="146">
        <v>41162</v>
      </c>
      <c r="C1037" t="s">
        <v>217</v>
      </c>
      <c r="D1037" s="99">
        <v>20518</v>
      </c>
      <c r="E1037" t="s">
        <v>212</v>
      </c>
      <c r="O1037" s="160"/>
    </row>
    <row r="1038" spans="2:15">
      <c r="B1038" s="146">
        <v>41392</v>
      </c>
      <c r="C1038" t="s">
        <v>218</v>
      </c>
      <c r="D1038" s="99">
        <v>9291</v>
      </c>
      <c r="E1038" t="s">
        <v>210</v>
      </c>
      <c r="O1038" s="160"/>
    </row>
    <row r="1039" spans="2:15">
      <c r="B1039" s="146">
        <v>41707</v>
      </c>
      <c r="C1039" t="s">
        <v>219</v>
      </c>
      <c r="D1039" s="99">
        <v>14227</v>
      </c>
      <c r="E1039" t="s">
        <v>213</v>
      </c>
      <c r="O1039" s="160"/>
    </row>
    <row r="1040" spans="2:15">
      <c r="B1040" s="146">
        <v>41964</v>
      </c>
      <c r="C1040" t="s">
        <v>220</v>
      </c>
      <c r="D1040" s="99">
        <v>23332</v>
      </c>
      <c r="E1040" t="s">
        <v>212</v>
      </c>
      <c r="O1040" s="160"/>
    </row>
    <row r="1041" spans="2:15">
      <c r="B1041" s="146">
        <v>41849</v>
      </c>
      <c r="C1041" t="s">
        <v>219</v>
      </c>
      <c r="D1041" s="99">
        <v>32140</v>
      </c>
      <c r="E1041" t="s">
        <v>212</v>
      </c>
      <c r="O1041" s="160"/>
    </row>
    <row r="1042" spans="2:15">
      <c r="B1042" s="146">
        <v>41658</v>
      </c>
      <c r="C1042" t="s">
        <v>219</v>
      </c>
      <c r="D1042" s="99">
        <v>17581</v>
      </c>
      <c r="E1042" t="s">
        <v>213</v>
      </c>
      <c r="O1042" s="160"/>
    </row>
    <row r="1043" spans="2:15">
      <c r="B1043" s="146">
        <v>41270</v>
      </c>
      <c r="C1043" t="s">
        <v>218</v>
      </c>
      <c r="D1043" s="99">
        <v>12255</v>
      </c>
      <c r="E1043" t="s">
        <v>210</v>
      </c>
      <c r="O1043" s="160"/>
    </row>
    <row r="1044" spans="2:15">
      <c r="B1044" s="146">
        <v>41443</v>
      </c>
      <c r="C1044" t="s">
        <v>220</v>
      </c>
      <c r="D1044" s="99">
        <v>38383</v>
      </c>
      <c r="E1044" t="s">
        <v>212</v>
      </c>
      <c r="O1044" s="160"/>
    </row>
    <row r="1045" spans="2:15">
      <c r="B1045" s="146">
        <v>41355</v>
      </c>
      <c r="C1045" t="s">
        <v>220</v>
      </c>
      <c r="D1045" s="99">
        <v>34504</v>
      </c>
      <c r="E1045" t="s">
        <v>212</v>
      </c>
      <c r="O1045" s="160"/>
    </row>
    <row r="1046" spans="2:15">
      <c r="B1046" s="146">
        <v>41427</v>
      </c>
      <c r="C1046" t="s">
        <v>220</v>
      </c>
      <c r="D1046" s="99">
        <v>25818</v>
      </c>
      <c r="E1046" t="s">
        <v>211</v>
      </c>
      <c r="O1046" s="160"/>
    </row>
    <row r="1047" spans="2:15">
      <c r="B1047" s="146">
        <v>41542</v>
      </c>
      <c r="C1047" t="s">
        <v>217</v>
      </c>
      <c r="D1047" s="99">
        <v>25497</v>
      </c>
      <c r="E1047" t="s">
        <v>211</v>
      </c>
      <c r="O1047" s="160"/>
    </row>
    <row r="1048" spans="2:15">
      <c r="B1048" s="146">
        <v>41676</v>
      </c>
      <c r="C1048" t="s">
        <v>220</v>
      </c>
      <c r="D1048" s="99">
        <v>6101</v>
      </c>
      <c r="E1048" t="s">
        <v>210</v>
      </c>
      <c r="O1048" s="160"/>
    </row>
    <row r="1049" spans="2:15">
      <c r="B1049" s="146">
        <v>41920</v>
      </c>
      <c r="C1049" t="s">
        <v>219</v>
      </c>
      <c r="D1049" s="99">
        <v>35235</v>
      </c>
      <c r="E1049" t="s">
        <v>213</v>
      </c>
      <c r="O1049" s="160"/>
    </row>
    <row r="1050" spans="2:15">
      <c r="B1050" s="146">
        <v>41279</v>
      </c>
      <c r="C1050" t="s">
        <v>217</v>
      </c>
      <c r="D1050" s="99">
        <v>13459</v>
      </c>
      <c r="E1050" t="s">
        <v>210</v>
      </c>
      <c r="O1050" s="160"/>
    </row>
    <row r="1051" spans="2:15">
      <c r="B1051" s="146">
        <v>41827</v>
      </c>
      <c r="C1051" t="s">
        <v>220</v>
      </c>
      <c r="D1051" s="99">
        <v>11561</v>
      </c>
      <c r="E1051" t="s">
        <v>211</v>
      </c>
      <c r="O1051" s="160"/>
    </row>
    <row r="1052" spans="2:15">
      <c r="B1052" s="146">
        <v>41870</v>
      </c>
      <c r="C1052" t="s">
        <v>219</v>
      </c>
      <c r="D1052" s="99">
        <v>29190</v>
      </c>
      <c r="E1052" t="s">
        <v>213</v>
      </c>
      <c r="O1052" s="160"/>
    </row>
    <row r="1053" spans="2:15">
      <c r="B1053" s="146">
        <v>41196</v>
      </c>
      <c r="C1053" t="s">
        <v>218</v>
      </c>
      <c r="D1053" s="99">
        <v>21768</v>
      </c>
      <c r="E1053" t="s">
        <v>210</v>
      </c>
      <c r="O1053" s="160"/>
    </row>
    <row r="1054" spans="2:15">
      <c r="B1054" s="146">
        <v>41820</v>
      </c>
      <c r="C1054" t="s">
        <v>220</v>
      </c>
      <c r="D1054" s="99">
        <v>25488</v>
      </c>
      <c r="E1054" t="s">
        <v>210</v>
      </c>
      <c r="O1054" s="160"/>
    </row>
    <row r="1055" spans="2:15">
      <c r="B1055" s="146">
        <v>42017</v>
      </c>
      <c r="C1055" t="s">
        <v>219</v>
      </c>
      <c r="D1055" s="99">
        <v>38348</v>
      </c>
      <c r="E1055" t="s">
        <v>212</v>
      </c>
      <c r="O1055" s="160"/>
    </row>
    <row r="1056" spans="2:15">
      <c r="B1056" s="146">
        <v>41300</v>
      </c>
      <c r="C1056" t="s">
        <v>217</v>
      </c>
      <c r="D1056" s="99">
        <v>32124</v>
      </c>
      <c r="E1056" t="s">
        <v>211</v>
      </c>
      <c r="O1056" s="160"/>
    </row>
    <row r="1057" spans="2:15">
      <c r="B1057" s="146">
        <v>41291</v>
      </c>
      <c r="C1057" t="s">
        <v>217</v>
      </c>
      <c r="D1057" s="99">
        <v>31990</v>
      </c>
      <c r="E1057" t="s">
        <v>212</v>
      </c>
      <c r="O1057" s="160"/>
    </row>
    <row r="1058" spans="2:15">
      <c r="B1058" s="146">
        <v>41989</v>
      </c>
      <c r="C1058" t="s">
        <v>220</v>
      </c>
      <c r="D1058" s="99">
        <v>26683</v>
      </c>
      <c r="E1058" t="s">
        <v>211</v>
      </c>
      <c r="O1058" s="160"/>
    </row>
    <row r="1059" spans="2:15">
      <c r="B1059" s="146">
        <v>41763</v>
      </c>
      <c r="C1059" t="s">
        <v>218</v>
      </c>
      <c r="D1059" s="99">
        <v>6227</v>
      </c>
      <c r="E1059" t="s">
        <v>210</v>
      </c>
      <c r="O1059" s="160"/>
    </row>
    <row r="1060" spans="2:15">
      <c r="B1060" s="146">
        <v>41425</v>
      </c>
      <c r="C1060" t="s">
        <v>217</v>
      </c>
      <c r="D1060" s="99">
        <v>17411</v>
      </c>
      <c r="E1060" t="s">
        <v>212</v>
      </c>
      <c r="O1060" s="160"/>
    </row>
    <row r="1061" spans="2:15">
      <c r="B1061" s="146">
        <v>41928</v>
      </c>
      <c r="C1061" t="s">
        <v>217</v>
      </c>
      <c r="D1061" s="99">
        <v>20411</v>
      </c>
      <c r="E1061" t="s">
        <v>212</v>
      </c>
      <c r="O1061" s="160"/>
    </row>
    <row r="1062" spans="2:15">
      <c r="B1062" s="146">
        <v>41886</v>
      </c>
      <c r="C1062" t="s">
        <v>220</v>
      </c>
      <c r="D1062" s="99">
        <v>26114</v>
      </c>
      <c r="E1062" t="s">
        <v>210</v>
      </c>
      <c r="O1062" s="160"/>
    </row>
    <row r="1063" spans="2:15">
      <c r="B1063" s="146">
        <v>41736</v>
      </c>
      <c r="C1063" t="s">
        <v>217</v>
      </c>
      <c r="D1063" s="99">
        <v>38791</v>
      </c>
      <c r="E1063" t="s">
        <v>213</v>
      </c>
      <c r="O1063" s="160"/>
    </row>
    <row r="1064" spans="2:15">
      <c r="B1064" s="146">
        <v>41503</v>
      </c>
      <c r="C1064" t="s">
        <v>218</v>
      </c>
      <c r="D1064" s="99">
        <v>28300</v>
      </c>
      <c r="E1064" t="s">
        <v>210</v>
      </c>
      <c r="O1064" s="160"/>
    </row>
    <row r="1065" spans="2:15">
      <c r="B1065" s="146">
        <v>41765</v>
      </c>
      <c r="C1065" t="s">
        <v>219</v>
      </c>
      <c r="D1065" s="99">
        <v>21800</v>
      </c>
      <c r="E1065" t="s">
        <v>210</v>
      </c>
      <c r="O1065" s="160"/>
    </row>
    <row r="1066" spans="2:15">
      <c r="B1066" s="146">
        <v>41564</v>
      </c>
      <c r="C1066" t="s">
        <v>217</v>
      </c>
      <c r="D1066" s="99">
        <v>34714</v>
      </c>
      <c r="E1066" t="s">
        <v>212</v>
      </c>
      <c r="O1066" s="160"/>
    </row>
    <row r="1067" spans="2:15">
      <c r="B1067" s="146">
        <v>41900</v>
      </c>
      <c r="C1067" t="s">
        <v>217</v>
      </c>
      <c r="D1067" s="99">
        <v>6371</v>
      </c>
      <c r="E1067" t="s">
        <v>211</v>
      </c>
      <c r="O1067" s="160"/>
    </row>
    <row r="1068" spans="2:15">
      <c r="B1068" s="146">
        <v>41571</v>
      </c>
      <c r="C1068" t="s">
        <v>219</v>
      </c>
      <c r="D1068" s="99">
        <v>21972</v>
      </c>
      <c r="E1068" t="s">
        <v>213</v>
      </c>
      <c r="O1068" s="160"/>
    </row>
    <row r="1069" spans="2:15">
      <c r="B1069" s="146">
        <v>41459</v>
      </c>
      <c r="C1069" t="s">
        <v>219</v>
      </c>
      <c r="D1069" s="99">
        <v>21925</v>
      </c>
      <c r="E1069" t="s">
        <v>211</v>
      </c>
      <c r="O1069" s="160"/>
    </row>
    <row r="1070" spans="2:15">
      <c r="B1070" s="146">
        <v>41630</v>
      </c>
      <c r="C1070" t="s">
        <v>220</v>
      </c>
      <c r="D1070" s="99">
        <v>20479</v>
      </c>
      <c r="E1070" t="s">
        <v>212</v>
      </c>
      <c r="O1070" s="160"/>
    </row>
    <row r="1071" spans="2:15">
      <c r="B1071" s="146">
        <v>41372</v>
      </c>
      <c r="C1071" t="s">
        <v>219</v>
      </c>
      <c r="D1071" s="99">
        <v>7735</v>
      </c>
      <c r="E1071" t="s">
        <v>210</v>
      </c>
      <c r="O1071" s="160"/>
    </row>
    <row r="1072" spans="2:15">
      <c r="B1072" s="146">
        <v>41785</v>
      </c>
      <c r="C1072" t="s">
        <v>219</v>
      </c>
      <c r="D1072" s="99">
        <v>17914</v>
      </c>
      <c r="E1072" t="s">
        <v>213</v>
      </c>
      <c r="O1072" s="160"/>
    </row>
    <row r="1073" spans="2:15">
      <c r="B1073" s="146">
        <v>41513</v>
      </c>
      <c r="C1073" t="s">
        <v>220</v>
      </c>
      <c r="D1073" s="99">
        <v>9795</v>
      </c>
      <c r="E1073" t="s">
        <v>210</v>
      </c>
      <c r="O1073" s="160"/>
    </row>
    <row r="1074" spans="2:15">
      <c r="B1074" s="146">
        <v>41639</v>
      </c>
      <c r="C1074" t="s">
        <v>217</v>
      </c>
      <c r="D1074" s="99">
        <v>8616</v>
      </c>
      <c r="E1074" t="s">
        <v>210</v>
      </c>
      <c r="O1074" s="160"/>
    </row>
    <row r="1075" spans="2:15">
      <c r="B1075" s="146">
        <v>41315</v>
      </c>
      <c r="C1075" t="s">
        <v>218</v>
      </c>
      <c r="D1075" s="99">
        <v>35154</v>
      </c>
      <c r="E1075" t="s">
        <v>212</v>
      </c>
      <c r="O1075" s="160"/>
    </row>
    <row r="1076" spans="2:15">
      <c r="B1076" s="146">
        <v>41304</v>
      </c>
      <c r="C1076" t="s">
        <v>220</v>
      </c>
      <c r="D1076" s="99">
        <v>16299</v>
      </c>
      <c r="E1076" t="s">
        <v>211</v>
      </c>
      <c r="O1076" s="160"/>
    </row>
    <row r="1077" spans="2:15">
      <c r="B1077" s="146">
        <v>41327</v>
      </c>
      <c r="C1077" t="s">
        <v>218</v>
      </c>
      <c r="D1077" s="99">
        <v>27451</v>
      </c>
      <c r="E1077" t="s">
        <v>210</v>
      </c>
      <c r="O1077" s="160"/>
    </row>
    <row r="1078" spans="2:15">
      <c r="B1078" s="146">
        <v>41873</v>
      </c>
      <c r="C1078" t="s">
        <v>219</v>
      </c>
      <c r="D1078" s="99">
        <v>20132</v>
      </c>
      <c r="E1078" t="s">
        <v>210</v>
      </c>
      <c r="O1078" s="160"/>
    </row>
    <row r="1079" spans="2:15">
      <c r="B1079" s="146">
        <v>41474</v>
      </c>
      <c r="C1079" t="s">
        <v>219</v>
      </c>
      <c r="D1079" s="99">
        <v>36386</v>
      </c>
      <c r="E1079" t="s">
        <v>210</v>
      </c>
      <c r="O1079" s="160"/>
    </row>
    <row r="1080" spans="2:15">
      <c r="B1080" s="146">
        <v>41371</v>
      </c>
      <c r="C1080" t="s">
        <v>219</v>
      </c>
      <c r="D1080" s="99">
        <v>17996</v>
      </c>
      <c r="E1080" t="s">
        <v>213</v>
      </c>
      <c r="O1080" s="160"/>
    </row>
    <row r="1081" spans="2:15">
      <c r="B1081" s="146">
        <v>41772</v>
      </c>
      <c r="C1081" t="s">
        <v>219</v>
      </c>
      <c r="D1081" s="99">
        <v>36539</v>
      </c>
      <c r="E1081" t="s">
        <v>210</v>
      </c>
      <c r="O1081" s="160"/>
    </row>
    <row r="1082" spans="2:15">
      <c r="B1082" s="146">
        <v>41368</v>
      </c>
      <c r="C1082" t="s">
        <v>218</v>
      </c>
      <c r="D1082" s="99">
        <v>36703</v>
      </c>
      <c r="E1082" t="s">
        <v>213</v>
      </c>
      <c r="O1082" s="160"/>
    </row>
    <row r="1083" spans="2:15">
      <c r="B1083" s="146">
        <v>41570</v>
      </c>
      <c r="C1083" t="s">
        <v>217</v>
      </c>
      <c r="D1083" s="99">
        <v>25282</v>
      </c>
      <c r="E1083" t="s">
        <v>210</v>
      </c>
      <c r="O1083" s="160"/>
    </row>
    <row r="1084" spans="2:15">
      <c r="B1084" s="146">
        <v>41988</v>
      </c>
      <c r="C1084" t="s">
        <v>219</v>
      </c>
      <c r="D1084" s="99">
        <v>12584</v>
      </c>
      <c r="E1084" t="s">
        <v>213</v>
      </c>
      <c r="O1084" s="160"/>
    </row>
    <row r="1085" spans="2:15">
      <c r="B1085" s="146">
        <v>41805</v>
      </c>
      <c r="C1085" t="s">
        <v>220</v>
      </c>
      <c r="D1085" s="99">
        <v>9953</v>
      </c>
      <c r="E1085" t="s">
        <v>212</v>
      </c>
      <c r="O1085" s="160"/>
    </row>
    <row r="1086" spans="2:15">
      <c r="B1086" s="146">
        <v>41979</v>
      </c>
      <c r="C1086" t="s">
        <v>219</v>
      </c>
      <c r="D1086" s="99">
        <v>28323</v>
      </c>
      <c r="E1086" t="s">
        <v>213</v>
      </c>
      <c r="O1086" s="160"/>
    </row>
    <row r="1087" spans="2:15">
      <c r="B1087" s="146">
        <v>41643</v>
      </c>
      <c r="C1087" t="s">
        <v>220</v>
      </c>
      <c r="D1087" s="99">
        <v>35133</v>
      </c>
      <c r="E1087" t="s">
        <v>212</v>
      </c>
      <c r="O1087" s="160"/>
    </row>
    <row r="1088" spans="2:15">
      <c r="B1088" s="146">
        <v>41535</v>
      </c>
      <c r="C1088" t="s">
        <v>220</v>
      </c>
      <c r="D1088" s="99">
        <v>39411</v>
      </c>
      <c r="E1088" t="s">
        <v>210</v>
      </c>
      <c r="O1088" s="160"/>
    </row>
    <row r="1089" spans="2:15">
      <c r="B1089" s="146">
        <v>41602</v>
      </c>
      <c r="C1089" t="s">
        <v>217</v>
      </c>
      <c r="D1089" s="99">
        <v>30243</v>
      </c>
      <c r="E1089" t="s">
        <v>211</v>
      </c>
      <c r="O1089" s="160"/>
    </row>
    <row r="1090" spans="2:15">
      <c r="B1090" s="146">
        <v>41261</v>
      </c>
      <c r="C1090" t="s">
        <v>220</v>
      </c>
      <c r="D1090" s="99">
        <v>5274</v>
      </c>
      <c r="E1090" t="s">
        <v>211</v>
      </c>
      <c r="O1090" s="160"/>
    </row>
    <row r="1091" spans="2:15">
      <c r="B1091" s="146">
        <v>41629</v>
      </c>
      <c r="C1091" t="s">
        <v>220</v>
      </c>
      <c r="D1091" s="99">
        <v>27024</v>
      </c>
      <c r="E1091" t="s">
        <v>210</v>
      </c>
      <c r="O1091" s="160"/>
    </row>
    <row r="1092" spans="2:15">
      <c r="B1092" s="146">
        <v>41247</v>
      </c>
      <c r="C1092" t="s">
        <v>217</v>
      </c>
      <c r="D1092" s="99">
        <v>10649</v>
      </c>
      <c r="E1092" t="s">
        <v>210</v>
      </c>
      <c r="O1092" s="160"/>
    </row>
    <row r="1093" spans="2:15">
      <c r="B1093" s="146">
        <v>41305</v>
      </c>
      <c r="C1093" t="s">
        <v>218</v>
      </c>
      <c r="D1093" s="99">
        <v>15878</v>
      </c>
      <c r="E1093" t="s">
        <v>213</v>
      </c>
      <c r="O1093" s="160"/>
    </row>
    <row r="1094" spans="2:15">
      <c r="B1094" s="146">
        <v>41125</v>
      </c>
      <c r="C1094" t="s">
        <v>218</v>
      </c>
      <c r="D1094" s="99">
        <v>38164</v>
      </c>
      <c r="E1094" t="s">
        <v>212</v>
      </c>
      <c r="O1094" s="160"/>
    </row>
    <row r="1095" spans="2:15">
      <c r="B1095" s="146">
        <v>41483</v>
      </c>
      <c r="C1095" t="s">
        <v>220</v>
      </c>
      <c r="D1095" s="99">
        <v>6210</v>
      </c>
      <c r="E1095" t="s">
        <v>212</v>
      </c>
      <c r="O1095" s="160"/>
    </row>
    <row r="1096" spans="2:15">
      <c r="B1096" s="146">
        <v>41648</v>
      </c>
      <c r="C1096" t="s">
        <v>220</v>
      </c>
      <c r="D1096" s="99">
        <v>15758</v>
      </c>
      <c r="E1096" t="s">
        <v>211</v>
      </c>
      <c r="O1096" s="160"/>
    </row>
    <row r="1097" spans="2:15">
      <c r="B1097" s="146">
        <v>41834</v>
      </c>
      <c r="C1097" t="s">
        <v>217</v>
      </c>
      <c r="D1097" s="99">
        <v>36447</v>
      </c>
      <c r="E1097" t="s">
        <v>210</v>
      </c>
      <c r="O1097" s="160"/>
    </row>
    <row r="1098" spans="2:15">
      <c r="B1098" s="146">
        <v>41549</v>
      </c>
      <c r="C1098" t="s">
        <v>220</v>
      </c>
      <c r="D1098" s="99">
        <v>32130</v>
      </c>
      <c r="E1098" t="s">
        <v>213</v>
      </c>
      <c r="O1098" s="160"/>
    </row>
    <row r="1099" spans="2:15">
      <c r="B1099" s="146">
        <v>41443</v>
      </c>
      <c r="C1099" t="s">
        <v>217</v>
      </c>
      <c r="D1099" s="99">
        <v>8491</v>
      </c>
      <c r="E1099" t="s">
        <v>210</v>
      </c>
      <c r="O1099" s="160"/>
    </row>
    <row r="1100" spans="2:15">
      <c r="B1100" s="146">
        <v>41998</v>
      </c>
      <c r="C1100" t="s">
        <v>217</v>
      </c>
      <c r="D1100" s="99">
        <v>15249</v>
      </c>
      <c r="E1100" t="s">
        <v>213</v>
      </c>
      <c r="O1100" s="160"/>
    </row>
    <row r="1101" spans="2:15">
      <c r="B1101" s="146">
        <v>41360</v>
      </c>
      <c r="C1101" t="s">
        <v>219</v>
      </c>
      <c r="D1101" s="99">
        <v>14840</v>
      </c>
      <c r="E1101" t="s">
        <v>210</v>
      </c>
      <c r="O1101" s="160"/>
    </row>
    <row r="1102" spans="2:15">
      <c r="B1102" s="146">
        <v>41341</v>
      </c>
      <c r="C1102" t="s">
        <v>220</v>
      </c>
      <c r="D1102" s="99">
        <v>11435</v>
      </c>
      <c r="E1102" t="s">
        <v>213</v>
      </c>
      <c r="O1102" s="160"/>
    </row>
    <row r="1103" spans="2:15">
      <c r="B1103" s="146">
        <v>41423</v>
      </c>
      <c r="C1103" t="s">
        <v>217</v>
      </c>
      <c r="D1103" s="99">
        <v>24032</v>
      </c>
      <c r="E1103" t="s">
        <v>213</v>
      </c>
      <c r="O1103" s="160"/>
    </row>
    <row r="1104" spans="2:15">
      <c r="B1104" s="146">
        <v>41462</v>
      </c>
      <c r="C1104" t="s">
        <v>218</v>
      </c>
      <c r="D1104" s="99">
        <v>10138</v>
      </c>
      <c r="E1104" t="s">
        <v>212</v>
      </c>
      <c r="O1104" s="160"/>
    </row>
    <row r="1105" spans="2:15">
      <c r="B1105" s="146">
        <v>41993</v>
      </c>
      <c r="C1105" t="s">
        <v>220</v>
      </c>
      <c r="D1105" s="99">
        <v>35371</v>
      </c>
      <c r="E1105" t="s">
        <v>213</v>
      </c>
      <c r="O1105" s="160"/>
    </row>
    <row r="1106" spans="2:15">
      <c r="B1106" s="146">
        <v>41615</v>
      </c>
      <c r="C1106" t="s">
        <v>220</v>
      </c>
      <c r="D1106" s="99">
        <v>20209</v>
      </c>
      <c r="E1106" t="s">
        <v>211</v>
      </c>
      <c r="O1106" s="160"/>
    </row>
    <row r="1107" spans="2:15">
      <c r="B1107" s="146">
        <v>41350</v>
      </c>
      <c r="C1107" t="s">
        <v>217</v>
      </c>
      <c r="D1107" s="99">
        <v>11738</v>
      </c>
      <c r="E1107" t="s">
        <v>211</v>
      </c>
      <c r="O1107" s="160"/>
    </row>
    <row r="1108" spans="2:15">
      <c r="B1108" s="146">
        <v>41541</v>
      </c>
      <c r="C1108" t="s">
        <v>219</v>
      </c>
      <c r="D1108" s="99">
        <v>29218</v>
      </c>
      <c r="E1108" t="s">
        <v>211</v>
      </c>
      <c r="O1108" s="160"/>
    </row>
    <row r="1109" spans="2:15">
      <c r="B1109" s="146">
        <v>41299</v>
      </c>
      <c r="C1109" t="s">
        <v>218</v>
      </c>
      <c r="D1109" s="99">
        <v>37668</v>
      </c>
      <c r="E1109" t="s">
        <v>210</v>
      </c>
      <c r="O1109" s="160"/>
    </row>
    <row r="1110" spans="2:15">
      <c r="B1110" s="146">
        <v>41768</v>
      </c>
      <c r="C1110" t="s">
        <v>219</v>
      </c>
      <c r="D1110" s="99">
        <v>28913</v>
      </c>
      <c r="E1110" t="s">
        <v>211</v>
      </c>
      <c r="O1110" s="160"/>
    </row>
    <row r="1111" spans="2:15">
      <c r="B1111" s="146">
        <v>41568</v>
      </c>
      <c r="C1111" t="s">
        <v>219</v>
      </c>
      <c r="D1111" s="99">
        <v>11619</v>
      </c>
      <c r="E1111" t="s">
        <v>210</v>
      </c>
      <c r="O1111" s="160"/>
    </row>
    <row r="1112" spans="2:15">
      <c r="B1112" s="146">
        <v>41608</v>
      </c>
      <c r="C1112" t="s">
        <v>220</v>
      </c>
      <c r="D1112" s="99">
        <v>22413</v>
      </c>
      <c r="E1112" t="s">
        <v>212</v>
      </c>
      <c r="O1112" s="160"/>
    </row>
    <row r="1113" spans="2:15">
      <c r="B1113" s="146">
        <v>41970</v>
      </c>
      <c r="C1113" t="s">
        <v>219</v>
      </c>
      <c r="D1113" s="99">
        <v>11049</v>
      </c>
      <c r="E1113" t="s">
        <v>212</v>
      </c>
      <c r="O1113" s="160"/>
    </row>
    <row r="1114" spans="2:15">
      <c r="B1114" s="146">
        <v>41992</v>
      </c>
      <c r="C1114" t="s">
        <v>217</v>
      </c>
      <c r="D1114" s="99">
        <v>12779</v>
      </c>
      <c r="E1114" t="s">
        <v>211</v>
      </c>
      <c r="O1114" s="160"/>
    </row>
    <row r="1115" spans="2:15">
      <c r="B1115" s="146">
        <v>41891</v>
      </c>
      <c r="C1115" t="s">
        <v>219</v>
      </c>
      <c r="D1115" s="99">
        <v>9204</v>
      </c>
      <c r="E1115" t="s">
        <v>212</v>
      </c>
      <c r="O1115" s="160"/>
    </row>
    <row r="1116" spans="2:15">
      <c r="B1116" s="146">
        <v>41637</v>
      </c>
      <c r="C1116" t="s">
        <v>218</v>
      </c>
      <c r="D1116" s="99">
        <v>33890</v>
      </c>
      <c r="E1116" t="s">
        <v>212</v>
      </c>
      <c r="O1116" s="160"/>
    </row>
    <row r="1117" spans="2:15">
      <c r="B1117" s="146">
        <v>41645</v>
      </c>
      <c r="C1117" t="s">
        <v>219</v>
      </c>
      <c r="D1117" s="99">
        <v>16602</v>
      </c>
      <c r="E1117" t="s">
        <v>211</v>
      </c>
      <c r="O1117" s="160"/>
    </row>
    <row r="1118" spans="2:15">
      <c r="B1118" s="146">
        <v>41885</v>
      </c>
      <c r="C1118" t="s">
        <v>217</v>
      </c>
      <c r="D1118" s="99">
        <v>10359</v>
      </c>
      <c r="E1118" t="s">
        <v>213</v>
      </c>
      <c r="O1118" s="160"/>
    </row>
    <row r="1119" spans="2:15">
      <c r="B1119" s="146">
        <v>41631</v>
      </c>
      <c r="C1119" t="s">
        <v>217</v>
      </c>
      <c r="D1119" s="99">
        <v>30422</v>
      </c>
      <c r="E1119" t="s">
        <v>210</v>
      </c>
      <c r="O1119" s="160"/>
    </row>
    <row r="1120" spans="2:15">
      <c r="B1120" s="146">
        <v>41168</v>
      </c>
      <c r="C1120" t="s">
        <v>217</v>
      </c>
      <c r="D1120" s="99">
        <v>36607</v>
      </c>
      <c r="E1120" t="s">
        <v>210</v>
      </c>
      <c r="O1120" s="160"/>
    </row>
    <row r="1121" spans="2:15">
      <c r="B1121" s="146">
        <v>41431</v>
      </c>
      <c r="C1121" t="s">
        <v>218</v>
      </c>
      <c r="D1121" s="99">
        <v>8299</v>
      </c>
      <c r="E1121" t="s">
        <v>210</v>
      </c>
      <c r="O1121" s="160"/>
    </row>
    <row r="1122" spans="2:15">
      <c r="B1122" s="146">
        <v>41945</v>
      </c>
      <c r="C1122" t="s">
        <v>218</v>
      </c>
      <c r="D1122" s="99">
        <v>5481</v>
      </c>
      <c r="E1122" t="s">
        <v>211</v>
      </c>
      <c r="O1122" s="160"/>
    </row>
    <row r="1123" spans="2:15">
      <c r="B1123" s="146">
        <v>41713</v>
      </c>
      <c r="C1123" t="s">
        <v>217</v>
      </c>
      <c r="D1123" s="99">
        <v>30037</v>
      </c>
      <c r="E1123" t="s">
        <v>212</v>
      </c>
      <c r="O1123" s="160"/>
    </row>
    <row r="1124" spans="2:15">
      <c r="B1124" s="146">
        <v>41338</v>
      </c>
      <c r="C1124" t="s">
        <v>220</v>
      </c>
      <c r="D1124" s="99">
        <v>16922</v>
      </c>
      <c r="E1124" t="s">
        <v>212</v>
      </c>
      <c r="O1124" s="160"/>
    </row>
    <row r="1125" spans="2:15">
      <c r="B1125" s="146">
        <v>41423</v>
      </c>
      <c r="C1125" t="s">
        <v>220</v>
      </c>
      <c r="D1125" s="99">
        <v>28154</v>
      </c>
      <c r="E1125" t="s">
        <v>210</v>
      </c>
      <c r="O1125" s="160"/>
    </row>
    <row r="1126" spans="2:15">
      <c r="B1126" s="146">
        <v>41432</v>
      </c>
      <c r="C1126" t="s">
        <v>220</v>
      </c>
      <c r="D1126" s="99">
        <v>36909</v>
      </c>
      <c r="E1126" t="s">
        <v>211</v>
      </c>
      <c r="O1126" s="160"/>
    </row>
    <row r="1127" spans="2:15">
      <c r="B1127" s="146">
        <v>41721</v>
      </c>
      <c r="C1127" t="s">
        <v>217</v>
      </c>
      <c r="D1127" s="99">
        <v>25550</v>
      </c>
      <c r="E1127" t="s">
        <v>210</v>
      </c>
      <c r="O1127" s="160"/>
    </row>
    <row r="1128" spans="2:15">
      <c r="B1128" s="146">
        <v>41998</v>
      </c>
      <c r="C1128" t="s">
        <v>220</v>
      </c>
      <c r="D1128" s="99">
        <v>22449</v>
      </c>
      <c r="E1128" t="s">
        <v>213</v>
      </c>
      <c r="O1128" s="160"/>
    </row>
    <row r="1129" spans="2:15">
      <c r="B1129" s="146">
        <v>41774</v>
      </c>
      <c r="C1129" t="s">
        <v>217</v>
      </c>
      <c r="D1129" s="99">
        <v>19544</v>
      </c>
      <c r="E1129" t="s">
        <v>212</v>
      </c>
      <c r="O1129" s="160"/>
    </row>
    <row r="1130" spans="2:15">
      <c r="B1130" s="146">
        <v>41960</v>
      </c>
      <c r="C1130" t="s">
        <v>218</v>
      </c>
      <c r="D1130" s="99">
        <v>18944</v>
      </c>
      <c r="E1130" t="s">
        <v>213</v>
      </c>
      <c r="O1130" s="160"/>
    </row>
    <row r="1131" spans="2:15">
      <c r="B1131" s="146">
        <v>41960</v>
      </c>
      <c r="C1131" t="s">
        <v>217</v>
      </c>
      <c r="D1131" s="99">
        <v>14897</v>
      </c>
      <c r="E1131" t="s">
        <v>211</v>
      </c>
      <c r="O1131" s="160"/>
    </row>
    <row r="1132" spans="2:15">
      <c r="B1132" s="146">
        <v>41583</v>
      </c>
      <c r="C1132" t="s">
        <v>219</v>
      </c>
      <c r="D1132" s="99">
        <v>24370</v>
      </c>
      <c r="E1132" t="s">
        <v>212</v>
      </c>
      <c r="O1132" s="160"/>
    </row>
    <row r="1133" spans="2:15">
      <c r="B1133" s="146">
        <v>41588</v>
      </c>
      <c r="C1133" t="s">
        <v>220</v>
      </c>
      <c r="D1133" s="99">
        <v>5982</v>
      </c>
      <c r="E1133" t="s">
        <v>210</v>
      </c>
      <c r="O1133" s="160"/>
    </row>
    <row r="1134" spans="2:15">
      <c r="B1134" s="146">
        <v>41686</v>
      </c>
      <c r="C1134" t="s">
        <v>217</v>
      </c>
      <c r="D1134" s="99">
        <v>31079</v>
      </c>
      <c r="E1134" t="s">
        <v>210</v>
      </c>
      <c r="O1134" s="160"/>
    </row>
    <row r="1135" spans="2:15">
      <c r="B1135" s="146">
        <v>41354</v>
      </c>
      <c r="C1135" t="s">
        <v>217</v>
      </c>
      <c r="D1135" s="99">
        <v>17118</v>
      </c>
      <c r="E1135" t="s">
        <v>212</v>
      </c>
      <c r="O1135" s="160"/>
    </row>
    <row r="1136" spans="2:15">
      <c r="B1136" s="146">
        <v>41825</v>
      </c>
      <c r="C1136" t="s">
        <v>219</v>
      </c>
      <c r="D1136" s="99">
        <v>27748</v>
      </c>
      <c r="E1136" t="s">
        <v>212</v>
      </c>
      <c r="O1136" s="160"/>
    </row>
    <row r="1137" spans="2:15">
      <c r="B1137" s="146">
        <v>41641</v>
      </c>
      <c r="C1137" t="s">
        <v>219</v>
      </c>
      <c r="D1137" s="99">
        <v>30243</v>
      </c>
      <c r="E1137" t="s">
        <v>211</v>
      </c>
      <c r="O1137" s="160"/>
    </row>
    <row r="1138" spans="2:15">
      <c r="B1138" s="146">
        <v>41378</v>
      </c>
      <c r="C1138" t="s">
        <v>220</v>
      </c>
      <c r="D1138" s="99">
        <v>17706</v>
      </c>
      <c r="E1138" t="s">
        <v>210</v>
      </c>
      <c r="O1138" s="160"/>
    </row>
    <row r="1139" spans="2:15">
      <c r="B1139" s="146">
        <v>41953</v>
      </c>
      <c r="C1139" t="s">
        <v>218</v>
      </c>
      <c r="D1139" s="99">
        <v>11930</v>
      </c>
      <c r="E1139" t="s">
        <v>210</v>
      </c>
      <c r="O1139" s="160"/>
    </row>
    <row r="1140" spans="2:15">
      <c r="B1140" s="146">
        <v>41375</v>
      </c>
      <c r="C1140" t="s">
        <v>220</v>
      </c>
      <c r="D1140" s="99">
        <v>18225</v>
      </c>
      <c r="E1140" t="s">
        <v>210</v>
      </c>
      <c r="O1140" s="160"/>
    </row>
    <row r="1141" spans="2:15">
      <c r="B1141" s="146">
        <v>41648</v>
      </c>
      <c r="C1141" t="s">
        <v>218</v>
      </c>
      <c r="D1141" s="99">
        <v>31684</v>
      </c>
      <c r="E1141" t="s">
        <v>210</v>
      </c>
      <c r="O1141" s="160"/>
    </row>
    <row r="1142" spans="2:15">
      <c r="B1142" s="146">
        <v>41127</v>
      </c>
      <c r="C1142" t="s">
        <v>220</v>
      </c>
      <c r="D1142" s="99">
        <v>39902</v>
      </c>
      <c r="E1142" t="s">
        <v>213</v>
      </c>
      <c r="O1142" s="160"/>
    </row>
    <row r="1143" spans="2:15">
      <c r="B1143" s="146">
        <v>41716</v>
      </c>
      <c r="C1143" t="s">
        <v>219</v>
      </c>
      <c r="D1143" s="99">
        <v>35794</v>
      </c>
      <c r="E1143" t="s">
        <v>211</v>
      </c>
      <c r="O1143" s="160"/>
    </row>
    <row r="1144" spans="2:15">
      <c r="B1144" s="146">
        <v>41570</v>
      </c>
      <c r="C1144" t="s">
        <v>219</v>
      </c>
      <c r="D1144" s="99">
        <v>18005</v>
      </c>
      <c r="E1144" t="s">
        <v>211</v>
      </c>
      <c r="O1144" s="160"/>
    </row>
    <row r="1145" spans="2:15">
      <c r="B1145" s="146">
        <v>41676</v>
      </c>
      <c r="C1145" t="s">
        <v>217</v>
      </c>
      <c r="D1145" s="99">
        <v>31592</v>
      </c>
      <c r="E1145" t="s">
        <v>212</v>
      </c>
      <c r="O1145" s="160"/>
    </row>
    <row r="1146" spans="2:15">
      <c r="B1146" s="146">
        <v>41337</v>
      </c>
      <c r="C1146" t="s">
        <v>218</v>
      </c>
      <c r="D1146" s="99">
        <v>11105</v>
      </c>
      <c r="E1146" t="s">
        <v>210</v>
      </c>
      <c r="O1146" s="160"/>
    </row>
    <row r="1147" spans="2:15">
      <c r="B1147" s="146">
        <v>41402</v>
      </c>
      <c r="C1147" t="s">
        <v>217</v>
      </c>
      <c r="D1147" s="99">
        <v>7000</v>
      </c>
      <c r="E1147" t="s">
        <v>210</v>
      </c>
      <c r="O1147" s="160"/>
    </row>
    <row r="1148" spans="2:15">
      <c r="B1148" s="146">
        <v>41855</v>
      </c>
      <c r="C1148" t="s">
        <v>218</v>
      </c>
      <c r="D1148" s="99">
        <v>11592</v>
      </c>
      <c r="E1148" t="s">
        <v>213</v>
      </c>
      <c r="O1148" s="160"/>
    </row>
    <row r="1149" spans="2:15">
      <c r="B1149" s="146">
        <v>41686</v>
      </c>
      <c r="C1149" t="s">
        <v>220</v>
      </c>
      <c r="D1149" s="99">
        <v>14691</v>
      </c>
      <c r="E1149" t="s">
        <v>211</v>
      </c>
      <c r="O1149" s="160"/>
    </row>
    <row r="1150" spans="2:15">
      <c r="B1150" s="146">
        <v>41896</v>
      </c>
      <c r="C1150" t="s">
        <v>218</v>
      </c>
      <c r="D1150" s="99">
        <v>13382</v>
      </c>
      <c r="E1150" t="s">
        <v>210</v>
      </c>
      <c r="O1150" s="160"/>
    </row>
    <row r="1151" spans="2:15">
      <c r="B1151" s="146">
        <v>41492</v>
      </c>
      <c r="C1151" t="s">
        <v>217</v>
      </c>
      <c r="D1151" s="99">
        <v>10516</v>
      </c>
      <c r="E1151" t="s">
        <v>213</v>
      </c>
      <c r="O1151" s="160"/>
    </row>
    <row r="1152" spans="2:15">
      <c r="B1152" s="146">
        <v>41129</v>
      </c>
      <c r="C1152" t="s">
        <v>218</v>
      </c>
      <c r="D1152" s="99">
        <v>10945</v>
      </c>
      <c r="E1152" t="s">
        <v>212</v>
      </c>
      <c r="O1152" s="160"/>
    </row>
    <row r="1153" spans="2:15">
      <c r="B1153" s="146">
        <v>42003</v>
      </c>
      <c r="C1153" t="s">
        <v>218</v>
      </c>
      <c r="D1153" s="99">
        <v>26143</v>
      </c>
      <c r="E1153" t="s">
        <v>212</v>
      </c>
      <c r="O1153" s="160"/>
    </row>
    <row r="1154" spans="2:15">
      <c r="B1154" s="146">
        <v>41514</v>
      </c>
      <c r="C1154" t="s">
        <v>219</v>
      </c>
      <c r="D1154" s="99">
        <v>20220</v>
      </c>
      <c r="E1154" t="s">
        <v>212</v>
      </c>
      <c r="O1154" s="160"/>
    </row>
    <row r="1155" spans="2:15">
      <c r="B1155" s="146">
        <v>41555</v>
      </c>
      <c r="C1155" t="s">
        <v>217</v>
      </c>
      <c r="D1155" s="99">
        <v>9064</v>
      </c>
      <c r="E1155" t="s">
        <v>212</v>
      </c>
      <c r="O1155" s="160"/>
    </row>
    <row r="1156" spans="2:15">
      <c r="B1156" s="146">
        <v>41343</v>
      </c>
      <c r="C1156" t="s">
        <v>220</v>
      </c>
      <c r="D1156" s="99">
        <v>25329</v>
      </c>
      <c r="E1156" t="s">
        <v>210</v>
      </c>
      <c r="O1156" s="160"/>
    </row>
  </sheetData>
  <pageMargins left="0.7" right="0.7" top="0.75" bottom="0.75" header="0.3" footer="0.3"/>
  <pageSetup scale="10" orientation="portrait" r:id="rId1"/>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pageSetUpPr fitToPage="1"/>
  </sheetPr>
  <dimension ref="B1:Z1156"/>
  <sheetViews>
    <sheetView zoomScaleNormal="100" workbookViewId="0"/>
  </sheetViews>
  <sheetFormatPr defaultColWidth="9.109375" defaultRowHeight="14.4"/>
  <cols>
    <col min="1" max="1" width="2.44140625" style="221" customWidth="1"/>
    <col min="2" max="2" width="18" style="221" customWidth="1"/>
    <col min="3" max="3" width="13.33203125" style="221" bestFit="1" customWidth="1"/>
    <col min="4" max="4" width="10" style="221" bestFit="1" customWidth="1"/>
    <col min="5" max="5" width="13.109375" style="221" bestFit="1" customWidth="1"/>
    <col min="6" max="6" width="3.6640625" style="221" customWidth="1"/>
    <col min="7" max="7" width="35.44140625" style="221" customWidth="1"/>
    <col min="8" max="8" width="10.6640625" style="221" customWidth="1"/>
    <col min="9" max="11" width="13.44140625" style="221" bestFit="1" customWidth="1"/>
    <col min="12" max="12" width="10.109375" style="221" bestFit="1" customWidth="1"/>
    <col min="13" max="13" width="11.44140625" style="221" bestFit="1" customWidth="1"/>
    <col min="14" max="14" width="12.44140625" style="221" bestFit="1" customWidth="1"/>
    <col min="15" max="15" width="11.44140625" style="221" bestFit="1" customWidth="1"/>
    <col min="16" max="16" width="10.77734375" style="221" bestFit="1" customWidth="1"/>
    <col min="17" max="17" width="13.109375" style="221" bestFit="1" customWidth="1"/>
    <col min="18" max="18" width="9.109375" style="221"/>
    <col min="19" max="19" width="20.77734375" style="221" customWidth="1"/>
    <col min="20" max="20" width="16.33203125" style="221" customWidth="1"/>
    <col min="21" max="23" width="11.44140625" style="221" customWidth="1"/>
    <col min="24" max="24" width="11.33203125" style="221" customWidth="1"/>
    <col min="25" max="28" width="9.77734375" style="221" bestFit="1" customWidth="1"/>
    <col min="29" max="29" width="9.44140625" style="221" bestFit="1" customWidth="1"/>
    <col min="30" max="33" width="9.77734375" style="221" bestFit="1" customWidth="1"/>
    <col min="34" max="34" width="12.44140625" style="221" bestFit="1" customWidth="1"/>
    <col min="35" max="35" width="15" style="221" bestFit="1" customWidth="1"/>
    <col min="36" max="38" width="9.77734375" style="221" bestFit="1" customWidth="1"/>
    <col min="39" max="39" width="18.109375" style="221" bestFit="1" customWidth="1"/>
    <col min="40" max="40" width="11.33203125" style="221" bestFit="1" customWidth="1"/>
    <col min="41" max="16384" width="9.109375" style="221"/>
  </cols>
  <sheetData>
    <row r="1" spans="2:26">
      <c r="G1" s="222"/>
      <c r="H1" s="157"/>
      <c r="I1" s="222"/>
      <c r="J1" s="161"/>
      <c r="K1" s="158"/>
      <c r="L1" s="222"/>
      <c r="M1" s="99"/>
      <c r="N1" s="158"/>
      <c r="O1" s="222"/>
      <c r="P1" s="159"/>
      <c r="Q1" s="158"/>
    </row>
    <row r="2" spans="2:26" ht="22.8" thickBot="1">
      <c r="B2" s="163" t="s">
        <v>222</v>
      </c>
      <c r="C2" s="226"/>
      <c r="D2" s="226"/>
      <c r="E2" s="226"/>
      <c r="F2" s="226"/>
      <c r="G2" s="226"/>
      <c r="H2" s="164"/>
      <c r="I2" s="226"/>
      <c r="J2" s="165"/>
      <c r="K2" s="166"/>
      <c r="L2" s="222"/>
      <c r="M2" s="99"/>
      <c r="N2" s="158"/>
      <c r="O2" s="222"/>
      <c r="P2" s="159"/>
      <c r="Q2" s="158"/>
    </row>
    <row r="3" spans="2:26">
      <c r="G3" s="222"/>
      <c r="H3" s="157"/>
      <c r="I3" s="222"/>
      <c r="J3" s="161"/>
      <c r="K3" s="158"/>
      <c r="L3" s="222"/>
      <c r="M3" s="99"/>
      <c r="N3" s="158"/>
      <c r="O3" s="222"/>
      <c r="P3" s="159"/>
      <c r="Q3" s="158"/>
    </row>
    <row r="4" spans="2:26">
      <c r="G4" s="222"/>
      <c r="H4" s="222"/>
      <c r="I4" s="222"/>
      <c r="J4" s="222"/>
      <c r="K4" s="222"/>
      <c r="L4" s="222"/>
      <c r="M4" s="99"/>
      <c r="N4" s="158"/>
      <c r="O4" s="222"/>
      <c r="P4" s="159"/>
      <c r="Q4" s="158"/>
    </row>
    <row r="5" spans="2:26" ht="15" thickBot="1">
      <c r="B5" s="8" t="s">
        <v>223</v>
      </c>
      <c r="C5" s="8" t="s">
        <v>221</v>
      </c>
      <c r="D5" s="8" t="s">
        <v>224</v>
      </c>
      <c r="E5" s="8" t="s">
        <v>209</v>
      </c>
      <c r="F5" s="222"/>
      <c r="G5" s="10" t="s">
        <v>229</v>
      </c>
      <c r="H5" s="226"/>
      <c r="I5" s="226"/>
      <c r="J5" s="222"/>
      <c r="K5" s="222"/>
      <c r="L5" s="222"/>
      <c r="O5" s="160"/>
    </row>
    <row r="6" spans="2:26">
      <c r="B6" s="162">
        <v>41570</v>
      </c>
      <c r="C6" s="222" t="s">
        <v>217</v>
      </c>
      <c r="D6" s="99">
        <v>11197</v>
      </c>
      <c r="E6" s="222" t="s">
        <v>210</v>
      </c>
      <c r="F6" s="222"/>
      <c r="G6" s="221" t="s">
        <v>225</v>
      </c>
      <c r="J6" s="167">
        <f>COUNT(D6:D1156)</f>
        <v>1151</v>
      </c>
      <c r="K6" s="222"/>
      <c r="L6" s="222"/>
      <c r="O6" s="160"/>
    </row>
    <row r="7" spans="2:26">
      <c r="B7" s="146">
        <v>41386</v>
      </c>
      <c r="C7" s="221" t="s">
        <v>218</v>
      </c>
      <c r="D7" s="99">
        <v>20335</v>
      </c>
      <c r="E7" s="221" t="s">
        <v>211</v>
      </c>
      <c r="F7" s="222"/>
      <c r="G7" s="80" t="s">
        <v>226</v>
      </c>
      <c r="H7" s="111">
        <v>20000</v>
      </c>
      <c r="J7" s="169">
        <f>COUNTIF(D6:D1156,"&lt;"&amp;H7)</f>
        <v>498</v>
      </c>
      <c r="K7" s="222"/>
      <c r="L7" s="222"/>
      <c r="O7" s="160"/>
    </row>
    <row r="8" spans="2:26">
      <c r="B8" s="146">
        <v>41711</v>
      </c>
      <c r="C8" s="221" t="s">
        <v>220</v>
      </c>
      <c r="D8" s="99">
        <v>20874</v>
      </c>
      <c r="E8" s="221" t="s">
        <v>210</v>
      </c>
      <c r="G8" s="80" t="s">
        <v>228</v>
      </c>
      <c r="H8" s="111">
        <v>20000</v>
      </c>
      <c r="I8" s="111">
        <v>30000</v>
      </c>
      <c r="J8" s="170">
        <f>COUNTIFS(D6:D1156,"&gt;"&amp;H8,D6:D1156,"&lt;"&amp;I8)</f>
        <v>331</v>
      </c>
      <c r="L8" s="222"/>
      <c r="O8" s="160"/>
    </row>
    <row r="9" spans="2:26">
      <c r="B9" s="146">
        <v>41774</v>
      </c>
      <c r="C9" s="221" t="s">
        <v>217</v>
      </c>
      <c r="D9" s="99">
        <v>20166</v>
      </c>
      <c r="E9" s="221" t="s">
        <v>213</v>
      </c>
      <c r="G9" s="80" t="s">
        <v>227</v>
      </c>
      <c r="H9" s="111">
        <v>30000</v>
      </c>
      <c r="J9" s="168">
        <f>COUNTIF(D6:D1156,"&gt;="&amp;H9)</f>
        <v>322</v>
      </c>
      <c r="L9" s="222"/>
      <c r="O9" s="160"/>
      <c r="Z9" s="222"/>
    </row>
    <row r="10" spans="2:26">
      <c r="B10" s="146">
        <v>41912</v>
      </c>
      <c r="C10" s="221" t="s">
        <v>219</v>
      </c>
      <c r="D10" s="99">
        <v>26349</v>
      </c>
      <c r="E10" s="221" t="s">
        <v>210</v>
      </c>
      <c r="J10" s="100"/>
      <c r="L10" s="222"/>
      <c r="O10" s="160"/>
    </row>
    <row r="11" spans="2:26">
      <c r="B11" s="146">
        <v>41228</v>
      </c>
      <c r="C11" s="221" t="s">
        <v>219</v>
      </c>
      <c r="D11" s="99">
        <v>17918</v>
      </c>
      <c r="E11" s="221" t="s">
        <v>213</v>
      </c>
      <c r="L11" s="222"/>
      <c r="O11" s="160"/>
    </row>
    <row r="12" spans="2:26">
      <c r="B12" s="146">
        <v>41503</v>
      </c>
      <c r="C12" s="221" t="s">
        <v>220</v>
      </c>
      <c r="D12" s="99">
        <v>39341</v>
      </c>
      <c r="E12" s="221" t="s">
        <v>213</v>
      </c>
      <c r="L12" s="222"/>
      <c r="O12" s="160"/>
    </row>
    <row r="13" spans="2:26">
      <c r="B13" s="146">
        <v>41619</v>
      </c>
      <c r="C13" s="221" t="s">
        <v>217</v>
      </c>
      <c r="D13" s="99">
        <v>33241</v>
      </c>
      <c r="E13" s="221" t="s">
        <v>210</v>
      </c>
      <c r="L13" s="222"/>
      <c r="O13" s="160"/>
    </row>
    <row r="14" spans="2:26">
      <c r="B14" s="146">
        <v>41515</v>
      </c>
      <c r="C14" s="221" t="s">
        <v>218</v>
      </c>
      <c r="D14" s="99">
        <v>22824</v>
      </c>
      <c r="E14" s="221" t="s">
        <v>213</v>
      </c>
      <c r="L14" s="222"/>
      <c r="O14" s="160"/>
    </row>
    <row r="15" spans="2:26">
      <c r="B15" s="146">
        <v>41752</v>
      </c>
      <c r="C15" s="221" t="s">
        <v>220</v>
      </c>
      <c r="D15" s="99">
        <v>15745</v>
      </c>
      <c r="E15" s="221" t="s">
        <v>212</v>
      </c>
      <c r="L15" s="222"/>
      <c r="O15" s="160"/>
    </row>
    <row r="16" spans="2:26">
      <c r="B16" s="146">
        <v>41257</v>
      </c>
      <c r="C16" s="221" t="s">
        <v>219</v>
      </c>
      <c r="D16" s="99">
        <v>22782</v>
      </c>
      <c r="E16" s="221" t="s">
        <v>212</v>
      </c>
      <c r="O16" s="160"/>
    </row>
    <row r="17" spans="2:15">
      <c r="B17" s="146">
        <v>41158</v>
      </c>
      <c r="C17" s="221" t="s">
        <v>220</v>
      </c>
      <c r="D17" s="99">
        <v>14181</v>
      </c>
      <c r="E17" s="221" t="s">
        <v>210</v>
      </c>
      <c r="O17" s="160"/>
    </row>
    <row r="18" spans="2:15">
      <c r="B18" s="146">
        <v>41701</v>
      </c>
      <c r="C18" s="221" t="s">
        <v>217</v>
      </c>
      <c r="D18" s="99">
        <v>28985</v>
      </c>
      <c r="E18" s="221" t="s">
        <v>210</v>
      </c>
      <c r="O18" s="160"/>
    </row>
    <row r="19" spans="2:15">
      <c r="B19" s="146">
        <v>41930</v>
      </c>
      <c r="C19" s="221" t="s">
        <v>218</v>
      </c>
      <c r="D19" s="99">
        <v>6242</v>
      </c>
      <c r="E19" s="221" t="s">
        <v>212</v>
      </c>
      <c r="O19" s="160"/>
    </row>
    <row r="20" spans="2:15">
      <c r="B20" s="146">
        <v>41507</v>
      </c>
      <c r="C20" s="221" t="s">
        <v>220</v>
      </c>
      <c r="D20" s="99">
        <v>19720</v>
      </c>
      <c r="E20" s="221" t="s">
        <v>212</v>
      </c>
      <c r="O20" s="160"/>
    </row>
    <row r="21" spans="2:15">
      <c r="B21" s="146">
        <v>41793</v>
      </c>
      <c r="C21" s="221" t="s">
        <v>220</v>
      </c>
      <c r="D21" s="99">
        <v>30713</v>
      </c>
      <c r="E21" s="221" t="s">
        <v>213</v>
      </c>
      <c r="O21" s="160"/>
    </row>
    <row r="22" spans="2:15">
      <c r="B22" s="146">
        <v>41630</v>
      </c>
      <c r="C22" s="221" t="s">
        <v>217</v>
      </c>
      <c r="D22" s="99">
        <v>8901</v>
      </c>
      <c r="E22" s="221" t="s">
        <v>213</v>
      </c>
      <c r="O22" s="160"/>
    </row>
    <row r="23" spans="2:15">
      <c r="B23" s="146">
        <v>41658</v>
      </c>
      <c r="C23" s="221" t="s">
        <v>220</v>
      </c>
      <c r="D23" s="99">
        <v>33834</v>
      </c>
      <c r="E23" s="221" t="s">
        <v>210</v>
      </c>
      <c r="O23" s="160"/>
    </row>
    <row r="24" spans="2:15">
      <c r="B24" s="146">
        <v>41267</v>
      </c>
      <c r="C24" s="221" t="s">
        <v>220</v>
      </c>
      <c r="D24" s="99">
        <v>33896</v>
      </c>
      <c r="E24" s="221" t="s">
        <v>210</v>
      </c>
      <c r="O24" s="160"/>
    </row>
    <row r="25" spans="2:15">
      <c r="B25" s="146">
        <v>41242</v>
      </c>
      <c r="C25" s="221" t="s">
        <v>220</v>
      </c>
      <c r="D25" s="99">
        <v>24520</v>
      </c>
      <c r="E25" s="221" t="s">
        <v>211</v>
      </c>
      <c r="O25" s="160"/>
    </row>
    <row r="26" spans="2:15">
      <c r="B26" s="146">
        <v>41530</v>
      </c>
      <c r="C26" s="221" t="s">
        <v>217</v>
      </c>
      <c r="D26" s="99">
        <v>12519</v>
      </c>
      <c r="E26" s="221" t="s">
        <v>213</v>
      </c>
      <c r="O26" s="160"/>
    </row>
    <row r="27" spans="2:15">
      <c r="B27" s="146">
        <v>41493</v>
      </c>
      <c r="C27" s="221" t="s">
        <v>219</v>
      </c>
      <c r="D27" s="99">
        <v>34324</v>
      </c>
      <c r="E27" s="221" t="s">
        <v>213</v>
      </c>
      <c r="O27" s="160"/>
    </row>
    <row r="28" spans="2:15">
      <c r="B28" s="146">
        <v>41836</v>
      </c>
      <c r="C28" s="221" t="s">
        <v>218</v>
      </c>
      <c r="D28" s="99">
        <v>36139</v>
      </c>
      <c r="E28" s="221" t="s">
        <v>210</v>
      </c>
      <c r="O28" s="160"/>
    </row>
    <row r="29" spans="2:15">
      <c r="B29" s="146">
        <v>41136</v>
      </c>
      <c r="C29" s="221" t="s">
        <v>220</v>
      </c>
      <c r="D29" s="99">
        <v>20595</v>
      </c>
      <c r="E29" s="221" t="s">
        <v>210</v>
      </c>
      <c r="O29" s="160"/>
    </row>
    <row r="30" spans="2:15">
      <c r="B30" s="146">
        <v>41172</v>
      </c>
      <c r="C30" s="221" t="s">
        <v>220</v>
      </c>
      <c r="D30" s="99">
        <v>19799</v>
      </c>
      <c r="E30" s="221" t="s">
        <v>211</v>
      </c>
      <c r="O30" s="160"/>
    </row>
    <row r="31" spans="2:15">
      <c r="B31" s="146">
        <v>41222</v>
      </c>
      <c r="C31" s="221" t="s">
        <v>218</v>
      </c>
      <c r="D31" s="99">
        <v>27644</v>
      </c>
      <c r="E31" s="221" t="s">
        <v>210</v>
      </c>
      <c r="O31" s="160"/>
    </row>
    <row r="32" spans="2:15">
      <c r="B32" s="146">
        <v>41669</v>
      </c>
      <c r="C32" s="221" t="s">
        <v>218</v>
      </c>
      <c r="D32" s="99">
        <v>21741</v>
      </c>
      <c r="E32" s="221" t="s">
        <v>212</v>
      </c>
      <c r="O32" s="160"/>
    </row>
    <row r="33" spans="2:15">
      <c r="B33" s="146">
        <v>41126</v>
      </c>
      <c r="C33" s="221" t="s">
        <v>219</v>
      </c>
      <c r="D33" s="99">
        <v>14052</v>
      </c>
      <c r="E33" s="221" t="s">
        <v>211</v>
      </c>
      <c r="O33" s="160"/>
    </row>
    <row r="34" spans="2:15">
      <c r="B34" s="146">
        <v>41260</v>
      </c>
      <c r="C34" s="221" t="s">
        <v>220</v>
      </c>
      <c r="D34" s="99">
        <v>7231</v>
      </c>
      <c r="E34" s="221" t="s">
        <v>213</v>
      </c>
      <c r="O34" s="160"/>
    </row>
    <row r="35" spans="2:15">
      <c r="B35" s="146">
        <v>41491</v>
      </c>
      <c r="C35" s="221" t="s">
        <v>219</v>
      </c>
      <c r="D35" s="99">
        <v>31277</v>
      </c>
      <c r="E35" s="221" t="s">
        <v>210</v>
      </c>
      <c r="O35" s="160"/>
    </row>
    <row r="36" spans="2:15">
      <c r="B36" s="146">
        <v>41463</v>
      </c>
      <c r="C36" s="221" t="s">
        <v>218</v>
      </c>
      <c r="D36" s="99">
        <v>24074</v>
      </c>
      <c r="E36" s="221" t="s">
        <v>213</v>
      </c>
      <c r="O36" s="160"/>
    </row>
    <row r="37" spans="2:15">
      <c r="B37" s="146">
        <v>41182</v>
      </c>
      <c r="C37" s="221" t="s">
        <v>220</v>
      </c>
      <c r="D37" s="99">
        <v>36267</v>
      </c>
      <c r="E37" s="221" t="s">
        <v>210</v>
      </c>
      <c r="O37" s="160"/>
    </row>
    <row r="38" spans="2:15">
      <c r="B38" s="146">
        <v>41905</v>
      </c>
      <c r="C38" s="221" t="s">
        <v>218</v>
      </c>
      <c r="D38" s="99">
        <v>29160</v>
      </c>
      <c r="E38" s="221" t="s">
        <v>210</v>
      </c>
      <c r="O38" s="160"/>
    </row>
    <row r="39" spans="2:15">
      <c r="B39" s="146">
        <v>41761</v>
      </c>
      <c r="C39" s="221" t="s">
        <v>219</v>
      </c>
      <c r="D39" s="99">
        <v>35826</v>
      </c>
      <c r="E39" s="221" t="s">
        <v>212</v>
      </c>
      <c r="O39" s="160"/>
    </row>
    <row r="40" spans="2:15">
      <c r="B40" s="146">
        <v>41832</v>
      </c>
      <c r="C40" s="221" t="s">
        <v>217</v>
      </c>
      <c r="D40" s="99">
        <v>20847</v>
      </c>
      <c r="E40" s="221" t="s">
        <v>212</v>
      </c>
      <c r="G40" s="223"/>
      <c r="O40" s="160"/>
    </row>
    <row r="41" spans="2:15">
      <c r="B41" s="146">
        <v>41258</v>
      </c>
      <c r="C41" s="221" t="s">
        <v>219</v>
      </c>
      <c r="D41" s="99">
        <v>39946</v>
      </c>
      <c r="E41" s="221" t="s">
        <v>211</v>
      </c>
      <c r="G41" s="223"/>
      <c r="O41" s="160"/>
    </row>
    <row r="42" spans="2:15">
      <c r="B42" s="146">
        <v>41536</v>
      </c>
      <c r="C42" s="221" t="s">
        <v>219</v>
      </c>
      <c r="D42" s="99">
        <v>16733</v>
      </c>
      <c r="E42" s="221" t="s">
        <v>213</v>
      </c>
      <c r="O42" s="160"/>
    </row>
    <row r="43" spans="2:15">
      <c r="B43" s="146">
        <v>41432</v>
      </c>
      <c r="C43" s="221" t="s">
        <v>219</v>
      </c>
      <c r="D43" s="99">
        <v>7395</v>
      </c>
      <c r="E43" s="221" t="s">
        <v>211</v>
      </c>
      <c r="O43" s="160"/>
    </row>
    <row r="44" spans="2:15">
      <c r="B44" s="146">
        <v>41710</v>
      </c>
      <c r="C44" s="221" t="s">
        <v>217</v>
      </c>
      <c r="D44" s="99">
        <v>30969</v>
      </c>
      <c r="E44" s="221" t="s">
        <v>210</v>
      </c>
      <c r="O44" s="160"/>
    </row>
    <row r="45" spans="2:15">
      <c r="B45" s="146">
        <v>41160</v>
      </c>
      <c r="C45" s="221" t="s">
        <v>217</v>
      </c>
      <c r="D45" s="99">
        <v>19078</v>
      </c>
      <c r="E45" s="221" t="s">
        <v>210</v>
      </c>
      <c r="O45" s="160"/>
    </row>
    <row r="46" spans="2:15">
      <c r="B46" s="146">
        <v>41239</v>
      </c>
      <c r="C46" s="221" t="s">
        <v>218</v>
      </c>
      <c r="D46" s="99">
        <v>25177</v>
      </c>
      <c r="E46" s="221" t="s">
        <v>211</v>
      </c>
      <c r="O46" s="160"/>
    </row>
    <row r="47" spans="2:15">
      <c r="B47" s="146">
        <v>41167</v>
      </c>
      <c r="C47" s="221" t="s">
        <v>218</v>
      </c>
      <c r="D47" s="99">
        <v>9269</v>
      </c>
      <c r="E47" s="221" t="s">
        <v>213</v>
      </c>
      <c r="O47" s="160"/>
    </row>
    <row r="48" spans="2:15">
      <c r="B48" s="146">
        <v>41359</v>
      </c>
      <c r="C48" s="221" t="s">
        <v>217</v>
      </c>
      <c r="D48" s="99">
        <v>10714</v>
      </c>
      <c r="E48" s="221" t="s">
        <v>211</v>
      </c>
      <c r="O48" s="160"/>
    </row>
    <row r="49" spans="2:15">
      <c r="B49" s="146">
        <v>41774</v>
      </c>
      <c r="C49" s="221" t="s">
        <v>217</v>
      </c>
      <c r="D49" s="99">
        <v>6429</v>
      </c>
      <c r="E49" s="221" t="s">
        <v>210</v>
      </c>
      <c r="O49" s="160"/>
    </row>
    <row r="50" spans="2:15">
      <c r="B50" s="146">
        <v>41383</v>
      </c>
      <c r="C50" s="221" t="s">
        <v>220</v>
      </c>
      <c r="D50" s="99">
        <v>39196</v>
      </c>
      <c r="E50" s="221" t="s">
        <v>213</v>
      </c>
      <c r="O50" s="160"/>
    </row>
    <row r="51" spans="2:15">
      <c r="B51" s="146">
        <v>41177</v>
      </c>
      <c r="C51" s="221" t="s">
        <v>218</v>
      </c>
      <c r="D51" s="99">
        <v>37725</v>
      </c>
      <c r="E51" s="221" t="s">
        <v>212</v>
      </c>
      <c r="O51" s="160"/>
    </row>
    <row r="52" spans="2:15">
      <c r="B52" s="146">
        <v>41356</v>
      </c>
      <c r="C52" s="221" t="s">
        <v>219</v>
      </c>
      <c r="D52" s="99">
        <v>8019</v>
      </c>
      <c r="E52" s="221" t="s">
        <v>212</v>
      </c>
      <c r="O52" s="160"/>
    </row>
    <row r="53" spans="2:15">
      <c r="B53" s="146">
        <v>41395</v>
      </c>
      <c r="C53" s="221" t="s">
        <v>217</v>
      </c>
      <c r="D53" s="99">
        <v>25347</v>
      </c>
      <c r="E53" s="221" t="s">
        <v>213</v>
      </c>
      <c r="O53" s="160"/>
    </row>
    <row r="54" spans="2:15">
      <c r="B54" s="146">
        <v>41334</v>
      </c>
      <c r="C54" s="221" t="s">
        <v>220</v>
      </c>
      <c r="D54" s="99">
        <v>30992</v>
      </c>
      <c r="E54" s="221" t="s">
        <v>210</v>
      </c>
      <c r="O54" s="160"/>
    </row>
    <row r="55" spans="2:15">
      <c r="B55" s="146">
        <v>41666</v>
      </c>
      <c r="C55" s="221" t="s">
        <v>218</v>
      </c>
      <c r="D55" s="99">
        <v>33952</v>
      </c>
      <c r="E55" s="221" t="s">
        <v>210</v>
      </c>
      <c r="O55" s="160"/>
    </row>
    <row r="56" spans="2:15">
      <c r="B56" s="146">
        <v>41673</v>
      </c>
      <c r="C56" s="221" t="s">
        <v>217</v>
      </c>
      <c r="D56" s="99">
        <v>13546</v>
      </c>
      <c r="E56" s="221" t="s">
        <v>211</v>
      </c>
      <c r="O56" s="160"/>
    </row>
    <row r="57" spans="2:15">
      <c r="B57" s="146">
        <v>41856</v>
      </c>
      <c r="C57" s="221" t="s">
        <v>217</v>
      </c>
      <c r="D57" s="99">
        <v>10361</v>
      </c>
      <c r="E57" s="221" t="s">
        <v>213</v>
      </c>
      <c r="O57" s="160"/>
    </row>
    <row r="58" spans="2:15">
      <c r="B58" s="146">
        <v>42007</v>
      </c>
      <c r="C58" s="221" t="s">
        <v>219</v>
      </c>
      <c r="D58" s="99">
        <v>10637</v>
      </c>
      <c r="E58" s="221" t="s">
        <v>213</v>
      </c>
      <c r="O58" s="160"/>
    </row>
    <row r="59" spans="2:15">
      <c r="B59" s="146">
        <v>41902</v>
      </c>
      <c r="C59" s="221" t="s">
        <v>218</v>
      </c>
      <c r="D59" s="99">
        <v>11689</v>
      </c>
      <c r="E59" s="221" t="s">
        <v>212</v>
      </c>
      <c r="O59" s="160"/>
    </row>
    <row r="60" spans="2:15">
      <c r="B60" s="146">
        <v>41189</v>
      </c>
      <c r="C60" s="221" t="s">
        <v>220</v>
      </c>
      <c r="D60" s="99">
        <v>29480</v>
      </c>
      <c r="E60" s="221" t="s">
        <v>213</v>
      </c>
      <c r="O60" s="160"/>
    </row>
    <row r="61" spans="2:15">
      <c r="B61" s="146">
        <v>41195</v>
      </c>
      <c r="C61" s="221" t="s">
        <v>218</v>
      </c>
      <c r="D61" s="99">
        <v>15007</v>
      </c>
      <c r="E61" s="221" t="s">
        <v>213</v>
      </c>
      <c r="O61" s="160"/>
    </row>
    <row r="62" spans="2:15">
      <c r="B62" s="146">
        <v>41521</v>
      </c>
      <c r="C62" s="221" t="s">
        <v>217</v>
      </c>
      <c r="D62" s="99">
        <v>13187</v>
      </c>
      <c r="E62" s="221" t="s">
        <v>213</v>
      </c>
      <c r="O62" s="160"/>
    </row>
    <row r="63" spans="2:15">
      <c r="B63" s="146">
        <v>41222</v>
      </c>
      <c r="C63" s="221" t="s">
        <v>219</v>
      </c>
      <c r="D63" s="99">
        <v>14070</v>
      </c>
      <c r="E63" s="221" t="s">
        <v>213</v>
      </c>
      <c r="O63" s="160"/>
    </row>
    <row r="64" spans="2:15">
      <c r="B64" s="146">
        <v>41789</v>
      </c>
      <c r="C64" s="221" t="s">
        <v>219</v>
      </c>
      <c r="D64" s="99">
        <v>37527</v>
      </c>
      <c r="E64" s="221" t="s">
        <v>210</v>
      </c>
      <c r="O64" s="160"/>
    </row>
    <row r="65" spans="2:15">
      <c r="B65" s="146">
        <v>41528</v>
      </c>
      <c r="C65" s="221" t="s">
        <v>219</v>
      </c>
      <c r="D65" s="99">
        <v>30656</v>
      </c>
      <c r="E65" s="221" t="s">
        <v>211</v>
      </c>
      <c r="O65" s="160"/>
    </row>
    <row r="66" spans="2:15">
      <c r="B66" s="146">
        <v>41894</v>
      </c>
      <c r="C66" s="221" t="s">
        <v>219</v>
      </c>
      <c r="D66" s="99">
        <v>38080</v>
      </c>
      <c r="E66" s="221" t="s">
        <v>211</v>
      </c>
      <c r="O66" s="160"/>
    </row>
    <row r="67" spans="2:15">
      <c r="B67" s="146">
        <v>41632</v>
      </c>
      <c r="C67" s="221" t="s">
        <v>217</v>
      </c>
      <c r="D67" s="99">
        <v>15969</v>
      </c>
      <c r="E67" s="221" t="s">
        <v>213</v>
      </c>
      <c r="O67" s="160"/>
    </row>
    <row r="68" spans="2:15">
      <c r="B68" s="146">
        <v>41408</v>
      </c>
      <c r="C68" s="221" t="s">
        <v>217</v>
      </c>
      <c r="D68" s="99">
        <v>35196</v>
      </c>
      <c r="E68" s="221" t="s">
        <v>210</v>
      </c>
      <c r="O68" s="160"/>
    </row>
    <row r="69" spans="2:15">
      <c r="B69" s="146">
        <v>41722</v>
      </c>
      <c r="C69" s="221" t="s">
        <v>217</v>
      </c>
      <c r="D69" s="99">
        <v>31173</v>
      </c>
      <c r="E69" s="221" t="s">
        <v>213</v>
      </c>
      <c r="O69" s="160"/>
    </row>
    <row r="70" spans="2:15">
      <c r="B70" s="146">
        <v>41340</v>
      </c>
      <c r="C70" s="221" t="s">
        <v>219</v>
      </c>
      <c r="D70" s="99">
        <v>11925</v>
      </c>
      <c r="E70" s="221" t="s">
        <v>211</v>
      </c>
      <c r="O70" s="160"/>
    </row>
    <row r="71" spans="2:15">
      <c r="B71" s="146">
        <v>41250</v>
      </c>
      <c r="C71" s="221" t="s">
        <v>220</v>
      </c>
      <c r="D71" s="99">
        <v>36352</v>
      </c>
      <c r="E71" s="221" t="s">
        <v>213</v>
      </c>
      <c r="O71" s="160"/>
    </row>
    <row r="72" spans="2:15">
      <c r="B72" s="146">
        <v>41932</v>
      </c>
      <c r="C72" s="221" t="s">
        <v>220</v>
      </c>
      <c r="D72" s="99">
        <v>31382</v>
      </c>
      <c r="E72" s="221" t="s">
        <v>213</v>
      </c>
      <c r="O72" s="160"/>
    </row>
    <row r="73" spans="2:15">
      <c r="B73" s="146">
        <v>41973</v>
      </c>
      <c r="C73" s="221" t="s">
        <v>219</v>
      </c>
      <c r="D73" s="99">
        <v>34267</v>
      </c>
      <c r="E73" s="221" t="s">
        <v>212</v>
      </c>
      <c r="O73" s="160"/>
    </row>
    <row r="74" spans="2:15">
      <c r="B74" s="146">
        <v>41165</v>
      </c>
      <c r="C74" s="221" t="s">
        <v>217</v>
      </c>
      <c r="D74" s="99">
        <v>21564</v>
      </c>
      <c r="E74" s="221" t="s">
        <v>211</v>
      </c>
      <c r="O74" s="160"/>
    </row>
    <row r="75" spans="2:15">
      <c r="B75" s="146">
        <v>41838</v>
      </c>
      <c r="C75" s="221" t="s">
        <v>219</v>
      </c>
      <c r="D75" s="99">
        <v>15208</v>
      </c>
      <c r="E75" s="221" t="s">
        <v>210</v>
      </c>
      <c r="O75" s="160"/>
    </row>
    <row r="76" spans="2:15">
      <c r="B76" s="146">
        <v>41497</v>
      </c>
      <c r="C76" s="221" t="s">
        <v>218</v>
      </c>
      <c r="D76" s="99">
        <v>9283</v>
      </c>
      <c r="E76" s="221" t="s">
        <v>213</v>
      </c>
      <c r="O76" s="160"/>
    </row>
    <row r="77" spans="2:15">
      <c r="B77" s="146">
        <v>41770</v>
      </c>
      <c r="C77" s="221" t="s">
        <v>219</v>
      </c>
      <c r="D77" s="99">
        <v>30686</v>
      </c>
      <c r="E77" s="221" t="s">
        <v>210</v>
      </c>
      <c r="O77" s="160"/>
    </row>
    <row r="78" spans="2:15">
      <c r="B78" s="146">
        <v>41404</v>
      </c>
      <c r="C78" s="221" t="s">
        <v>218</v>
      </c>
      <c r="D78" s="99">
        <v>14335</v>
      </c>
      <c r="E78" s="221" t="s">
        <v>211</v>
      </c>
      <c r="O78" s="160"/>
    </row>
    <row r="79" spans="2:15">
      <c r="B79" s="146">
        <v>41131</v>
      </c>
      <c r="C79" s="221" t="s">
        <v>219</v>
      </c>
      <c r="D79" s="99">
        <v>10978</v>
      </c>
      <c r="E79" s="221" t="s">
        <v>212</v>
      </c>
      <c r="O79" s="160"/>
    </row>
    <row r="80" spans="2:15">
      <c r="B80" s="146">
        <v>41574</v>
      </c>
      <c r="C80" s="221" t="s">
        <v>218</v>
      </c>
      <c r="D80" s="99">
        <v>6404</v>
      </c>
      <c r="E80" s="221" t="s">
        <v>211</v>
      </c>
      <c r="O80" s="160"/>
    </row>
    <row r="81" spans="2:15">
      <c r="B81" s="146">
        <v>41419</v>
      </c>
      <c r="C81" s="221" t="s">
        <v>219</v>
      </c>
      <c r="D81" s="99">
        <v>8534</v>
      </c>
      <c r="E81" s="221" t="s">
        <v>212</v>
      </c>
      <c r="O81" s="160"/>
    </row>
    <row r="82" spans="2:15">
      <c r="B82" s="146">
        <v>41711</v>
      </c>
      <c r="C82" s="221" t="s">
        <v>218</v>
      </c>
      <c r="D82" s="99">
        <v>35878</v>
      </c>
      <c r="E82" s="221" t="s">
        <v>212</v>
      </c>
      <c r="O82" s="160"/>
    </row>
    <row r="83" spans="2:15">
      <c r="B83" s="146">
        <v>41989</v>
      </c>
      <c r="C83" s="221" t="s">
        <v>220</v>
      </c>
      <c r="D83" s="99">
        <v>10083</v>
      </c>
      <c r="E83" s="221" t="s">
        <v>212</v>
      </c>
      <c r="O83" s="160"/>
    </row>
    <row r="84" spans="2:15">
      <c r="B84" s="146">
        <v>41291</v>
      </c>
      <c r="C84" s="221" t="s">
        <v>220</v>
      </c>
      <c r="D84" s="99">
        <v>24644</v>
      </c>
      <c r="E84" s="221" t="s">
        <v>210</v>
      </c>
      <c r="O84" s="160"/>
    </row>
    <row r="85" spans="2:15">
      <c r="B85" s="146">
        <v>41398</v>
      </c>
      <c r="C85" s="221" t="s">
        <v>218</v>
      </c>
      <c r="D85" s="99">
        <v>33395</v>
      </c>
      <c r="E85" s="221" t="s">
        <v>211</v>
      </c>
      <c r="O85" s="160"/>
    </row>
    <row r="86" spans="2:15">
      <c r="B86" s="146">
        <v>41943</v>
      </c>
      <c r="C86" s="221" t="s">
        <v>218</v>
      </c>
      <c r="D86" s="99">
        <v>11851</v>
      </c>
      <c r="E86" s="221" t="s">
        <v>213</v>
      </c>
      <c r="O86" s="160"/>
    </row>
    <row r="87" spans="2:15">
      <c r="B87" s="146">
        <v>41366</v>
      </c>
      <c r="C87" s="221" t="s">
        <v>219</v>
      </c>
      <c r="D87" s="99">
        <v>27445</v>
      </c>
      <c r="E87" s="221" t="s">
        <v>211</v>
      </c>
      <c r="O87" s="160"/>
    </row>
    <row r="88" spans="2:15">
      <c r="B88" s="146">
        <v>41508</v>
      </c>
      <c r="C88" s="221" t="s">
        <v>220</v>
      </c>
      <c r="D88" s="99">
        <v>30000</v>
      </c>
      <c r="E88" s="221" t="s">
        <v>210</v>
      </c>
      <c r="O88" s="160"/>
    </row>
    <row r="89" spans="2:15">
      <c r="B89" s="146">
        <v>41879</v>
      </c>
      <c r="C89" s="221" t="s">
        <v>219</v>
      </c>
      <c r="D89" s="99">
        <v>25544</v>
      </c>
      <c r="E89" s="221" t="s">
        <v>211</v>
      </c>
      <c r="O89" s="160"/>
    </row>
    <row r="90" spans="2:15">
      <c r="B90" s="146">
        <v>41211</v>
      </c>
      <c r="C90" s="221" t="s">
        <v>220</v>
      </c>
      <c r="D90" s="99">
        <v>31420</v>
      </c>
      <c r="E90" s="221" t="s">
        <v>211</v>
      </c>
      <c r="O90" s="160"/>
    </row>
    <row r="91" spans="2:15">
      <c r="B91" s="146">
        <v>41899</v>
      </c>
      <c r="C91" s="221" t="s">
        <v>217</v>
      </c>
      <c r="D91" s="99">
        <v>8819</v>
      </c>
      <c r="E91" s="221" t="s">
        <v>212</v>
      </c>
      <c r="O91" s="160"/>
    </row>
    <row r="92" spans="2:15">
      <c r="B92" s="146">
        <v>41840</v>
      </c>
      <c r="C92" s="221" t="s">
        <v>219</v>
      </c>
      <c r="D92" s="99">
        <v>24383</v>
      </c>
      <c r="E92" s="221" t="s">
        <v>213</v>
      </c>
      <c r="O92" s="160"/>
    </row>
    <row r="93" spans="2:15">
      <c r="B93" s="146">
        <v>41563</v>
      </c>
      <c r="C93" s="221" t="s">
        <v>218</v>
      </c>
      <c r="D93" s="99">
        <v>27563</v>
      </c>
      <c r="E93" s="221" t="s">
        <v>213</v>
      </c>
      <c r="O93" s="160"/>
    </row>
    <row r="94" spans="2:15">
      <c r="B94" s="146">
        <v>41936</v>
      </c>
      <c r="C94" s="221" t="s">
        <v>219</v>
      </c>
      <c r="D94" s="99">
        <v>21990</v>
      </c>
      <c r="E94" s="221" t="s">
        <v>211</v>
      </c>
      <c r="O94" s="160"/>
    </row>
    <row r="95" spans="2:15">
      <c r="B95" s="146">
        <v>41796</v>
      </c>
      <c r="C95" s="221" t="s">
        <v>218</v>
      </c>
      <c r="D95" s="99">
        <v>36165</v>
      </c>
      <c r="E95" s="221" t="s">
        <v>210</v>
      </c>
      <c r="O95" s="160"/>
    </row>
    <row r="96" spans="2:15">
      <c r="B96" s="146">
        <v>41188</v>
      </c>
      <c r="C96" s="221" t="s">
        <v>218</v>
      </c>
      <c r="D96" s="99">
        <v>23041</v>
      </c>
      <c r="E96" s="221" t="s">
        <v>213</v>
      </c>
      <c r="O96" s="160"/>
    </row>
    <row r="97" spans="2:15">
      <c r="B97" s="146">
        <v>41829</v>
      </c>
      <c r="C97" s="221" t="s">
        <v>217</v>
      </c>
      <c r="D97" s="99">
        <v>18302</v>
      </c>
      <c r="E97" s="221" t="s">
        <v>213</v>
      </c>
      <c r="O97" s="160"/>
    </row>
    <row r="98" spans="2:15">
      <c r="B98" s="146">
        <v>41472</v>
      </c>
      <c r="C98" s="221" t="s">
        <v>218</v>
      </c>
      <c r="D98" s="99">
        <v>28424</v>
      </c>
      <c r="E98" s="221" t="s">
        <v>213</v>
      </c>
      <c r="O98" s="160"/>
    </row>
    <row r="99" spans="2:15">
      <c r="B99" s="146">
        <v>41608</v>
      </c>
      <c r="C99" s="221" t="s">
        <v>220</v>
      </c>
      <c r="D99" s="99">
        <v>29112</v>
      </c>
      <c r="E99" s="221" t="s">
        <v>212</v>
      </c>
      <c r="O99" s="160"/>
    </row>
    <row r="100" spans="2:15">
      <c r="B100" s="146">
        <v>41221</v>
      </c>
      <c r="C100" s="221" t="s">
        <v>217</v>
      </c>
      <c r="D100" s="99">
        <v>19867</v>
      </c>
      <c r="E100" s="221" t="s">
        <v>210</v>
      </c>
      <c r="O100" s="160"/>
    </row>
    <row r="101" spans="2:15">
      <c r="B101" s="146">
        <v>41154</v>
      </c>
      <c r="C101" s="221" t="s">
        <v>217</v>
      </c>
      <c r="D101" s="99">
        <v>30713</v>
      </c>
      <c r="E101" s="221" t="s">
        <v>212</v>
      </c>
      <c r="O101" s="160"/>
    </row>
    <row r="102" spans="2:15">
      <c r="B102" s="146">
        <v>41762</v>
      </c>
      <c r="C102" s="221" t="s">
        <v>220</v>
      </c>
      <c r="D102" s="99">
        <v>17649</v>
      </c>
      <c r="E102" s="221" t="s">
        <v>210</v>
      </c>
      <c r="O102" s="160"/>
    </row>
    <row r="103" spans="2:15">
      <c r="B103" s="146">
        <v>41518</v>
      </c>
      <c r="C103" s="221" t="s">
        <v>219</v>
      </c>
      <c r="D103" s="99">
        <v>34740</v>
      </c>
      <c r="E103" s="221" t="s">
        <v>211</v>
      </c>
      <c r="O103" s="160"/>
    </row>
    <row r="104" spans="2:15">
      <c r="B104" s="146">
        <v>41641</v>
      </c>
      <c r="C104" s="221" t="s">
        <v>220</v>
      </c>
      <c r="D104" s="99">
        <v>27852</v>
      </c>
      <c r="E104" s="221" t="s">
        <v>213</v>
      </c>
      <c r="O104" s="160"/>
    </row>
    <row r="105" spans="2:15">
      <c r="B105" s="146">
        <v>41816</v>
      </c>
      <c r="C105" s="221" t="s">
        <v>218</v>
      </c>
      <c r="D105" s="99">
        <v>8716</v>
      </c>
      <c r="E105" s="221" t="s">
        <v>213</v>
      </c>
      <c r="O105" s="160"/>
    </row>
    <row r="106" spans="2:15">
      <c r="B106" s="146">
        <v>41985</v>
      </c>
      <c r="C106" s="221" t="s">
        <v>219</v>
      </c>
      <c r="D106" s="99">
        <v>18538</v>
      </c>
      <c r="E106" s="221" t="s">
        <v>210</v>
      </c>
      <c r="O106" s="160"/>
    </row>
    <row r="107" spans="2:15">
      <c r="B107" s="146">
        <v>41152</v>
      </c>
      <c r="C107" s="221" t="s">
        <v>220</v>
      </c>
      <c r="D107" s="99">
        <v>25908</v>
      </c>
      <c r="E107" s="221" t="s">
        <v>212</v>
      </c>
      <c r="O107" s="160"/>
    </row>
    <row r="108" spans="2:15">
      <c r="B108" s="146">
        <v>41285</v>
      </c>
      <c r="C108" s="221" t="s">
        <v>220</v>
      </c>
      <c r="D108" s="99">
        <v>9710</v>
      </c>
      <c r="E108" s="221" t="s">
        <v>210</v>
      </c>
      <c r="O108" s="160"/>
    </row>
    <row r="109" spans="2:15">
      <c r="B109" s="146">
        <v>41212</v>
      </c>
      <c r="C109" s="221" t="s">
        <v>218</v>
      </c>
      <c r="D109" s="99">
        <v>26447</v>
      </c>
      <c r="E109" s="221" t="s">
        <v>211</v>
      </c>
      <c r="O109" s="160"/>
    </row>
    <row r="110" spans="2:15">
      <c r="B110" s="146">
        <v>41208</v>
      </c>
      <c r="C110" s="221" t="s">
        <v>217</v>
      </c>
      <c r="D110" s="99">
        <v>19360</v>
      </c>
      <c r="E110" s="221" t="s">
        <v>213</v>
      </c>
      <c r="O110" s="160"/>
    </row>
    <row r="111" spans="2:15">
      <c r="B111" s="146">
        <v>41209</v>
      </c>
      <c r="C111" s="221" t="s">
        <v>218</v>
      </c>
      <c r="D111" s="99">
        <v>36314</v>
      </c>
      <c r="E111" s="221" t="s">
        <v>212</v>
      </c>
      <c r="O111" s="160"/>
    </row>
    <row r="112" spans="2:15">
      <c r="B112" s="146">
        <v>41860</v>
      </c>
      <c r="C112" s="221" t="s">
        <v>217</v>
      </c>
      <c r="D112" s="99">
        <v>20687</v>
      </c>
      <c r="E112" s="221" t="s">
        <v>213</v>
      </c>
      <c r="O112" s="160"/>
    </row>
    <row r="113" spans="2:15">
      <c r="B113" s="146">
        <v>41393</v>
      </c>
      <c r="C113" s="221" t="s">
        <v>217</v>
      </c>
      <c r="D113" s="99">
        <v>29437</v>
      </c>
      <c r="E113" s="221" t="s">
        <v>211</v>
      </c>
      <c r="O113" s="160"/>
    </row>
    <row r="114" spans="2:15">
      <c r="B114" s="146">
        <v>41647</v>
      </c>
      <c r="C114" s="221" t="s">
        <v>219</v>
      </c>
      <c r="D114" s="99">
        <v>14731</v>
      </c>
      <c r="E114" s="221" t="s">
        <v>213</v>
      </c>
      <c r="O114" s="160"/>
    </row>
    <row r="115" spans="2:15">
      <c r="B115" s="146">
        <v>41381</v>
      </c>
      <c r="C115" s="221" t="s">
        <v>218</v>
      </c>
      <c r="D115" s="99">
        <v>26804</v>
      </c>
      <c r="E115" s="221" t="s">
        <v>212</v>
      </c>
      <c r="O115" s="160"/>
    </row>
    <row r="116" spans="2:15">
      <c r="B116" s="146">
        <v>41481</v>
      </c>
      <c r="C116" s="221" t="s">
        <v>218</v>
      </c>
      <c r="D116" s="99">
        <v>36509</v>
      </c>
      <c r="E116" s="221" t="s">
        <v>213</v>
      </c>
      <c r="O116" s="160"/>
    </row>
    <row r="117" spans="2:15">
      <c r="B117" s="146">
        <v>41604</v>
      </c>
      <c r="C117" s="221" t="s">
        <v>217</v>
      </c>
      <c r="D117" s="99">
        <v>10473</v>
      </c>
      <c r="E117" s="221" t="s">
        <v>211</v>
      </c>
      <c r="O117" s="160"/>
    </row>
    <row r="118" spans="2:15">
      <c r="B118" s="146">
        <v>41901</v>
      </c>
      <c r="C118" s="221" t="s">
        <v>220</v>
      </c>
      <c r="D118" s="99">
        <v>9169</v>
      </c>
      <c r="E118" s="221" t="s">
        <v>212</v>
      </c>
      <c r="O118" s="160"/>
    </row>
    <row r="119" spans="2:15">
      <c r="B119" s="146">
        <v>41186</v>
      </c>
      <c r="C119" s="221" t="s">
        <v>217</v>
      </c>
      <c r="D119" s="99">
        <v>29945</v>
      </c>
      <c r="E119" s="221" t="s">
        <v>212</v>
      </c>
      <c r="O119" s="160"/>
    </row>
    <row r="120" spans="2:15">
      <c r="B120" s="146">
        <v>41939</v>
      </c>
      <c r="C120" s="221" t="s">
        <v>218</v>
      </c>
      <c r="D120" s="99">
        <v>30371</v>
      </c>
      <c r="E120" s="221" t="s">
        <v>212</v>
      </c>
      <c r="O120" s="160"/>
    </row>
    <row r="121" spans="2:15">
      <c r="B121" s="146">
        <v>41249</v>
      </c>
      <c r="C121" s="221" t="s">
        <v>220</v>
      </c>
      <c r="D121" s="99">
        <v>17199</v>
      </c>
      <c r="E121" s="221" t="s">
        <v>211</v>
      </c>
      <c r="O121" s="160"/>
    </row>
    <row r="122" spans="2:15">
      <c r="B122" s="146">
        <v>41223</v>
      </c>
      <c r="C122" s="221" t="s">
        <v>220</v>
      </c>
      <c r="D122" s="99">
        <v>29514</v>
      </c>
      <c r="E122" s="221" t="s">
        <v>211</v>
      </c>
      <c r="O122" s="160"/>
    </row>
    <row r="123" spans="2:15">
      <c r="B123" s="146">
        <v>41142</v>
      </c>
      <c r="C123" s="221" t="s">
        <v>219</v>
      </c>
      <c r="D123" s="99">
        <v>35376</v>
      </c>
      <c r="E123" s="221" t="s">
        <v>211</v>
      </c>
      <c r="O123" s="160"/>
    </row>
    <row r="124" spans="2:15">
      <c r="B124" s="146">
        <v>41246</v>
      </c>
      <c r="C124" s="221" t="s">
        <v>219</v>
      </c>
      <c r="D124" s="99">
        <v>6749</v>
      </c>
      <c r="E124" s="221" t="s">
        <v>211</v>
      </c>
      <c r="O124" s="160"/>
    </row>
    <row r="125" spans="2:15">
      <c r="B125" s="146">
        <v>41542</v>
      </c>
      <c r="C125" s="221" t="s">
        <v>217</v>
      </c>
      <c r="D125" s="99">
        <v>32151</v>
      </c>
      <c r="E125" s="221" t="s">
        <v>213</v>
      </c>
      <c r="O125" s="160"/>
    </row>
    <row r="126" spans="2:15">
      <c r="B126" s="146">
        <v>41495</v>
      </c>
      <c r="C126" s="221" t="s">
        <v>217</v>
      </c>
      <c r="D126" s="99">
        <v>9364</v>
      </c>
      <c r="E126" s="221" t="s">
        <v>210</v>
      </c>
      <c r="O126" s="160"/>
    </row>
    <row r="127" spans="2:15">
      <c r="B127" s="146">
        <v>41289</v>
      </c>
      <c r="C127" s="221" t="s">
        <v>218</v>
      </c>
      <c r="D127" s="99">
        <v>23684</v>
      </c>
      <c r="E127" s="221" t="s">
        <v>212</v>
      </c>
      <c r="O127" s="160"/>
    </row>
    <row r="128" spans="2:15">
      <c r="B128" s="146">
        <v>41849</v>
      </c>
      <c r="C128" s="221" t="s">
        <v>220</v>
      </c>
      <c r="D128" s="99">
        <v>23513</v>
      </c>
      <c r="E128" s="221" t="s">
        <v>210</v>
      </c>
      <c r="O128" s="160"/>
    </row>
    <row r="129" spans="2:15">
      <c r="B129" s="146">
        <v>41302</v>
      </c>
      <c r="C129" s="221" t="s">
        <v>219</v>
      </c>
      <c r="D129" s="99">
        <v>12526</v>
      </c>
      <c r="E129" s="221" t="s">
        <v>212</v>
      </c>
      <c r="O129" s="160"/>
    </row>
    <row r="130" spans="2:15">
      <c r="B130" s="146">
        <v>41291</v>
      </c>
      <c r="C130" s="221" t="s">
        <v>220</v>
      </c>
      <c r="D130" s="99">
        <v>19726</v>
      </c>
      <c r="E130" s="221" t="s">
        <v>210</v>
      </c>
      <c r="O130" s="160"/>
    </row>
    <row r="131" spans="2:15">
      <c r="B131" s="146">
        <v>41436</v>
      </c>
      <c r="C131" s="221" t="s">
        <v>218</v>
      </c>
      <c r="D131" s="99">
        <v>20669</v>
      </c>
      <c r="E131" s="221" t="s">
        <v>210</v>
      </c>
      <c r="O131" s="160"/>
    </row>
    <row r="132" spans="2:15">
      <c r="B132" s="146">
        <v>41373</v>
      </c>
      <c r="C132" s="221" t="s">
        <v>217</v>
      </c>
      <c r="D132" s="99">
        <v>20620</v>
      </c>
      <c r="E132" s="221" t="s">
        <v>212</v>
      </c>
      <c r="O132" s="160"/>
    </row>
    <row r="133" spans="2:15">
      <c r="B133" s="146">
        <v>41447</v>
      </c>
      <c r="C133" s="221" t="s">
        <v>217</v>
      </c>
      <c r="D133" s="99">
        <v>28928</v>
      </c>
      <c r="E133" s="221" t="s">
        <v>212</v>
      </c>
      <c r="O133" s="160"/>
    </row>
    <row r="134" spans="2:15">
      <c r="B134" s="146">
        <v>41802</v>
      </c>
      <c r="C134" s="221" t="s">
        <v>218</v>
      </c>
      <c r="D134" s="99">
        <v>16863</v>
      </c>
      <c r="E134" s="221" t="s">
        <v>212</v>
      </c>
      <c r="O134" s="160"/>
    </row>
    <row r="135" spans="2:15">
      <c r="B135" s="146">
        <v>41304</v>
      </c>
      <c r="C135" s="221" t="s">
        <v>217</v>
      </c>
      <c r="D135" s="99">
        <v>24624</v>
      </c>
      <c r="E135" s="221" t="s">
        <v>210</v>
      </c>
      <c r="O135" s="160"/>
    </row>
    <row r="136" spans="2:15">
      <c r="B136" s="146">
        <v>41831</v>
      </c>
      <c r="C136" s="221" t="s">
        <v>220</v>
      </c>
      <c r="D136" s="99">
        <v>11247</v>
      </c>
      <c r="E136" s="221" t="s">
        <v>212</v>
      </c>
      <c r="O136" s="160"/>
    </row>
    <row r="137" spans="2:15">
      <c r="B137" s="146">
        <v>41571</v>
      </c>
      <c r="C137" s="221" t="s">
        <v>217</v>
      </c>
      <c r="D137" s="99">
        <v>29676</v>
      </c>
      <c r="E137" s="221" t="s">
        <v>212</v>
      </c>
      <c r="O137" s="160"/>
    </row>
    <row r="138" spans="2:15">
      <c r="B138" s="146">
        <v>41758</v>
      </c>
      <c r="C138" s="221" t="s">
        <v>218</v>
      </c>
      <c r="D138" s="99">
        <v>22778</v>
      </c>
      <c r="E138" s="221" t="s">
        <v>213</v>
      </c>
      <c r="O138" s="160"/>
    </row>
    <row r="139" spans="2:15">
      <c r="B139" s="146">
        <v>41288</v>
      </c>
      <c r="C139" s="221" t="s">
        <v>217</v>
      </c>
      <c r="D139" s="99">
        <v>9462</v>
      </c>
      <c r="E139" s="221" t="s">
        <v>213</v>
      </c>
      <c r="O139" s="160"/>
    </row>
    <row r="140" spans="2:15">
      <c r="B140" s="146">
        <v>41403</v>
      </c>
      <c r="C140" s="221" t="s">
        <v>220</v>
      </c>
      <c r="D140" s="99">
        <v>5547</v>
      </c>
      <c r="E140" s="221" t="s">
        <v>212</v>
      </c>
      <c r="O140" s="160"/>
    </row>
    <row r="141" spans="2:15">
      <c r="B141" s="146">
        <v>41643</v>
      </c>
      <c r="C141" s="221" t="s">
        <v>220</v>
      </c>
      <c r="D141" s="99">
        <v>23363</v>
      </c>
      <c r="E141" s="221" t="s">
        <v>211</v>
      </c>
      <c r="O141" s="160"/>
    </row>
    <row r="142" spans="2:15">
      <c r="B142" s="146">
        <v>41499</v>
      </c>
      <c r="C142" s="221" t="s">
        <v>217</v>
      </c>
      <c r="D142" s="99">
        <v>6701</v>
      </c>
      <c r="E142" s="221" t="s">
        <v>213</v>
      </c>
      <c r="O142" s="160"/>
    </row>
    <row r="143" spans="2:15">
      <c r="B143" s="146">
        <v>41571</v>
      </c>
      <c r="C143" s="221" t="s">
        <v>218</v>
      </c>
      <c r="D143" s="99">
        <v>24254</v>
      </c>
      <c r="E143" s="221" t="s">
        <v>213</v>
      </c>
      <c r="O143" s="160"/>
    </row>
    <row r="144" spans="2:15">
      <c r="B144" s="146">
        <v>41433</v>
      </c>
      <c r="C144" s="221" t="s">
        <v>220</v>
      </c>
      <c r="D144" s="99">
        <v>12668</v>
      </c>
      <c r="E144" s="221" t="s">
        <v>211</v>
      </c>
      <c r="O144" s="160"/>
    </row>
    <row r="145" spans="2:15">
      <c r="B145" s="146">
        <v>41658</v>
      </c>
      <c r="C145" s="221" t="s">
        <v>218</v>
      </c>
      <c r="D145" s="99">
        <v>13083</v>
      </c>
      <c r="E145" s="221" t="s">
        <v>212</v>
      </c>
      <c r="O145" s="160"/>
    </row>
    <row r="146" spans="2:15">
      <c r="B146" s="146">
        <v>41421</v>
      </c>
      <c r="C146" s="221" t="s">
        <v>220</v>
      </c>
      <c r="D146" s="99">
        <v>22663</v>
      </c>
      <c r="E146" s="221" t="s">
        <v>212</v>
      </c>
      <c r="O146" s="160"/>
    </row>
    <row r="147" spans="2:15">
      <c r="B147" s="146">
        <v>41873</v>
      </c>
      <c r="C147" s="221" t="s">
        <v>220</v>
      </c>
      <c r="D147" s="99">
        <v>36680</v>
      </c>
      <c r="E147" s="221" t="s">
        <v>211</v>
      </c>
      <c r="O147" s="160"/>
    </row>
    <row r="148" spans="2:15">
      <c r="B148" s="146">
        <v>41573</v>
      </c>
      <c r="C148" s="221" t="s">
        <v>220</v>
      </c>
      <c r="D148" s="99">
        <v>21584</v>
      </c>
      <c r="E148" s="221" t="s">
        <v>212</v>
      </c>
      <c r="O148" s="160"/>
    </row>
    <row r="149" spans="2:15">
      <c r="B149" s="146">
        <v>41457</v>
      </c>
      <c r="C149" s="221" t="s">
        <v>219</v>
      </c>
      <c r="D149" s="99">
        <v>5596</v>
      </c>
      <c r="E149" s="221" t="s">
        <v>210</v>
      </c>
      <c r="O149" s="160"/>
    </row>
    <row r="150" spans="2:15">
      <c r="B150" s="146">
        <v>41889</v>
      </c>
      <c r="C150" s="221" t="s">
        <v>220</v>
      </c>
      <c r="D150" s="99">
        <v>23199</v>
      </c>
      <c r="E150" s="221" t="s">
        <v>212</v>
      </c>
      <c r="O150" s="160"/>
    </row>
    <row r="151" spans="2:15">
      <c r="B151" s="146">
        <v>41192</v>
      </c>
      <c r="C151" s="221" t="s">
        <v>217</v>
      </c>
      <c r="D151" s="99">
        <v>38287</v>
      </c>
      <c r="E151" s="221" t="s">
        <v>211</v>
      </c>
      <c r="O151" s="160"/>
    </row>
    <row r="152" spans="2:15">
      <c r="B152" s="146">
        <v>41279</v>
      </c>
      <c r="C152" s="221" t="s">
        <v>218</v>
      </c>
      <c r="D152" s="99">
        <v>23866</v>
      </c>
      <c r="E152" s="221" t="s">
        <v>211</v>
      </c>
      <c r="O152" s="160"/>
    </row>
    <row r="153" spans="2:15">
      <c r="B153" s="146">
        <v>41160</v>
      </c>
      <c r="C153" s="221" t="s">
        <v>219</v>
      </c>
      <c r="D153" s="99">
        <v>11379</v>
      </c>
      <c r="E153" s="221" t="s">
        <v>210</v>
      </c>
      <c r="O153" s="160"/>
    </row>
    <row r="154" spans="2:15">
      <c r="B154" s="146">
        <v>41285</v>
      </c>
      <c r="C154" s="221" t="s">
        <v>220</v>
      </c>
      <c r="D154" s="99">
        <v>8474</v>
      </c>
      <c r="E154" s="221" t="s">
        <v>213</v>
      </c>
      <c r="O154" s="160"/>
    </row>
    <row r="155" spans="2:15">
      <c r="B155" s="146">
        <v>41539</v>
      </c>
      <c r="C155" s="221" t="s">
        <v>218</v>
      </c>
      <c r="D155" s="99">
        <v>33638</v>
      </c>
      <c r="E155" s="221" t="s">
        <v>210</v>
      </c>
      <c r="O155" s="160"/>
    </row>
    <row r="156" spans="2:15">
      <c r="B156" s="146">
        <v>41626</v>
      </c>
      <c r="C156" s="221" t="s">
        <v>218</v>
      </c>
      <c r="D156" s="99">
        <v>31581</v>
      </c>
      <c r="E156" s="221" t="s">
        <v>210</v>
      </c>
      <c r="O156" s="160"/>
    </row>
    <row r="157" spans="2:15">
      <c r="B157" s="146">
        <v>41741</v>
      </c>
      <c r="C157" s="221" t="s">
        <v>218</v>
      </c>
      <c r="D157" s="99">
        <v>12537</v>
      </c>
      <c r="E157" s="221" t="s">
        <v>213</v>
      </c>
      <c r="O157" s="160"/>
    </row>
    <row r="158" spans="2:15">
      <c r="B158" s="146">
        <v>41419</v>
      </c>
      <c r="C158" s="221" t="s">
        <v>219</v>
      </c>
      <c r="D158" s="99">
        <v>27226</v>
      </c>
      <c r="E158" s="221" t="s">
        <v>210</v>
      </c>
      <c r="O158" s="160"/>
    </row>
    <row r="159" spans="2:15">
      <c r="B159" s="146">
        <v>41186</v>
      </c>
      <c r="C159" s="221" t="s">
        <v>218</v>
      </c>
      <c r="D159" s="99">
        <v>15771</v>
      </c>
      <c r="E159" s="221" t="s">
        <v>211</v>
      </c>
      <c r="O159" s="160"/>
    </row>
    <row r="160" spans="2:15">
      <c r="B160" s="146">
        <v>41361</v>
      </c>
      <c r="C160" s="221" t="s">
        <v>218</v>
      </c>
      <c r="D160" s="99">
        <v>8938</v>
      </c>
      <c r="E160" s="221" t="s">
        <v>213</v>
      </c>
      <c r="O160" s="160"/>
    </row>
    <row r="161" spans="2:15">
      <c r="B161" s="146">
        <v>41998</v>
      </c>
      <c r="C161" s="221" t="s">
        <v>220</v>
      </c>
      <c r="D161" s="99">
        <v>13110</v>
      </c>
      <c r="E161" s="221" t="s">
        <v>211</v>
      </c>
      <c r="O161" s="160"/>
    </row>
    <row r="162" spans="2:15">
      <c r="B162" s="146">
        <v>41669</v>
      </c>
      <c r="C162" s="221" t="s">
        <v>218</v>
      </c>
      <c r="D162" s="99">
        <v>18357</v>
      </c>
      <c r="E162" s="221" t="s">
        <v>213</v>
      </c>
      <c r="O162" s="160"/>
    </row>
    <row r="163" spans="2:15">
      <c r="B163" s="146">
        <v>41929</v>
      </c>
      <c r="C163" s="221" t="s">
        <v>217</v>
      </c>
      <c r="D163" s="99">
        <v>26686</v>
      </c>
      <c r="E163" s="221" t="s">
        <v>213</v>
      </c>
      <c r="O163" s="160"/>
    </row>
    <row r="164" spans="2:15">
      <c r="B164" s="146">
        <v>41417</v>
      </c>
      <c r="C164" s="221" t="s">
        <v>220</v>
      </c>
      <c r="D164" s="99">
        <v>12551</v>
      </c>
      <c r="E164" s="221" t="s">
        <v>211</v>
      </c>
      <c r="O164" s="160"/>
    </row>
    <row r="165" spans="2:15">
      <c r="B165" s="146">
        <v>41527</v>
      </c>
      <c r="C165" s="221" t="s">
        <v>219</v>
      </c>
      <c r="D165" s="99">
        <v>34945</v>
      </c>
      <c r="E165" s="221" t="s">
        <v>213</v>
      </c>
      <c r="O165" s="160"/>
    </row>
    <row r="166" spans="2:15">
      <c r="B166" s="146">
        <v>41208</v>
      </c>
      <c r="C166" s="221" t="s">
        <v>217</v>
      </c>
      <c r="D166" s="99">
        <v>17783</v>
      </c>
      <c r="E166" s="221" t="s">
        <v>212</v>
      </c>
      <c r="O166" s="160"/>
    </row>
    <row r="167" spans="2:15">
      <c r="B167" s="146">
        <v>41308</v>
      </c>
      <c r="C167" s="221" t="s">
        <v>217</v>
      </c>
      <c r="D167" s="99">
        <v>39834</v>
      </c>
      <c r="E167" s="221" t="s">
        <v>210</v>
      </c>
      <c r="O167" s="160"/>
    </row>
    <row r="168" spans="2:15">
      <c r="B168" s="146">
        <v>41234</v>
      </c>
      <c r="C168" s="221" t="s">
        <v>220</v>
      </c>
      <c r="D168" s="99">
        <v>19036</v>
      </c>
      <c r="E168" s="221" t="s">
        <v>212</v>
      </c>
      <c r="O168" s="160"/>
    </row>
    <row r="169" spans="2:15">
      <c r="B169" s="146">
        <v>41475</v>
      </c>
      <c r="C169" s="221" t="s">
        <v>220</v>
      </c>
      <c r="D169" s="99">
        <v>30367</v>
      </c>
      <c r="E169" s="221" t="s">
        <v>211</v>
      </c>
      <c r="O169" s="160"/>
    </row>
    <row r="170" spans="2:15">
      <c r="B170" s="146">
        <v>41874</v>
      </c>
      <c r="C170" s="221" t="s">
        <v>220</v>
      </c>
      <c r="D170" s="99">
        <v>17576</v>
      </c>
      <c r="E170" s="221" t="s">
        <v>211</v>
      </c>
      <c r="O170" s="160"/>
    </row>
    <row r="171" spans="2:15">
      <c r="B171" s="146">
        <v>41408</v>
      </c>
      <c r="C171" s="221" t="s">
        <v>220</v>
      </c>
      <c r="D171" s="99">
        <v>35056</v>
      </c>
      <c r="E171" s="221" t="s">
        <v>213</v>
      </c>
      <c r="O171" s="160"/>
    </row>
    <row r="172" spans="2:15">
      <c r="B172" s="146">
        <v>41318</v>
      </c>
      <c r="C172" s="221" t="s">
        <v>219</v>
      </c>
      <c r="D172" s="99">
        <v>21240</v>
      </c>
      <c r="E172" s="221" t="s">
        <v>210</v>
      </c>
      <c r="O172" s="160"/>
    </row>
    <row r="173" spans="2:15">
      <c r="B173" s="146">
        <v>41563</v>
      </c>
      <c r="C173" s="221" t="s">
        <v>220</v>
      </c>
      <c r="D173" s="99">
        <v>5341</v>
      </c>
      <c r="E173" s="221" t="s">
        <v>213</v>
      </c>
      <c r="O173" s="160"/>
    </row>
    <row r="174" spans="2:15">
      <c r="B174" s="146">
        <v>41433</v>
      </c>
      <c r="C174" s="221" t="s">
        <v>220</v>
      </c>
      <c r="D174" s="99">
        <v>34499</v>
      </c>
      <c r="E174" s="221" t="s">
        <v>211</v>
      </c>
      <c r="O174" s="160"/>
    </row>
    <row r="175" spans="2:15">
      <c r="B175" s="146">
        <v>41452</v>
      </c>
      <c r="C175" s="221" t="s">
        <v>217</v>
      </c>
      <c r="D175" s="99">
        <v>38781</v>
      </c>
      <c r="E175" s="221" t="s">
        <v>213</v>
      </c>
      <c r="O175" s="160"/>
    </row>
    <row r="176" spans="2:15">
      <c r="B176" s="146">
        <v>41405</v>
      </c>
      <c r="C176" s="221" t="s">
        <v>219</v>
      </c>
      <c r="D176" s="99">
        <v>13248</v>
      </c>
      <c r="E176" s="221" t="s">
        <v>212</v>
      </c>
      <c r="O176" s="160"/>
    </row>
    <row r="177" spans="2:15">
      <c r="B177" s="146">
        <v>41889</v>
      </c>
      <c r="C177" s="221" t="s">
        <v>218</v>
      </c>
      <c r="D177" s="99">
        <v>21123</v>
      </c>
      <c r="E177" s="221" t="s">
        <v>212</v>
      </c>
      <c r="O177" s="160"/>
    </row>
    <row r="178" spans="2:15">
      <c r="B178" s="146">
        <v>41228</v>
      </c>
      <c r="C178" s="221" t="s">
        <v>220</v>
      </c>
      <c r="D178" s="99">
        <v>38268</v>
      </c>
      <c r="E178" s="221" t="s">
        <v>213</v>
      </c>
      <c r="O178" s="160"/>
    </row>
    <row r="179" spans="2:15">
      <c r="B179" s="146">
        <v>41525</v>
      </c>
      <c r="C179" s="221" t="s">
        <v>219</v>
      </c>
      <c r="D179" s="99">
        <v>13207</v>
      </c>
      <c r="E179" s="221" t="s">
        <v>212</v>
      </c>
      <c r="O179" s="160"/>
    </row>
    <row r="180" spans="2:15">
      <c r="B180" s="146">
        <v>41473</v>
      </c>
      <c r="C180" s="221" t="s">
        <v>217</v>
      </c>
      <c r="D180" s="99">
        <v>21421</v>
      </c>
      <c r="E180" s="221" t="s">
        <v>211</v>
      </c>
      <c r="O180" s="160"/>
    </row>
    <row r="181" spans="2:15">
      <c r="B181" s="146">
        <v>41797</v>
      </c>
      <c r="C181" s="221" t="s">
        <v>217</v>
      </c>
      <c r="D181" s="99">
        <v>14717</v>
      </c>
      <c r="E181" s="221" t="s">
        <v>211</v>
      </c>
      <c r="O181" s="160"/>
    </row>
    <row r="182" spans="2:15">
      <c r="B182" s="146">
        <v>41155</v>
      </c>
      <c r="C182" s="221" t="s">
        <v>220</v>
      </c>
      <c r="D182" s="99">
        <v>34076</v>
      </c>
      <c r="E182" s="221" t="s">
        <v>212</v>
      </c>
      <c r="O182" s="160"/>
    </row>
    <row r="183" spans="2:15">
      <c r="B183" s="146">
        <v>41348</v>
      </c>
      <c r="C183" s="221" t="s">
        <v>217</v>
      </c>
      <c r="D183" s="99">
        <v>9076</v>
      </c>
      <c r="E183" s="221" t="s">
        <v>210</v>
      </c>
      <c r="O183" s="160"/>
    </row>
    <row r="184" spans="2:15">
      <c r="B184" s="146">
        <v>41141</v>
      </c>
      <c r="C184" s="221" t="s">
        <v>219</v>
      </c>
      <c r="D184" s="99">
        <v>5068</v>
      </c>
      <c r="E184" s="221" t="s">
        <v>211</v>
      </c>
      <c r="O184" s="160"/>
    </row>
    <row r="185" spans="2:15">
      <c r="B185" s="146">
        <v>41621</v>
      </c>
      <c r="C185" s="221" t="s">
        <v>220</v>
      </c>
      <c r="D185" s="99">
        <v>22417</v>
      </c>
      <c r="E185" s="221" t="s">
        <v>212</v>
      </c>
      <c r="O185" s="160"/>
    </row>
    <row r="186" spans="2:15">
      <c r="B186" s="146">
        <v>42000</v>
      </c>
      <c r="C186" s="221" t="s">
        <v>217</v>
      </c>
      <c r="D186" s="99">
        <v>26889</v>
      </c>
      <c r="E186" s="221" t="s">
        <v>211</v>
      </c>
      <c r="O186" s="160"/>
    </row>
    <row r="187" spans="2:15">
      <c r="B187" s="146">
        <v>41834</v>
      </c>
      <c r="C187" s="221" t="s">
        <v>217</v>
      </c>
      <c r="D187" s="99">
        <v>17592</v>
      </c>
      <c r="E187" s="221" t="s">
        <v>210</v>
      </c>
      <c r="O187" s="160"/>
    </row>
    <row r="188" spans="2:15">
      <c r="B188" s="146">
        <v>41909</v>
      </c>
      <c r="C188" s="221" t="s">
        <v>218</v>
      </c>
      <c r="D188" s="99">
        <v>26174</v>
      </c>
      <c r="E188" s="221" t="s">
        <v>210</v>
      </c>
      <c r="O188" s="160"/>
    </row>
    <row r="189" spans="2:15">
      <c r="B189" s="146">
        <v>41461</v>
      </c>
      <c r="C189" s="221" t="s">
        <v>218</v>
      </c>
      <c r="D189" s="99">
        <v>28585</v>
      </c>
      <c r="E189" s="221" t="s">
        <v>210</v>
      </c>
      <c r="O189" s="160"/>
    </row>
    <row r="190" spans="2:15">
      <c r="B190" s="146">
        <v>41860</v>
      </c>
      <c r="C190" s="221" t="s">
        <v>219</v>
      </c>
      <c r="D190" s="99">
        <v>29390</v>
      </c>
      <c r="E190" s="221" t="s">
        <v>213</v>
      </c>
      <c r="O190" s="160"/>
    </row>
    <row r="191" spans="2:15">
      <c r="B191" s="146">
        <v>41350</v>
      </c>
      <c r="C191" s="221" t="s">
        <v>220</v>
      </c>
      <c r="D191" s="99">
        <v>37511</v>
      </c>
      <c r="E191" s="221" t="s">
        <v>210</v>
      </c>
      <c r="O191" s="160"/>
    </row>
    <row r="192" spans="2:15">
      <c r="B192" s="146">
        <v>41827</v>
      </c>
      <c r="C192" s="221" t="s">
        <v>220</v>
      </c>
      <c r="D192" s="99">
        <v>6419</v>
      </c>
      <c r="E192" s="221" t="s">
        <v>210</v>
      </c>
      <c r="O192" s="160"/>
    </row>
    <row r="193" spans="2:15">
      <c r="B193" s="146">
        <v>41327</v>
      </c>
      <c r="C193" s="221" t="s">
        <v>219</v>
      </c>
      <c r="D193" s="99">
        <v>5996</v>
      </c>
      <c r="E193" s="221" t="s">
        <v>210</v>
      </c>
      <c r="O193" s="160"/>
    </row>
    <row r="194" spans="2:15">
      <c r="B194" s="146">
        <v>41762</v>
      </c>
      <c r="C194" s="221" t="s">
        <v>217</v>
      </c>
      <c r="D194" s="99">
        <v>11064</v>
      </c>
      <c r="E194" s="221" t="s">
        <v>213</v>
      </c>
      <c r="O194" s="160"/>
    </row>
    <row r="195" spans="2:15">
      <c r="B195" s="146">
        <v>41895</v>
      </c>
      <c r="C195" s="221" t="s">
        <v>217</v>
      </c>
      <c r="D195" s="99">
        <v>25359</v>
      </c>
      <c r="E195" s="221" t="s">
        <v>213</v>
      </c>
      <c r="O195" s="160"/>
    </row>
    <row r="196" spans="2:15">
      <c r="B196" s="146">
        <v>41970</v>
      </c>
      <c r="C196" s="221" t="s">
        <v>217</v>
      </c>
      <c r="D196" s="99">
        <v>5073</v>
      </c>
      <c r="E196" s="221" t="s">
        <v>212</v>
      </c>
      <c r="O196" s="160"/>
    </row>
    <row r="197" spans="2:15">
      <c r="B197" s="146">
        <v>41573</v>
      </c>
      <c r="C197" s="221" t="s">
        <v>220</v>
      </c>
      <c r="D197" s="99">
        <v>33302</v>
      </c>
      <c r="E197" s="221" t="s">
        <v>213</v>
      </c>
      <c r="O197" s="160"/>
    </row>
    <row r="198" spans="2:15">
      <c r="B198" s="146">
        <v>41256</v>
      </c>
      <c r="C198" s="221" t="s">
        <v>220</v>
      </c>
      <c r="D198" s="99">
        <v>6463</v>
      </c>
      <c r="E198" s="221" t="s">
        <v>210</v>
      </c>
      <c r="O198" s="160"/>
    </row>
    <row r="199" spans="2:15">
      <c r="B199" s="146">
        <v>41581</v>
      </c>
      <c r="C199" s="221" t="s">
        <v>220</v>
      </c>
      <c r="D199" s="99">
        <v>23047</v>
      </c>
      <c r="E199" s="221" t="s">
        <v>210</v>
      </c>
      <c r="O199" s="160"/>
    </row>
    <row r="200" spans="2:15">
      <c r="B200" s="146">
        <v>41928</v>
      </c>
      <c r="C200" s="221" t="s">
        <v>220</v>
      </c>
      <c r="D200" s="99">
        <v>39666</v>
      </c>
      <c r="E200" s="221" t="s">
        <v>212</v>
      </c>
      <c r="O200" s="160"/>
    </row>
    <row r="201" spans="2:15">
      <c r="B201" s="146">
        <v>41834</v>
      </c>
      <c r="C201" s="221" t="s">
        <v>218</v>
      </c>
      <c r="D201" s="99">
        <v>30845</v>
      </c>
      <c r="E201" s="221" t="s">
        <v>210</v>
      </c>
      <c r="O201" s="160"/>
    </row>
    <row r="202" spans="2:15">
      <c r="B202" s="146">
        <v>41980</v>
      </c>
      <c r="C202" s="221" t="s">
        <v>218</v>
      </c>
      <c r="D202" s="99">
        <v>5726</v>
      </c>
      <c r="E202" s="221" t="s">
        <v>212</v>
      </c>
      <c r="O202" s="160"/>
    </row>
    <row r="203" spans="2:15">
      <c r="B203" s="146">
        <v>41757</v>
      </c>
      <c r="C203" s="221" t="s">
        <v>220</v>
      </c>
      <c r="D203" s="99">
        <v>37876</v>
      </c>
      <c r="E203" s="221" t="s">
        <v>210</v>
      </c>
      <c r="O203" s="160"/>
    </row>
    <row r="204" spans="2:15">
      <c r="B204" s="146">
        <v>41781</v>
      </c>
      <c r="C204" s="221" t="s">
        <v>218</v>
      </c>
      <c r="D204" s="99">
        <v>21009</v>
      </c>
      <c r="E204" s="221" t="s">
        <v>213</v>
      </c>
      <c r="O204" s="160"/>
    </row>
    <row r="205" spans="2:15">
      <c r="B205" s="146">
        <v>41309</v>
      </c>
      <c r="C205" s="221" t="s">
        <v>219</v>
      </c>
      <c r="D205" s="99">
        <v>37153</v>
      </c>
      <c r="E205" s="221" t="s">
        <v>211</v>
      </c>
      <c r="O205" s="160"/>
    </row>
    <row r="206" spans="2:15">
      <c r="B206" s="146">
        <v>41772</v>
      </c>
      <c r="C206" s="221" t="s">
        <v>218</v>
      </c>
      <c r="D206" s="99">
        <v>28368</v>
      </c>
      <c r="E206" s="221" t="s">
        <v>212</v>
      </c>
      <c r="O206" s="160"/>
    </row>
    <row r="207" spans="2:15">
      <c r="B207" s="146">
        <v>41725</v>
      </c>
      <c r="C207" s="221" t="s">
        <v>217</v>
      </c>
      <c r="D207" s="99">
        <v>23210</v>
      </c>
      <c r="E207" s="221" t="s">
        <v>211</v>
      </c>
      <c r="O207" s="160"/>
    </row>
    <row r="208" spans="2:15">
      <c r="B208" s="146">
        <v>42010</v>
      </c>
      <c r="C208" s="221" t="s">
        <v>219</v>
      </c>
      <c r="D208" s="99">
        <v>31432</v>
      </c>
      <c r="E208" s="221" t="s">
        <v>212</v>
      </c>
      <c r="O208" s="160"/>
    </row>
    <row r="209" spans="2:15">
      <c r="B209" s="146">
        <v>41846</v>
      </c>
      <c r="C209" s="221" t="s">
        <v>219</v>
      </c>
      <c r="D209" s="99">
        <v>36110</v>
      </c>
      <c r="E209" s="221" t="s">
        <v>213</v>
      </c>
      <c r="O209" s="160"/>
    </row>
    <row r="210" spans="2:15">
      <c r="B210" s="146">
        <v>41646</v>
      </c>
      <c r="C210" s="221" t="s">
        <v>217</v>
      </c>
      <c r="D210" s="99">
        <v>13143</v>
      </c>
      <c r="E210" s="221" t="s">
        <v>212</v>
      </c>
      <c r="O210" s="160"/>
    </row>
    <row r="211" spans="2:15">
      <c r="B211" s="146">
        <v>41933</v>
      </c>
      <c r="C211" s="221" t="s">
        <v>218</v>
      </c>
      <c r="D211" s="99">
        <v>9417</v>
      </c>
      <c r="E211" s="221" t="s">
        <v>211</v>
      </c>
      <c r="O211" s="160"/>
    </row>
    <row r="212" spans="2:15">
      <c r="B212" s="146">
        <v>41305</v>
      </c>
      <c r="C212" s="221" t="s">
        <v>218</v>
      </c>
      <c r="D212" s="99">
        <v>5548</v>
      </c>
      <c r="E212" s="221" t="s">
        <v>212</v>
      </c>
      <c r="O212" s="160"/>
    </row>
    <row r="213" spans="2:15">
      <c r="B213" s="146">
        <v>41517</v>
      </c>
      <c r="C213" s="221" t="s">
        <v>217</v>
      </c>
      <c r="D213" s="99">
        <v>9601</v>
      </c>
      <c r="E213" s="221" t="s">
        <v>211</v>
      </c>
      <c r="O213" s="160"/>
    </row>
    <row r="214" spans="2:15">
      <c r="B214" s="146">
        <v>41404</v>
      </c>
      <c r="C214" s="221" t="s">
        <v>217</v>
      </c>
      <c r="D214" s="99">
        <v>31457</v>
      </c>
      <c r="E214" s="221" t="s">
        <v>211</v>
      </c>
      <c r="O214" s="160"/>
    </row>
    <row r="215" spans="2:15">
      <c r="B215" s="146">
        <v>41908</v>
      </c>
      <c r="C215" s="221" t="s">
        <v>219</v>
      </c>
      <c r="D215" s="99">
        <v>19247</v>
      </c>
      <c r="E215" s="221" t="s">
        <v>213</v>
      </c>
      <c r="O215" s="160"/>
    </row>
    <row r="216" spans="2:15">
      <c r="B216" s="146">
        <v>41369</v>
      </c>
      <c r="C216" s="221" t="s">
        <v>219</v>
      </c>
      <c r="D216" s="99">
        <v>7305</v>
      </c>
      <c r="E216" s="221" t="s">
        <v>210</v>
      </c>
      <c r="O216" s="160"/>
    </row>
    <row r="217" spans="2:15">
      <c r="B217" s="146">
        <v>41579</v>
      </c>
      <c r="C217" s="221" t="s">
        <v>219</v>
      </c>
      <c r="D217" s="99">
        <v>33693</v>
      </c>
      <c r="E217" s="221" t="s">
        <v>210</v>
      </c>
      <c r="O217" s="160"/>
    </row>
    <row r="218" spans="2:15">
      <c r="B218" s="146">
        <v>41966</v>
      </c>
      <c r="C218" s="221" t="s">
        <v>220</v>
      </c>
      <c r="D218" s="99">
        <v>14560</v>
      </c>
      <c r="E218" s="221" t="s">
        <v>211</v>
      </c>
      <c r="O218" s="160"/>
    </row>
    <row r="219" spans="2:15">
      <c r="B219" s="146">
        <v>41974</v>
      </c>
      <c r="C219" s="221" t="s">
        <v>219</v>
      </c>
      <c r="D219" s="99">
        <v>11784</v>
      </c>
      <c r="E219" s="221" t="s">
        <v>212</v>
      </c>
      <c r="O219" s="160"/>
    </row>
    <row r="220" spans="2:15">
      <c r="B220" s="146">
        <v>41558</v>
      </c>
      <c r="C220" s="221" t="s">
        <v>219</v>
      </c>
      <c r="D220" s="99">
        <v>16602</v>
      </c>
      <c r="E220" s="221" t="s">
        <v>210</v>
      </c>
      <c r="O220" s="160"/>
    </row>
    <row r="221" spans="2:15">
      <c r="B221" s="146">
        <v>41218</v>
      </c>
      <c r="C221" s="221" t="s">
        <v>218</v>
      </c>
      <c r="D221" s="99">
        <v>17888</v>
      </c>
      <c r="E221" s="221" t="s">
        <v>213</v>
      </c>
      <c r="O221" s="160"/>
    </row>
    <row r="222" spans="2:15">
      <c r="B222" s="146">
        <v>41176</v>
      </c>
      <c r="C222" s="221" t="s">
        <v>220</v>
      </c>
      <c r="D222" s="99">
        <v>39649</v>
      </c>
      <c r="E222" s="221" t="s">
        <v>211</v>
      </c>
      <c r="O222" s="160"/>
    </row>
    <row r="223" spans="2:15">
      <c r="B223" s="146">
        <v>41403</v>
      </c>
      <c r="C223" s="221" t="s">
        <v>219</v>
      </c>
      <c r="D223" s="99">
        <v>34013</v>
      </c>
      <c r="E223" s="221" t="s">
        <v>212</v>
      </c>
      <c r="O223" s="160"/>
    </row>
    <row r="224" spans="2:15">
      <c r="B224" s="146">
        <v>41913</v>
      </c>
      <c r="C224" s="221" t="s">
        <v>220</v>
      </c>
      <c r="D224" s="99">
        <v>24997</v>
      </c>
      <c r="E224" s="221" t="s">
        <v>210</v>
      </c>
      <c r="O224" s="160"/>
    </row>
    <row r="225" spans="2:15">
      <c r="B225" s="146">
        <v>41610</v>
      </c>
      <c r="C225" s="221" t="s">
        <v>218</v>
      </c>
      <c r="D225" s="99">
        <v>21128</v>
      </c>
      <c r="E225" s="221" t="s">
        <v>211</v>
      </c>
      <c r="O225" s="160"/>
    </row>
    <row r="226" spans="2:15">
      <c r="B226" s="146">
        <v>41949</v>
      </c>
      <c r="C226" s="221" t="s">
        <v>217</v>
      </c>
      <c r="D226" s="99">
        <v>29897</v>
      </c>
      <c r="E226" s="221" t="s">
        <v>210</v>
      </c>
      <c r="O226" s="160"/>
    </row>
    <row r="227" spans="2:15">
      <c r="B227" s="146">
        <v>41675</v>
      </c>
      <c r="C227" s="221" t="s">
        <v>217</v>
      </c>
      <c r="D227" s="99">
        <v>26963</v>
      </c>
      <c r="E227" s="221" t="s">
        <v>213</v>
      </c>
      <c r="O227" s="160"/>
    </row>
    <row r="228" spans="2:15">
      <c r="B228" s="146">
        <v>41183</v>
      </c>
      <c r="C228" s="221" t="s">
        <v>220</v>
      </c>
      <c r="D228" s="99">
        <v>39832</v>
      </c>
      <c r="E228" s="221" t="s">
        <v>213</v>
      </c>
      <c r="O228" s="160"/>
    </row>
    <row r="229" spans="2:15">
      <c r="B229" s="146">
        <v>41936</v>
      </c>
      <c r="C229" s="221" t="s">
        <v>220</v>
      </c>
      <c r="D229" s="99">
        <v>23508</v>
      </c>
      <c r="E229" s="221" t="s">
        <v>212</v>
      </c>
      <c r="O229" s="160"/>
    </row>
    <row r="230" spans="2:15">
      <c r="B230" s="146">
        <v>41632</v>
      </c>
      <c r="C230" s="221" t="s">
        <v>220</v>
      </c>
      <c r="D230" s="99">
        <v>12704</v>
      </c>
      <c r="E230" s="221" t="s">
        <v>213</v>
      </c>
      <c r="O230" s="160"/>
    </row>
    <row r="231" spans="2:15">
      <c r="B231" s="146">
        <v>41871</v>
      </c>
      <c r="C231" s="221" t="s">
        <v>220</v>
      </c>
      <c r="D231" s="99">
        <v>12342</v>
      </c>
      <c r="E231" s="221" t="s">
        <v>210</v>
      </c>
      <c r="O231" s="160"/>
    </row>
    <row r="232" spans="2:15">
      <c r="B232" s="146">
        <v>41802</v>
      </c>
      <c r="C232" s="221" t="s">
        <v>220</v>
      </c>
      <c r="D232" s="99">
        <v>22693</v>
      </c>
      <c r="E232" s="221" t="s">
        <v>212</v>
      </c>
      <c r="O232" s="160"/>
    </row>
    <row r="233" spans="2:15">
      <c r="B233" s="146">
        <v>41123</v>
      </c>
      <c r="C233" s="221" t="s">
        <v>217</v>
      </c>
      <c r="D233" s="99">
        <v>10578</v>
      </c>
      <c r="E233" s="221" t="s">
        <v>211</v>
      </c>
      <c r="O233" s="160"/>
    </row>
    <row r="234" spans="2:15">
      <c r="B234" s="146">
        <v>41296</v>
      </c>
      <c r="C234" s="221" t="s">
        <v>218</v>
      </c>
      <c r="D234" s="99">
        <v>22523</v>
      </c>
      <c r="E234" s="221" t="s">
        <v>212</v>
      </c>
      <c r="O234" s="160"/>
    </row>
    <row r="235" spans="2:15">
      <c r="B235" s="146">
        <v>41705</v>
      </c>
      <c r="C235" s="221" t="s">
        <v>217</v>
      </c>
      <c r="D235" s="99">
        <v>30855</v>
      </c>
      <c r="E235" s="221" t="s">
        <v>210</v>
      </c>
      <c r="O235" s="160"/>
    </row>
    <row r="236" spans="2:15">
      <c r="B236" s="146">
        <v>41378</v>
      </c>
      <c r="C236" s="221" t="s">
        <v>218</v>
      </c>
      <c r="D236" s="99">
        <v>21219</v>
      </c>
      <c r="E236" s="221" t="s">
        <v>212</v>
      </c>
      <c r="O236" s="160"/>
    </row>
    <row r="237" spans="2:15">
      <c r="B237" s="146">
        <v>42010</v>
      </c>
      <c r="C237" s="221" t="s">
        <v>217</v>
      </c>
      <c r="D237" s="99">
        <v>11050</v>
      </c>
      <c r="E237" s="221" t="s">
        <v>211</v>
      </c>
      <c r="O237" s="160"/>
    </row>
    <row r="238" spans="2:15">
      <c r="B238" s="146">
        <v>41807</v>
      </c>
      <c r="C238" s="221" t="s">
        <v>218</v>
      </c>
      <c r="D238" s="99">
        <v>31079</v>
      </c>
      <c r="E238" s="221" t="s">
        <v>213</v>
      </c>
      <c r="O238" s="160"/>
    </row>
    <row r="239" spans="2:15">
      <c r="B239" s="146">
        <v>41439</v>
      </c>
      <c r="C239" s="221" t="s">
        <v>219</v>
      </c>
      <c r="D239" s="99">
        <v>17805</v>
      </c>
      <c r="E239" s="221" t="s">
        <v>213</v>
      </c>
      <c r="O239" s="160"/>
    </row>
    <row r="240" spans="2:15">
      <c r="B240" s="146">
        <v>41783</v>
      </c>
      <c r="C240" s="221" t="s">
        <v>220</v>
      </c>
      <c r="D240" s="99">
        <v>32370</v>
      </c>
      <c r="E240" s="221" t="s">
        <v>213</v>
      </c>
      <c r="O240" s="160"/>
    </row>
    <row r="241" spans="2:15">
      <c r="B241" s="146">
        <v>41819</v>
      </c>
      <c r="C241" s="221" t="s">
        <v>219</v>
      </c>
      <c r="D241" s="99">
        <v>38769</v>
      </c>
      <c r="E241" s="221" t="s">
        <v>210</v>
      </c>
      <c r="O241" s="160"/>
    </row>
    <row r="242" spans="2:15">
      <c r="B242" s="146">
        <v>41599</v>
      </c>
      <c r="C242" s="221" t="s">
        <v>219</v>
      </c>
      <c r="D242" s="99">
        <v>23308</v>
      </c>
      <c r="E242" s="221" t="s">
        <v>210</v>
      </c>
      <c r="O242" s="160"/>
    </row>
    <row r="243" spans="2:15">
      <c r="B243" s="146">
        <v>41204</v>
      </c>
      <c r="C243" s="221" t="s">
        <v>218</v>
      </c>
      <c r="D243" s="99">
        <v>33014</v>
      </c>
      <c r="E243" s="221" t="s">
        <v>213</v>
      </c>
      <c r="O243" s="160"/>
    </row>
    <row r="244" spans="2:15">
      <c r="B244" s="146">
        <v>41153</v>
      </c>
      <c r="C244" s="221" t="s">
        <v>220</v>
      </c>
      <c r="D244" s="99">
        <v>8177</v>
      </c>
      <c r="E244" s="221" t="s">
        <v>213</v>
      </c>
      <c r="O244" s="160"/>
    </row>
    <row r="245" spans="2:15">
      <c r="B245" s="146">
        <v>41889</v>
      </c>
      <c r="C245" s="221" t="s">
        <v>219</v>
      </c>
      <c r="D245" s="99">
        <v>36744</v>
      </c>
      <c r="E245" s="221" t="s">
        <v>211</v>
      </c>
      <c r="O245" s="160"/>
    </row>
    <row r="246" spans="2:15">
      <c r="B246" s="146">
        <v>41583</v>
      </c>
      <c r="C246" s="221" t="s">
        <v>220</v>
      </c>
      <c r="D246" s="99">
        <v>14862</v>
      </c>
      <c r="E246" s="221" t="s">
        <v>213</v>
      </c>
      <c r="O246" s="160"/>
    </row>
    <row r="247" spans="2:15">
      <c r="B247" s="146">
        <v>41766</v>
      </c>
      <c r="C247" s="221" t="s">
        <v>219</v>
      </c>
      <c r="D247" s="99">
        <v>13455</v>
      </c>
      <c r="E247" s="221" t="s">
        <v>212</v>
      </c>
      <c r="O247" s="160"/>
    </row>
    <row r="248" spans="2:15">
      <c r="B248" s="146">
        <v>41145</v>
      </c>
      <c r="C248" s="221" t="s">
        <v>218</v>
      </c>
      <c r="D248" s="99">
        <v>21220</v>
      </c>
      <c r="E248" s="221" t="s">
        <v>213</v>
      </c>
      <c r="O248" s="160"/>
    </row>
    <row r="249" spans="2:15">
      <c r="B249" s="146">
        <v>41230</v>
      </c>
      <c r="C249" s="221" t="s">
        <v>219</v>
      </c>
      <c r="D249" s="99">
        <v>36429</v>
      </c>
      <c r="E249" s="221" t="s">
        <v>212</v>
      </c>
      <c r="O249" s="160"/>
    </row>
    <row r="250" spans="2:15">
      <c r="B250" s="146">
        <v>41373</v>
      </c>
      <c r="C250" s="221" t="s">
        <v>219</v>
      </c>
      <c r="D250" s="99">
        <v>19429</v>
      </c>
      <c r="E250" s="221" t="s">
        <v>210</v>
      </c>
      <c r="O250" s="160"/>
    </row>
    <row r="251" spans="2:15">
      <c r="B251" s="146">
        <v>41302</v>
      </c>
      <c r="C251" s="221" t="s">
        <v>217</v>
      </c>
      <c r="D251" s="99">
        <v>21431</v>
      </c>
      <c r="E251" s="221" t="s">
        <v>210</v>
      </c>
      <c r="O251" s="160"/>
    </row>
    <row r="252" spans="2:15">
      <c r="B252" s="146">
        <v>41298</v>
      </c>
      <c r="C252" s="221" t="s">
        <v>218</v>
      </c>
      <c r="D252" s="99">
        <v>24638</v>
      </c>
      <c r="E252" s="221" t="s">
        <v>213</v>
      </c>
      <c r="O252" s="160"/>
    </row>
    <row r="253" spans="2:15">
      <c r="B253" s="146">
        <v>42015</v>
      </c>
      <c r="C253" s="221" t="s">
        <v>219</v>
      </c>
      <c r="D253" s="99">
        <v>25512</v>
      </c>
      <c r="E253" s="221" t="s">
        <v>210</v>
      </c>
      <c r="O253" s="160"/>
    </row>
    <row r="254" spans="2:15">
      <c r="B254" s="146">
        <v>41759</v>
      </c>
      <c r="C254" s="221" t="s">
        <v>218</v>
      </c>
      <c r="D254" s="99">
        <v>21782</v>
      </c>
      <c r="E254" s="221" t="s">
        <v>213</v>
      </c>
      <c r="O254" s="160"/>
    </row>
    <row r="255" spans="2:15">
      <c r="B255" s="146">
        <v>41322</v>
      </c>
      <c r="C255" s="221" t="s">
        <v>217</v>
      </c>
      <c r="D255" s="99">
        <v>36973</v>
      </c>
      <c r="E255" s="221" t="s">
        <v>213</v>
      </c>
      <c r="O255" s="160"/>
    </row>
    <row r="256" spans="2:15">
      <c r="B256" s="146">
        <v>41487</v>
      </c>
      <c r="C256" s="221" t="s">
        <v>220</v>
      </c>
      <c r="D256" s="99">
        <v>34789</v>
      </c>
      <c r="E256" s="221" t="s">
        <v>210</v>
      </c>
      <c r="O256" s="160"/>
    </row>
    <row r="257" spans="2:15">
      <c r="B257" s="146">
        <v>41910</v>
      </c>
      <c r="C257" s="221" t="s">
        <v>219</v>
      </c>
      <c r="D257" s="99">
        <v>13409</v>
      </c>
      <c r="E257" s="221" t="s">
        <v>213</v>
      </c>
      <c r="O257" s="160"/>
    </row>
    <row r="258" spans="2:15">
      <c r="B258" s="146">
        <v>41985</v>
      </c>
      <c r="C258" s="221" t="s">
        <v>220</v>
      </c>
      <c r="D258" s="99">
        <v>5201</v>
      </c>
      <c r="E258" s="221" t="s">
        <v>211</v>
      </c>
      <c r="O258" s="160"/>
    </row>
    <row r="259" spans="2:15">
      <c r="B259" s="146">
        <v>41780</v>
      </c>
      <c r="C259" s="221" t="s">
        <v>218</v>
      </c>
      <c r="D259" s="99">
        <v>23560</v>
      </c>
      <c r="E259" s="221" t="s">
        <v>211</v>
      </c>
      <c r="O259" s="160"/>
    </row>
    <row r="260" spans="2:15">
      <c r="B260" s="146">
        <v>41171</v>
      </c>
      <c r="C260" s="221" t="s">
        <v>218</v>
      </c>
      <c r="D260" s="99">
        <v>12304</v>
      </c>
      <c r="E260" s="221" t="s">
        <v>212</v>
      </c>
      <c r="O260" s="160"/>
    </row>
    <row r="261" spans="2:15">
      <c r="B261" s="146">
        <v>41848</v>
      </c>
      <c r="C261" s="221" t="s">
        <v>220</v>
      </c>
      <c r="D261" s="99">
        <v>30206</v>
      </c>
      <c r="E261" s="221" t="s">
        <v>211</v>
      </c>
      <c r="O261" s="160"/>
    </row>
    <row r="262" spans="2:15">
      <c r="B262" s="146">
        <v>41990</v>
      </c>
      <c r="C262" s="221" t="s">
        <v>218</v>
      </c>
      <c r="D262" s="99">
        <v>11957</v>
      </c>
      <c r="E262" s="221" t="s">
        <v>212</v>
      </c>
      <c r="O262" s="160"/>
    </row>
    <row r="263" spans="2:15">
      <c r="B263" s="146">
        <v>41575</v>
      </c>
      <c r="C263" s="221" t="s">
        <v>217</v>
      </c>
      <c r="D263" s="99">
        <v>19140</v>
      </c>
      <c r="E263" s="221" t="s">
        <v>211</v>
      </c>
      <c r="O263" s="160"/>
    </row>
    <row r="264" spans="2:15">
      <c r="B264" s="146">
        <v>41914</v>
      </c>
      <c r="C264" s="221" t="s">
        <v>219</v>
      </c>
      <c r="D264" s="99">
        <v>27317</v>
      </c>
      <c r="E264" s="221" t="s">
        <v>211</v>
      </c>
      <c r="O264" s="160"/>
    </row>
    <row r="265" spans="2:15">
      <c r="B265" s="146">
        <v>41890</v>
      </c>
      <c r="C265" s="221" t="s">
        <v>218</v>
      </c>
      <c r="D265" s="99">
        <v>24195</v>
      </c>
      <c r="E265" s="221" t="s">
        <v>213</v>
      </c>
      <c r="O265" s="160"/>
    </row>
    <row r="266" spans="2:15">
      <c r="B266" s="146">
        <v>41628</v>
      </c>
      <c r="C266" s="221" t="s">
        <v>219</v>
      </c>
      <c r="D266" s="99">
        <v>37512</v>
      </c>
      <c r="E266" s="221" t="s">
        <v>211</v>
      </c>
      <c r="O266" s="160"/>
    </row>
    <row r="267" spans="2:15">
      <c r="B267" s="146">
        <v>41137</v>
      </c>
      <c r="C267" s="221" t="s">
        <v>217</v>
      </c>
      <c r="D267" s="99">
        <v>7613</v>
      </c>
      <c r="E267" s="221" t="s">
        <v>212</v>
      </c>
      <c r="O267" s="160"/>
    </row>
    <row r="268" spans="2:15">
      <c r="B268" s="146">
        <v>41351</v>
      </c>
      <c r="C268" s="221" t="s">
        <v>218</v>
      </c>
      <c r="D268" s="99">
        <v>16467</v>
      </c>
      <c r="E268" s="221" t="s">
        <v>212</v>
      </c>
      <c r="O268" s="160"/>
    </row>
    <row r="269" spans="2:15">
      <c r="B269" s="146">
        <v>42017</v>
      </c>
      <c r="C269" s="221" t="s">
        <v>217</v>
      </c>
      <c r="D269" s="99">
        <v>26440</v>
      </c>
      <c r="E269" s="221" t="s">
        <v>211</v>
      </c>
      <c r="O269" s="160"/>
    </row>
    <row r="270" spans="2:15">
      <c r="B270" s="146">
        <v>41468</v>
      </c>
      <c r="C270" s="221" t="s">
        <v>220</v>
      </c>
      <c r="D270" s="99">
        <v>37525</v>
      </c>
      <c r="E270" s="221" t="s">
        <v>211</v>
      </c>
      <c r="O270" s="160"/>
    </row>
    <row r="271" spans="2:15">
      <c r="B271" s="146">
        <v>41855</v>
      </c>
      <c r="C271" s="221" t="s">
        <v>219</v>
      </c>
      <c r="D271" s="99">
        <v>18680</v>
      </c>
      <c r="E271" s="221" t="s">
        <v>210</v>
      </c>
      <c r="O271" s="160"/>
    </row>
    <row r="272" spans="2:15">
      <c r="B272" s="146">
        <v>41436</v>
      </c>
      <c r="C272" s="221" t="s">
        <v>219</v>
      </c>
      <c r="D272" s="99">
        <v>18246</v>
      </c>
      <c r="E272" s="221" t="s">
        <v>211</v>
      </c>
      <c r="O272" s="160"/>
    </row>
    <row r="273" spans="2:15">
      <c r="B273" s="146">
        <v>41147</v>
      </c>
      <c r="C273" s="221" t="s">
        <v>219</v>
      </c>
      <c r="D273" s="99">
        <v>16355</v>
      </c>
      <c r="E273" s="221" t="s">
        <v>210</v>
      </c>
      <c r="O273" s="160"/>
    </row>
    <row r="274" spans="2:15">
      <c r="B274" s="146">
        <v>41875</v>
      </c>
      <c r="C274" s="221" t="s">
        <v>218</v>
      </c>
      <c r="D274" s="99">
        <v>28483</v>
      </c>
      <c r="E274" s="221" t="s">
        <v>211</v>
      </c>
      <c r="O274" s="160"/>
    </row>
    <row r="275" spans="2:15">
      <c r="B275" s="146">
        <v>41996</v>
      </c>
      <c r="C275" s="221" t="s">
        <v>220</v>
      </c>
      <c r="D275" s="99">
        <v>25404</v>
      </c>
      <c r="E275" s="221" t="s">
        <v>211</v>
      </c>
      <c r="O275" s="160"/>
    </row>
    <row r="276" spans="2:15">
      <c r="B276" s="146">
        <v>41194</v>
      </c>
      <c r="C276" s="221" t="s">
        <v>217</v>
      </c>
      <c r="D276" s="99">
        <v>39160</v>
      </c>
      <c r="E276" s="221" t="s">
        <v>212</v>
      </c>
      <c r="O276" s="160"/>
    </row>
    <row r="277" spans="2:15">
      <c r="B277" s="146">
        <v>41466</v>
      </c>
      <c r="C277" s="221" t="s">
        <v>219</v>
      </c>
      <c r="D277" s="99">
        <v>31912</v>
      </c>
      <c r="E277" s="221" t="s">
        <v>212</v>
      </c>
      <c r="O277" s="160"/>
    </row>
    <row r="278" spans="2:15">
      <c r="B278" s="146">
        <v>41123</v>
      </c>
      <c r="C278" s="221" t="s">
        <v>217</v>
      </c>
      <c r="D278" s="99">
        <v>7170</v>
      </c>
      <c r="E278" s="221" t="s">
        <v>212</v>
      </c>
      <c r="O278" s="160"/>
    </row>
    <row r="279" spans="2:15">
      <c r="B279" s="146">
        <v>41130</v>
      </c>
      <c r="C279" s="221" t="s">
        <v>217</v>
      </c>
      <c r="D279" s="99">
        <v>27338</v>
      </c>
      <c r="E279" s="221" t="s">
        <v>210</v>
      </c>
      <c r="O279" s="160"/>
    </row>
    <row r="280" spans="2:15">
      <c r="B280" s="146">
        <v>41992</v>
      </c>
      <c r="C280" s="221" t="s">
        <v>217</v>
      </c>
      <c r="D280" s="99">
        <v>34180</v>
      </c>
      <c r="E280" s="221" t="s">
        <v>213</v>
      </c>
      <c r="O280" s="160"/>
    </row>
    <row r="281" spans="2:15">
      <c r="B281" s="146">
        <v>41512</v>
      </c>
      <c r="C281" s="221" t="s">
        <v>218</v>
      </c>
      <c r="D281" s="99">
        <v>39861</v>
      </c>
      <c r="E281" s="221" t="s">
        <v>212</v>
      </c>
      <c r="O281" s="160"/>
    </row>
    <row r="282" spans="2:15">
      <c r="B282" s="146">
        <v>41495</v>
      </c>
      <c r="C282" s="221" t="s">
        <v>217</v>
      </c>
      <c r="D282" s="99">
        <v>7069</v>
      </c>
      <c r="E282" s="221" t="s">
        <v>211</v>
      </c>
      <c r="O282" s="160"/>
    </row>
    <row r="283" spans="2:15">
      <c r="B283" s="146">
        <v>41813</v>
      </c>
      <c r="C283" s="221" t="s">
        <v>220</v>
      </c>
      <c r="D283" s="99">
        <v>13760</v>
      </c>
      <c r="E283" s="221" t="s">
        <v>212</v>
      </c>
      <c r="O283" s="160"/>
    </row>
    <row r="284" spans="2:15">
      <c r="B284" s="146">
        <v>41401</v>
      </c>
      <c r="C284" s="221" t="s">
        <v>217</v>
      </c>
      <c r="D284" s="99">
        <v>21181</v>
      </c>
      <c r="E284" s="221" t="s">
        <v>213</v>
      </c>
      <c r="O284" s="160"/>
    </row>
    <row r="285" spans="2:15">
      <c r="B285" s="146">
        <v>41156</v>
      </c>
      <c r="C285" s="221" t="s">
        <v>218</v>
      </c>
      <c r="D285" s="99">
        <v>26908</v>
      </c>
      <c r="E285" s="221" t="s">
        <v>210</v>
      </c>
      <c r="O285" s="160"/>
    </row>
    <row r="286" spans="2:15">
      <c r="B286" s="146">
        <v>41366</v>
      </c>
      <c r="C286" s="221" t="s">
        <v>217</v>
      </c>
      <c r="D286" s="99">
        <v>23222</v>
      </c>
      <c r="E286" s="221" t="s">
        <v>211</v>
      </c>
      <c r="O286" s="160"/>
    </row>
    <row r="287" spans="2:15">
      <c r="B287" s="146">
        <v>41975</v>
      </c>
      <c r="C287" s="221" t="s">
        <v>217</v>
      </c>
      <c r="D287" s="99">
        <v>23403</v>
      </c>
      <c r="E287" s="221" t="s">
        <v>211</v>
      </c>
      <c r="O287" s="160"/>
    </row>
    <row r="288" spans="2:15">
      <c r="B288" s="146">
        <v>41503</v>
      </c>
      <c r="C288" s="221" t="s">
        <v>220</v>
      </c>
      <c r="D288" s="99">
        <v>36229</v>
      </c>
      <c r="E288" s="221" t="s">
        <v>212</v>
      </c>
      <c r="O288" s="160"/>
    </row>
    <row r="289" spans="2:15">
      <c r="B289" s="146">
        <v>41294</v>
      </c>
      <c r="C289" s="221" t="s">
        <v>220</v>
      </c>
      <c r="D289" s="99">
        <v>21348</v>
      </c>
      <c r="E289" s="221" t="s">
        <v>212</v>
      </c>
      <c r="O289" s="160"/>
    </row>
    <row r="290" spans="2:15">
      <c r="B290" s="146">
        <v>41336</v>
      </c>
      <c r="C290" s="221" t="s">
        <v>217</v>
      </c>
      <c r="D290" s="99">
        <v>39602</v>
      </c>
      <c r="E290" s="221" t="s">
        <v>211</v>
      </c>
      <c r="O290" s="160"/>
    </row>
    <row r="291" spans="2:15">
      <c r="B291" s="146">
        <v>42000</v>
      </c>
      <c r="C291" s="221" t="s">
        <v>220</v>
      </c>
      <c r="D291" s="99">
        <v>13297</v>
      </c>
      <c r="E291" s="221" t="s">
        <v>210</v>
      </c>
      <c r="O291" s="160"/>
    </row>
    <row r="292" spans="2:15">
      <c r="B292" s="146">
        <v>41235</v>
      </c>
      <c r="C292" s="221" t="s">
        <v>219</v>
      </c>
      <c r="D292" s="99">
        <v>22360</v>
      </c>
      <c r="E292" s="221" t="s">
        <v>210</v>
      </c>
      <c r="O292" s="160"/>
    </row>
    <row r="293" spans="2:15">
      <c r="B293" s="146">
        <v>41228</v>
      </c>
      <c r="C293" s="221" t="s">
        <v>220</v>
      </c>
      <c r="D293" s="99">
        <v>22336</v>
      </c>
      <c r="E293" s="221" t="s">
        <v>211</v>
      </c>
      <c r="O293" s="160"/>
    </row>
    <row r="294" spans="2:15">
      <c r="B294" s="146">
        <v>41379</v>
      </c>
      <c r="C294" s="221" t="s">
        <v>220</v>
      </c>
      <c r="D294" s="99">
        <v>11340</v>
      </c>
      <c r="E294" s="221" t="s">
        <v>211</v>
      </c>
      <c r="O294" s="160"/>
    </row>
    <row r="295" spans="2:15">
      <c r="B295" s="146">
        <v>41913</v>
      </c>
      <c r="C295" s="221" t="s">
        <v>219</v>
      </c>
      <c r="D295" s="99">
        <v>36572</v>
      </c>
      <c r="E295" s="221" t="s">
        <v>211</v>
      </c>
      <c r="O295" s="160"/>
    </row>
    <row r="296" spans="2:15">
      <c r="B296" s="146">
        <v>41306</v>
      </c>
      <c r="C296" s="221" t="s">
        <v>217</v>
      </c>
      <c r="D296" s="99">
        <v>30948</v>
      </c>
      <c r="E296" s="221" t="s">
        <v>212</v>
      </c>
      <c r="O296" s="160"/>
    </row>
    <row r="297" spans="2:15">
      <c r="B297" s="146">
        <v>41700</v>
      </c>
      <c r="C297" s="221" t="s">
        <v>217</v>
      </c>
      <c r="D297" s="99">
        <v>6931</v>
      </c>
      <c r="E297" s="221" t="s">
        <v>213</v>
      </c>
      <c r="O297" s="160"/>
    </row>
    <row r="298" spans="2:15">
      <c r="B298" s="146">
        <v>41782</v>
      </c>
      <c r="C298" s="221" t="s">
        <v>219</v>
      </c>
      <c r="D298" s="99">
        <v>20305</v>
      </c>
      <c r="E298" s="221" t="s">
        <v>213</v>
      </c>
      <c r="O298" s="160"/>
    </row>
    <row r="299" spans="2:15">
      <c r="B299" s="146">
        <v>41969</v>
      </c>
      <c r="C299" s="221" t="s">
        <v>220</v>
      </c>
      <c r="D299" s="99">
        <v>14477</v>
      </c>
      <c r="E299" s="221" t="s">
        <v>212</v>
      </c>
      <c r="O299" s="160"/>
    </row>
    <row r="300" spans="2:15">
      <c r="B300" s="146">
        <v>41179</v>
      </c>
      <c r="C300" s="221" t="s">
        <v>219</v>
      </c>
      <c r="D300" s="99">
        <v>18870</v>
      </c>
      <c r="E300" s="221" t="s">
        <v>211</v>
      </c>
      <c r="O300" s="160"/>
    </row>
    <row r="301" spans="2:15">
      <c r="B301" s="146">
        <v>41914</v>
      </c>
      <c r="C301" s="221" t="s">
        <v>217</v>
      </c>
      <c r="D301" s="99">
        <v>15378</v>
      </c>
      <c r="E301" s="221" t="s">
        <v>212</v>
      </c>
      <c r="O301" s="160"/>
    </row>
    <row r="302" spans="2:15">
      <c r="B302" s="146">
        <v>41609</v>
      </c>
      <c r="C302" s="221" t="s">
        <v>218</v>
      </c>
      <c r="D302" s="99">
        <v>12244</v>
      </c>
      <c r="E302" s="221" t="s">
        <v>212</v>
      </c>
      <c r="O302" s="160"/>
    </row>
    <row r="303" spans="2:15">
      <c r="B303" s="146">
        <v>41833</v>
      </c>
      <c r="C303" s="221" t="s">
        <v>219</v>
      </c>
      <c r="D303" s="99">
        <v>21926</v>
      </c>
      <c r="E303" s="221" t="s">
        <v>211</v>
      </c>
      <c r="O303" s="160"/>
    </row>
    <row r="304" spans="2:15">
      <c r="B304" s="146">
        <v>41121</v>
      </c>
      <c r="C304" s="221" t="s">
        <v>219</v>
      </c>
      <c r="D304" s="99">
        <v>33863</v>
      </c>
      <c r="E304" s="221" t="s">
        <v>213</v>
      </c>
      <c r="O304" s="160"/>
    </row>
    <row r="305" spans="2:15">
      <c r="B305" s="146">
        <v>41859</v>
      </c>
      <c r="C305" s="221" t="s">
        <v>218</v>
      </c>
      <c r="D305" s="99">
        <v>29580</v>
      </c>
      <c r="E305" s="221" t="s">
        <v>213</v>
      </c>
      <c r="O305" s="160"/>
    </row>
    <row r="306" spans="2:15">
      <c r="B306" s="146">
        <v>41329</v>
      </c>
      <c r="C306" s="221" t="s">
        <v>220</v>
      </c>
      <c r="D306" s="99">
        <v>9642</v>
      </c>
      <c r="E306" s="221" t="s">
        <v>210</v>
      </c>
      <c r="O306" s="160"/>
    </row>
    <row r="307" spans="2:15">
      <c r="B307" s="146">
        <v>41632</v>
      </c>
      <c r="C307" s="221" t="s">
        <v>220</v>
      </c>
      <c r="D307" s="99">
        <v>39583</v>
      </c>
      <c r="E307" s="221" t="s">
        <v>211</v>
      </c>
      <c r="O307" s="160"/>
    </row>
    <row r="308" spans="2:15">
      <c r="B308" s="146">
        <v>41548</v>
      </c>
      <c r="C308" s="221" t="s">
        <v>218</v>
      </c>
      <c r="D308" s="99">
        <v>23092</v>
      </c>
      <c r="E308" s="221" t="s">
        <v>212</v>
      </c>
      <c r="O308" s="160"/>
    </row>
    <row r="309" spans="2:15">
      <c r="B309" s="146">
        <v>41745</v>
      </c>
      <c r="C309" s="221" t="s">
        <v>220</v>
      </c>
      <c r="D309" s="99">
        <v>37603</v>
      </c>
      <c r="E309" s="221" t="s">
        <v>210</v>
      </c>
      <c r="O309" s="160"/>
    </row>
    <row r="310" spans="2:15">
      <c r="B310" s="146">
        <v>41823</v>
      </c>
      <c r="C310" s="221" t="s">
        <v>219</v>
      </c>
      <c r="D310" s="99">
        <v>23225</v>
      </c>
      <c r="E310" s="221" t="s">
        <v>213</v>
      </c>
      <c r="O310" s="160"/>
    </row>
    <row r="311" spans="2:15">
      <c r="B311" s="146">
        <v>41870</v>
      </c>
      <c r="C311" s="221" t="s">
        <v>217</v>
      </c>
      <c r="D311" s="99">
        <v>36727</v>
      </c>
      <c r="E311" s="221" t="s">
        <v>213</v>
      </c>
      <c r="O311" s="160"/>
    </row>
    <row r="312" spans="2:15">
      <c r="B312" s="146">
        <v>41525</v>
      </c>
      <c r="C312" s="221" t="s">
        <v>217</v>
      </c>
      <c r="D312" s="99">
        <v>18744</v>
      </c>
      <c r="E312" s="221" t="s">
        <v>213</v>
      </c>
      <c r="O312" s="160"/>
    </row>
    <row r="313" spans="2:15">
      <c r="B313" s="146">
        <v>41563</v>
      </c>
      <c r="C313" s="221" t="s">
        <v>220</v>
      </c>
      <c r="D313" s="99">
        <v>36782</v>
      </c>
      <c r="E313" s="221" t="s">
        <v>213</v>
      </c>
      <c r="O313" s="160"/>
    </row>
    <row r="314" spans="2:15">
      <c r="B314" s="146">
        <v>41241</v>
      </c>
      <c r="C314" s="221" t="s">
        <v>217</v>
      </c>
      <c r="D314" s="99">
        <v>8210</v>
      </c>
      <c r="E314" s="221" t="s">
        <v>212</v>
      </c>
      <c r="O314" s="160"/>
    </row>
    <row r="315" spans="2:15">
      <c r="B315" s="146">
        <v>41458</v>
      </c>
      <c r="C315" s="221" t="s">
        <v>220</v>
      </c>
      <c r="D315" s="99">
        <v>7754</v>
      </c>
      <c r="E315" s="221" t="s">
        <v>210</v>
      </c>
      <c r="O315" s="160"/>
    </row>
    <row r="316" spans="2:15">
      <c r="B316" s="146">
        <v>41615</v>
      </c>
      <c r="C316" s="221" t="s">
        <v>220</v>
      </c>
      <c r="D316" s="99">
        <v>10142</v>
      </c>
      <c r="E316" s="221" t="s">
        <v>213</v>
      </c>
      <c r="O316" s="160"/>
    </row>
    <row r="317" spans="2:15">
      <c r="B317" s="146">
        <v>41159</v>
      </c>
      <c r="C317" s="221" t="s">
        <v>218</v>
      </c>
      <c r="D317" s="99">
        <v>27030</v>
      </c>
      <c r="E317" s="221" t="s">
        <v>211</v>
      </c>
      <c r="O317" s="160"/>
    </row>
    <row r="318" spans="2:15">
      <c r="B318" s="146">
        <v>41128</v>
      </c>
      <c r="C318" s="221" t="s">
        <v>219</v>
      </c>
      <c r="D318" s="99">
        <v>15267</v>
      </c>
      <c r="E318" s="221" t="s">
        <v>212</v>
      </c>
      <c r="O318" s="160"/>
    </row>
    <row r="319" spans="2:15">
      <c r="B319" s="146">
        <v>41359</v>
      </c>
      <c r="C319" s="221" t="s">
        <v>218</v>
      </c>
      <c r="D319" s="99">
        <v>25488</v>
      </c>
      <c r="E319" s="221" t="s">
        <v>212</v>
      </c>
      <c r="O319" s="160"/>
    </row>
    <row r="320" spans="2:15">
      <c r="B320" s="146">
        <v>41999</v>
      </c>
      <c r="C320" s="221" t="s">
        <v>218</v>
      </c>
      <c r="D320" s="99">
        <v>37862</v>
      </c>
      <c r="E320" s="221" t="s">
        <v>213</v>
      </c>
      <c r="O320" s="160"/>
    </row>
    <row r="321" spans="2:15">
      <c r="B321" s="146">
        <v>41418</v>
      </c>
      <c r="C321" s="221" t="s">
        <v>219</v>
      </c>
      <c r="D321" s="99">
        <v>19896</v>
      </c>
      <c r="E321" s="221" t="s">
        <v>213</v>
      </c>
      <c r="O321" s="160"/>
    </row>
    <row r="322" spans="2:15">
      <c r="B322" s="146">
        <v>41799</v>
      </c>
      <c r="C322" s="221" t="s">
        <v>219</v>
      </c>
      <c r="D322" s="99">
        <v>7845</v>
      </c>
      <c r="E322" s="221" t="s">
        <v>212</v>
      </c>
      <c r="O322" s="160"/>
    </row>
    <row r="323" spans="2:15">
      <c r="B323" s="146">
        <v>41686</v>
      </c>
      <c r="C323" s="221" t="s">
        <v>218</v>
      </c>
      <c r="D323" s="99">
        <v>14645</v>
      </c>
      <c r="E323" s="221" t="s">
        <v>210</v>
      </c>
      <c r="O323" s="160"/>
    </row>
    <row r="324" spans="2:15">
      <c r="B324" s="146">
        <v>41460</v>
      </c>
      <c r="C324" s="221" t="s">
        <v>219</v>
      </c>
      <c r="D324" s="99">
        <v>19302</v>
      </c>
      <c r="E324" s="221" t="s">
        <v>213</v>
      </c>
      <c r="O324" s="160"/>
    </row>
    <row r="325" spans="2:15">
      <c r="B325" s="146">
        <v>41179</v>
      </c>
      <c r="C325" s="221" t="s">
        <v>218</v>
      </c>
      <c r="D325" s="99">
        <v>18710</v>
      </c>
      <c r="E325" s="221" t="s">
        <v>212</v>
      </c>
      <c r="O325" s="160"/>
    </row>
    <row r="326" spans="2:15">
      <c r="B326" s="146">
        <v>41529</v>
      </c>
      <c r="C326" s="221" t="s">
        <v>218</v>
      </c>
      <c r="D326" s="99">
        <v>31821</v>
      </c>
      <c r="E326" s="221" t="s">
        <v>210</v>
      </c>
      <c r="O326" s="160"/>
    </row>
    <row r="327" spans="2:15">
      <c r="B327" s="146">
        <v>41551</v>
      </c>
      <c r="C327" s="221" t="s">
        <v>218</v>
      </c>
      <c r="D327" s="99">
        <v>7080</v>
      </c>
      <c r="E327" s="221" t="s">
        <v>210</v>
      </c>
      <c r="O327" s="160"/>
    </row>
    <row r="328" spans="2:15">
      <c r="B328" s="146">
        <v>41217</v>
      </c>
      <c r="C328" s="221" t="s">
        <v>219</v>
      </c>
      <c r="D328" s="99">
        <v>34667</v>
      </c>
      <c r="E328" s="221" t="s">
        <v>212</v>
      </c>
      <c r="O328" s="160"/>
    </row>
    <row r="329" spans="2:15">
      <c r="B329" s="146">
        <v>41814</v>
      </c>
      <c r="C329" s="221" t="s">
        <v>217</v>
      </c>
      <c r="D329" s="99">
        <v>21773</v>
      </c>
      <c r="E329" s="221" t="s">
        <v>211</v>
      </c>
      <c r="O329" s="160"/>
    </row>
    <row r="330" spans="2:15">
      <c r="B330" s="146">
        <v>41692</v>
      </c>
      <c r="C330" s="221" t="s">
        <v>218</v>
      </c>
      <c r="D330" s="99">
        <v>38052</v>
      </c>
      <c r="E330" s="221" t="s">
        <v>213</v>
      </c>
      <c r="O330" s="160"/>
    </row>
    <row r="331" spans="2:15">
      <c r="B331" s="146">
        <v>41612</v>
      </c>
      <c r="C331" s="221" t="s">
        <v>219</v>
      </c>
      <c r="D331" s="99">
        <v>25198</v>
      </c>
      <c r="E331" s="221" t="s">
        <v>213</v>
      </c>
      <c r="O331" s="160"/>
    </row>
    <row r="332" spans="2:15">
      <c r="B332" s="146">
        <v>41397</v>
      </c>
      <c r="C332" s="221" t="s">
        <v>218</v>
      </c>
      <c r="D332" s="99">
        <v>23822</v>
      </c>
      <c r="E332" s="221" t="s">
        <v>210</v>
      </c>
      <c r="O332" s="160"/>
    </row>
    <row r="333" spans="2:15">
      <c r="B333" s="146">
        <v>42010</v>
      </c>
      <c r="C333" s="221" t="s">
        <v>220</v>
      </c>
      <c r="D333" s="99">
        <v>29015</v>
      </c>
      <c r="E333" s="221" t="s">
        <v>211</v>
      </c>
      <c r="O333" s="160"/>
    </row>
    <row r="334" spans="2:15">
      <c r="B334" s="146">
        <v>41321</v>
      </c>
      <c r="C334" s="221" t="s">
        <v>218</v>
      </c>
      <c r="D334" s="99">
        <v>31400</v>
      </c>
      <c r="E334" s="221" t="s">
        <v>212</v>
      </c>
      <c r="O334" s="160"/>
    </row>
    <row r="335" spans="2:15">
      <c r="B335" s="146">
        <v>41391</v>
      </c>
      <c r="C335" s="221" t="s">
        <v>219</v>
      </c>
      <c r="D335" s="99">
        <v>30051</v>
      </c>
      <c r="E335" s="221" t="s">
        <v>212</v>
      </c>
      <c r="O335" s="160"/>
    </row>
    <row r="336" spans="2:15">
      <c r="B336" s="146">
        <v>41687</v>
      </c>
      <c r="C336" s="221" t="s">
        <v>217</v>
      </c>
      <c r="D336" s="99">
        <v>34421</v>
      </c>
      <c r="E336" s="221" t="s">
        <v>213</v>
      </c>
      <c r="O336" s="160"/>
    </row>
    <row r="337" spans="2:15">
      <c r="B337" s="146">
        <v>42014</v>
      </c>
      <c r="C337" s="221" t="s">
        <v>220</v>
      </c>
      <c r="D337" s="99">
        <v>11497</v>
      </c>
      <c r="E337" s="221" t="s">
        <v>213</v>
      </c>
      <c r="O337" s="160"/>
    </row>
    <row r="338" spans="2:15">
      <c r="B338" s="146">
        <v>41392</v>
      </c>
      <c r="C338" s="221" t="s">
        <v>220</v>
      </c>
      <c r="D338" s="99">
        <v>18690</v>
      </c>
      <c r="E338" s="221" t="s">
        <v>211</v>
      </c>
      <c r="O338" s="160"/>
    </row>
    <row r="339" spans="2:15">
      <c r="B339" s="146">
        <v>41749</v>
      </c>
      <c r="C339" s="221" t="s">
        <v>217</v>
      </c>
      <c r="D339" s="99">
        <v>23180</v>
      </c>
      <c r="E339" s="221" t="s">
        <v>213</v>
      </c>
      <c r="O339" s="160"/>
    </row>
    <row r="340" spans="2:15">
      <c r="B340" s="146">
        <v>41221</v>
      </c>
      <c r="C340" s="221" t="s">
        <v>217</v>
      </c>
      <c r="D340" s="99">
        <v>27823</v>
      </c>
      <c r="E340" s="221" t="s">
        <v>212</v>
      </c>
      <c r="O340" s="160"/>
    </row>
    <row r="341" spans="2:15">
      <c r="B341" s="146">
        <v>41484</v>
      </c>
      <c r="C341" s="221" t="s">
        <v>218</v>
      </c>
      <c r="D341" s="99">
        <v>20519</v>
      </c>
      <c r="E341" s="221" t="s">
        <v>213</v>
      </c>
      <c r="O341" s="160"/>
    </row>
    <row r="342" spans="2:15">
      <c r="B342" s="146">
        <v>41572</v>
      </c>
      <c r="C342" s="221" t="s">
        <v>219</v>
      </c>
      <c r="D342" s="99">
        <v>9830</v>
      </c>
      <c r="E342" s="221" t="s">
        <v>210</v>
      </c>
      <c r="O342" s="160"/>
    </row>
    <row r="343" spans="2:15">
      <c r="B343" s="146">
        <v>41280</v>
      </c>
      <c r="C343" s="221" t="s">
        <v>219</v>
      </c>
      <c r="D343" s="99">
        <v>25381</v>
      </c>
      <c r="E343" s="221" t="s">
        <v>212</v>
      </c>
      <c r="O343" s="160"/>
    </row>
    <row r="344" spans="2:15">
      <c r="B344" s="146">
        <v>41371</v>
      </c>
      <c r="C344" s="221" t="s">
        <v>217</v>
      </c>
      <c r="D344" s="99">
        <v>36474</v>
      </c>
      <c r="E344" s="221" t="s">
        <v>212</v>
      </c>
      <c r="O344" s="160"/>
    </row>
    <row r="345" spans="2:15">
      <c r="B345" s="146">
        <v>41510</v>
      </c>
      <c r="C345" s="221" t="s">
        <v>219</v>
      </c>
      <c r="D345" s="99">
        <v>31868</v>
      </c>
      <c r="E345" s="221" t="s">
        <v>213</v>
      </c>
      <c r="O345" s="160"/>
    </row>
    <row r="346" spans="2:15">
      <c r="B346" s="146">
        <v>41538</v>
      </c>
      <c r="C346" s="221" t="s">
        <v>217</v>
      </c>
      <c r="D346" s="99">
        <v>20157</v>
      </c>
      <c r="E346" s="221" t="s">
        <v>212</v>
      </c>
      <c r="O346" s="160"/>
    </row>
    <row r="347" spans="2:15">
      <c r="B347" s="146">
        <v>41593</v>
      </c>
      <c r="C347" s="221" t="s">
        <v>217</v>
      </c>
      <c r="D347" s="99">
        <v>36493</v>
      </c>
      <c r="E347" s="221" t="s">
        <v>213</v>
      </c>
      <c r="O347" s="160"/>
    </row>
    <row r="348" spans="2:15">
      <c r="B348" s="146">
        <v>41821</v>
      </c>
      <c r="C348" s="221" t="s">
        <v>218</v>
      </c>
      <c r="D348" s="99">
        <v>13722</v>
      </c>
      <c r="E348" s="221" t="s">
        <v>211</v>
      </c>
      <c r="O348" s="160"/>
    </row>
    <row r="349" spans="2:15">
      <c r="B349" s="146">
        <v>41295</v>
      </c>
      <c r="C349" s="221" t="s">
        <v>218</v>
      </c>
      <c r="D349" s="99">
        <v>22149</v>
      </c>
      <c r="E349" s="221" t="s">
        <v>211</v>
      </c>
      <c r="O349" s="160"/>
    </row>
    <row r="350" spans="2:15">
      <c r="B350" s="146">
        <v>41526</v>
      </c>
      <c r="C350" s="221" t="s">
        <v>217</v>
      </c>
      <c r="D350" s="99">
        <v>24392</v>
      </c>
      <c r="E350" s="221" t="s">
        <v>212</v>
      </c>
      <c r="O350" s="160"/>
    </row>
    <row r="351" spans="2:15">
      <c r="B351" s="146">
        <v>41324</v>
      </c>
      <c r="C351" s="221" t="s">
        <v>219</v>
      </c>
      <c r="D351" s="99">
        <v>21329</v>
      </c>
      <c r="E351" s="221" t="s">
        <v>211</v>
      </c>
      <c r="O351" s="160"/>
    </row>
    <row r="352" spans="2:15">
      <c r="B352" s="146">
        <v>41254</v>
      </c>
      <c r="C352" s="221" t="s">
        <v>219</v>
      </c>
      <c r="D352" s="99">
        <v>35654</v>
      </c>
      <c r="E352" s="221" t="s">
        <v>213</v>
      </c>
      <c r="O352" s="160"/>
    </row>
    <row r="353" spans="2:15">
      <c r="B353" s="146">
        <v>41424</v>
      </c>
      <c r="C353" s="221" t="s">
        <v>219</v>
      </c>
      <c r="D353" s="99">
        <v>5920</v>
      </c>
      <c r="E353" s="221" t="s">
        <v>210</v>
      </c>
      <c r="O353" s="160"/>
    </row>
    <row r="354" spans="2:15">
      <c r="B354" s="146">
        <v>41222</v>
      </c>
      <c r="C354" s="221" t="s">
        <v>220</v>
      </c>
      <c r="D354" s="99">
        <v>34560</v>
      </c>
      <c r="E354" s="221" t="s">
        <v>212</v>
      </c>
      <c r="O354" s="160"/>
    </row>
    <row r="355" spans="2:15">
      <c r="B355" s="146">
        <v>41416</v>
      </c>
      <c r="C355" s="221" t="s">
        <v>217</v>
      </c>
      <c r="D355" s="99">
        <v>26883</v>
      </c>
      <c r="E355" s="221" t="s">
        <v>213</v>
      </c>
      <c r="O355" s="160"/>
    </row>
    <row r="356" spans="2:15">
      <c r="B356" s="146">
        <v>41137</v>
      </c>
      <c r="C356" s="221" t="s">
        <v>217</v>
      </c>
      <c r="D356" s="99">
        <v>39154</v>
      </c>
      <c r="E356" s="221" t="s">
        <v>211</v>
      </c>
      <c r="O356" s="160"/>
    </row>
    <row r="357" spans="2:15">
      <c r="B357" s="146">
        <v>41920</v>
      </c>
      <c r="C357" s="221" t="s">
        <v>220</v>
      </c>
      <c r="D357" s="99">
        <v>17246</v>
      </c>
      <c r="E357" s="221" t="s">
        <v>210</v>
      </c>
      <c r="O357" s="160"/>
    </row>
    <row r="358" spans="2:15">
      <c r="B358" s="146">
        <v>41245</v>
      </c>
      <c r="C358" s="221" t="s">
        <v>217</v>
      </c>
      <c r="D358" s="99">
        <v>18869</v>
      </c>
      <c r="E358" s="221" t="s">
        <v>210</v>
      </c>
      <c r="O358" s="160"/>
    </row>
    <row r="359" spans="2:15">
      <c r="B359" s="146">
        <v>42009</v>
      </c>
      <c r="C359" s="221" t="s">
        <v>220</v>
      </c>
      <c r="D359" s="99">
        <v>14152</v>
      </c>
      <c r="E359" s="221" t="s">
        <v>212</v>
      </c>
      <c r="O359" s="160"/>
    </row>
    <row r="360" spans="2:15">
      <c r="B360" s="146">
        <v>41303</v>
      </c>
      <c r="C360" s="221" t="s">
        <v>219</v>
      </c>
      <c r="D360" s="99">
        <v>19638</v>
      </c>
      <c r="E360" s="221" t="s">
        <v>212</v>
      </c>
      <c r="O360" s="160"/>
    </row>
    <row r="361" spans="2:15">
      <c r="B361" s="146">
        <v>42002</v>
      </c>
      <c r="C361" s="221" t="s">
        <v>219</v>
      </c>
      <c r="D361" s="99">
        <v>14885</v>
      </c>
      <c r="E361" s="221" t="s">
        <v>212</v>
      </c>
      <c r="O361" s="160"/>
    </row>
    <row r="362" spans="2:15">
      <c r="B362" s="146">
        <v>41865</v>
      </c>
      <c r="C362" s="221" t="s">
        <v>217</v>
      </c>
      <c r="D362" s="99">
        <v>14833</v>
      </c>
      <c r="E362" s="221" t="s">
        <v>213</v>
      </c>
      <c r="O362" s="160"/>
    </row>
    <row r="363" spans="2:15">
      <c r="B363" s="146">
        <v>41600</v>
      </c>
      <c r="C363" s="221" t="s">
        <v>219</v>
      </c>
      <c r="D363" s="99">
        <v>33755</v>
      </c>
      <c r="E363" s="221" t="s">
        <v>211</v>
      </c>
      <c r="O363" s="160"/>
    </row>
    <row r="364" spans="2:15">
      <c r="B364" s="146">
        <v>41378</v>
      </c>
      <c r="C364" s="221" t="s">
        <v>218</v>
      </c>
      <c r="D364" s="99">
        <v>11240</v>
      </c>
      <c r="E364" s="221" t="s">
        <v>210</v>
      </c>
      <c r="O364" s="160"/>
    </row>
    <row r="365" spans="2:15">
      <c r="B365" s="146">
        <v>41176</v>
      </c>
      <c r="C365" s="221" t="s">
        <v>220</v>
      </c>
      <c r="D365" s="99">
        <v>29589</v>
      </c>
      <c r="E365" s="221" t="s">
        <v>210</v>
      </c>
      <c r="O365" s="160"/>
    </row>
    <row r="366" spans="2:15">
      <c r="B366" s="146">
        <v>41910</v>
      </c>
      <c r="C366" s="221" t="s">
        <v>217</v>
      </c>
      <c r="D366" s="99">
        <v>19248</v>
      </c>
      <c r="E366" s="221" t="s">
        <v>210</v>
      </c>
      <c r="O366" s="160"/>
    </row>
    <row r="367" spans="2:15">
      <c r="B367" s="146">
        <v>41645</v>
      </c>
      <c r="C367" s="221" t="s">
        <v>218</v>
      </c>
      <c r="D367" s="99">
        <v>15991</v>
      </c>
      <c r="E367" s="221" t="s">
        <v>213</v>
      </c>
      <c r="O367" s="160"/>
    </row>
    <row r="368" spans="2:15">
      <c r="B368" s="146">
        <v>41668</v>
      </c>
      <c r="C368" s="221" t="s">
        <v>218</v>
      </c>
      <c r="D368" s="99">
        <v>9559</v>
      </c>
      <c r="E368" s="221" t="s">
        <v>210</v>
      </c>
      <c r="O368" s="160"/>
    </row>
    <row r="369" spans="2:15">
      <c r="B369" s="146">
        <v>41360</v>
      </c>
      <c r="C369" s="221" t="s">
        <v>219</v>
      </c>
      <c r="D369" s="99">
        <v>33225</v>
      </c>
      <c r="E369" s="221" t="s">
        <v>210</v>
      </c>
      <c r="O369" s="160"/>
    </row>
    <row r="370" spans="2:15">
      <c r="B370" s="146">
        <v>41252</v>
      </c>
      <c r="C370" s="221" t="s">
        <v>219</v>
      </c>
      <c r="D370" s="99">
        <v>28275</v>
      </c>
      <c r="E370" s="221" t="s">
        <v>210</v>
      </c>
      <c r="O370" s="160"/>
    </row>
    <row r="371" spans="2:15">
      <c r="B371" s="146">
        <v>41850</v>
      </c>
      <c r="C371" s="221" t="s">
        <v>219</v>
      </c>
      <c r="D371" s="99">
        <v>8637</v>
      </c>
      <c r="E371" s="221" t="s">
        <v>210</v>
      </c>
      <c r="O371" s="160"/>
    </row>
    <row r="372" spans="2:15">
      <c r="B372" s="146">
        <v>41145</v>
      </c>
      <c r="C372" s="221" t="s">
        <v>219</v>
      </c>
      <c r="D372" s="99">
        <v>15355</v>
      </c>
      <c r="E372" s="221" t="s">
        <v>213</v>
      </c>
      <c r="O372" s="160"/>
    </row>
    <row r="373" spans="2:15">
      <c r="B373" s="146">
        <v>41900</v>
      </c>
      <c r="C373" s="221" t="s">
        <v>219</v>
      </c>
      <c r="D373" s="99">
        <v>7225</v>
      </c>
      <c r="E373" s="221" t="s">
        <v>212</v>
      </c>
      <c r="O373" s="160"/>
    </row>
    <row r="374" spans="2:15">
      <c r="B374" s="146">
        <v>41921</v>
      </c>
      <c r="C374" s="221" t="s">
        <v>220</v>
      </c>
      <c r="D374" s="99">
        <v>39385</v>
      </c>
      <c r="E374" s="221" t="s">
        <v>211</v>
      </c>
      <c r="O374" s="160"/>
    </row>
    <row r="375" spans="2:15">
      <c r="B375" s="146">
        <v>41593</v>
      </c>
      <c r="C375" s="221" t="s">
        <v>219</v>
      </c>
      <c r="D375" s="99">
        <v>12374</v>
      </c>
      <c r="E375" s="221" t="s">
        <v>213</v>
      </c>
      <c r="O375" s="160"/>
    </row>
    <row r="376" spans="2:15">
      <c r="B376" s="146">
        <v>41590</v>
      </c>
      <c r="C376" s="221" t="s">
        <v>217</v>
      </c>
      <c r="D376" s="99">
        <v>8364</v>
      </c>
      <c r="E376" s="221" t="s">
        <v>210</v>
      </c>
      <c r="O376" s="160"/>
    </row>
    <row r="377" spans="2:15">
      <c r="B377" s="146">
        <v>41560</v>
      </c>
      <c r="C377" s="221" t="s">
        <v>217</v>
      </c>
      <c r="D377" s="99">
        <v>29741</v>
      </c>
      <c r="E377" s="221" t="s">
        <v>210</v>
      </c>
      <c r="O377" s="160"/>
    </row>
    <row r="378" spans="2:15">
      <c r="B378" s="146">
        <v>41322</v>
      </c>
      <c r="C378" s="221" t="s">
        <v>220</v>
      </c>
      <c r="D378" s="99">
        <v>10540</v>
      </c>
      <c r="E378" s="221" t="s">
        <v>211</v>
      </c>
      <c r="O378" s="160"/>
    </row>
    <row r="379" spans="2:15">
      <c r="B379" s="146">
        <v>41953</v>
      </c>
      <c r="C379" s="221" t="s">
        <v>217</v>
      </c>
      <c r="D379" s="99">
        <v>33269</v>
      </c>
      <c r="E379" s="221" t="s">
        <v>210</v>
      </c>
      <c r="O379" s="160"/>
    </row>
    <row r="380" spans="2:15">
      <c r="B380" s="146">
        <v>41455</v>
      </c>
      <c r="C380" s="221" t="s">
        <v>218</v>
      </c>
      <c r="D380" s="99">
        <v>18541</v>
      </c>
      <c r="E380" s="221" t="s">
        <v>212</v>
      </c>
      <c r="O380" s="160"/>
    </row>
    <row r="381" spans="2:15">
      <c r="B381" s="146">
        <v>41205</v>
      </c>
      <c r="C381" s="221" t="s">
        <v>218</v>
      </c>
      <c r="D381" s="99">
        <v>14467</v>
      </c>
      <c r="E381" s="221" t="s">
        <v>210</v>
      </c>
      <c r="O381" s="160"/>
    </row>
    <row r="382" spans="2:15">
      <c r="B382" s="146">
        <v>41607</v>
      </c>
      <c r="C382" s="221" t="s">
        <v>220</v>
      </c>
      <c r="D382" s="99">
        <v>19444</v>
      </c>
      <c r="E382" s="221" t="s">
        <v>212</v>
      </c>
      <c r="O382" s="160"/>
    </row>
    <row r="383" spans="2:15">
      <c r="B383" s="146">
        <v>41234</v>
      </c>
      <c r="C383" s="221" t="s">
        <v>219</v>
      </c>
      <c r="D383" s="99">
        <v>32603</v>
      </c>
      <c r="E383" s="221" t="s">
        <v>211</v>
      </c>
      <c r="O383" s="160"/>
    </row>
    <row r="384" spans="2:15">
      <c r="B384" s="146">
        <v>41948</v>
      </c>
      <c r="C384" s="221" t="s">
        <v>219</v>
      </c>
      <c r="D384" s="99">
        <v>27914</v>
      </c>
      <c r="E384" s="221" t="s">
        <v>211</v>
      </c>
      <c r="O384" s="160"/>
    </row>
    <row r="385" spans="2:15">
      <c r="B385" s="146">
        <v>41528</v>
      </c>
      <c r="C385" s="221" t="s">
        <v>217</v>
      </c>
      <c r="D385" s="99">
        <v>7556</v>
      </c>
      <c r="E385" s="221" t="s">
        <v>210</v>
      </c>
      <c r="O385" s="160"/>
    </row>
    <row r="386" spans="2:15">
      <c r="B386" s="146">
        <v>41139</v>
      </c>
      <c r="C386" s="221" t="s">
        <v>220</v>
      </c>
      <c r="D386" s="99">
        <v>13686</v>
      </c>
      <c r="E386" s="221" t="s">
        <v>212</v>
      </c>
      <c r="O386" s="160"/>
    </row>
    <row r="387" spans="2:15">
      <c r="B387" s="146">
        <v>41614</v>
      </c>
      <c r="C387" s="221" t="s">
        <v>218</v>
      </c>
      <c r="D387" s="99">
        <v>22597</v>
      </c>
      <c r="E387" s="221" t="s">
        <v>210</v>
      </c>
      <c r="O387" s="160"/>
    </row>
    <row r="388" spans="2:15">
      <c r="B388" s="146">
        <v>41587</v>
      </c>
      <c r="C388" s="221" t="s">
        <v>220</v>
      </c>
      <c r="D388" s="99">
        <v>21810</v>
      </c>
      <c r="E388" s="221" t="s">
        <v>213</v>
      </c>
      <c r="O388" s="160"/>
    </row>
    <row r="389" spans="2:15">
      <c r="B389" s="146">
        <v>41726</v>
      </c>
      <c r="C389" s="221" t="s">
        <v>217</v>
      </c>
      <c r="D389" s="99">
        <v>24095</v>
      </c>
      <c r="E389" s="221" t="s">
        <v>212</v>
      </c>
      <c r="O389" s="160"/>
    </row>
    <row r="390" spans="2:15">
      <c r="B390" s="146">
        <v>41357</v>
      </c>
      <c r="C390" s="221" t="s">
        <v>217</v>
      </c>
      <c r="D390" s="99">
        <v>20474</v>
      </c>
      <c r="E390" s="221" t="s">
        <v>213</v>
      </c>
      <c r="O390" s="160"/>
    </row>
    <row r="391" spans="2:15">
      <c r="B391" s="146">
        <v>41782</v>
      </c>
      <c r="C391" s="221" t="s">
        <v>220</v>
      </c>
      <c r="D391" s="99">
        <v>10833</v>
      </c>
      <c r="E391" s="221" t="s">
        <v>210</v>
      </c>
      <c r="O391" s="160"/>
    </row>
    <row r="392" spans="2:15">
      <c r="B392" s="146">
        <v>41635</v>
      </c>
      <c r="C392" s="221" t="s">
        <v>219</v>
      </c>
      <c r="D392" s="99">
        <v>34723</v>
      </c>
      <c r="E392" s="221" t="s">
        <v>212</v>
      </c>
      <c r="O392" s="160"/>
    </row>
    <row r="393" spans="2:15">
      <c r="B393" s="146">
        <v>41418</v>
      </c>
      <c r="C393" s="221" t="s">
        <v>218</v>
      </c>
      <c r="D393" s="99">
        <v>20138</v>
      </c>
      <c r="E393" s="221" t="s">
        <v>213</v>
      </c>
      <c r="O393" s="160"/>
    </row>
    <row r="394" spans="2:15">
      <c r="B394" s="146">
        <v>41349</v>
      </c>
      <c r="C394" s="221" t="s">
        <v>218</v>
      </c>
      <c r="D394" s="99">
        <v>23628</v>
      </c>
      <c r="E394" s="221" t="s">
        <v>210</v>
      </c>
      <c r="O394" s="160"/>
    </row>
    <row r="395" spans="2:15">
      <c r="B395" s="146">
        <v>41247</v>
      </c>
      <c r="C395" s="221" t="s">
        <v>217</v>
      </c>
      <c r="D395" s="99">
        <v>32926</v>
      </c>
      <c r="E395" s="221" t="s">
        <v>212</v>
      </c>
      <c r="O395" s="160"/>
    </row>
    <row r="396" spans="2:15">
      <c r="B396" s="146">
        <v>41438</v>
      </c>
      <c r="C396" s="221" t="s">
        <v>219</v>
      </c>
      <c r="D396" s="99">
        <v>29953</v>
      </c>
      <c r="E396" s="221" t="s">
        <v>213</v>
      </c>
      <c r="O396" s="160"/>
    </row>
    <row r="397" spans="2:15">
      <c r="B397" s="146">
        <v>41941</v>
      </c>
      <c r="C397" s="221" t="s">
        <v>217</v>
      </c>
      <c r="D397" s="99">
        <v>24186</v>
      </c>
      <c r="E397" s="221" t="s">
        <v>210</v>
      </c>
      <c r="O397" s="160"/>
    </row>
    <row r="398" spans="2:15">
      <c r="B398" s="146">
        <v>41240</v>
      </c>
      <c r="C398" s="221" t="s">
        <v>217</v>
      </c>
      <c r="D398" s="99">
        <v>14011</v>
      </c>
      <c r="E398" s="221" t="s">
        <v>211</v>
      </c>
      <c r="O398" s="160"/>
    </row>
    <row r="399" spans="2:15">
      <c r="B399" s="146">
        <v>41189</v>
      </c>
      <c r="C399" s="221" t="s">
        <v>219</v>
      </c>
      <c r="D399" s="99">
        <v>31404</v>
      </c>
      <c r="E399" s="221" t="s">
        <v>210</v>
      </c>
      <c r="O399" s="160"/>
    </row>
    <row r="400" spans="2:15">
      <c r="B400" s="146">
        <v>41242</v>
      </c>
      <c r="C400" s="221" t="s">
        <v>220</v>
      </c>
      <c r="D400" s="99">
        <v>8916</v>
      </c>
      <c r="E400" s="221" t="s">
        <v>212</v>
      </c>
      <c r="O400" s="160"/>
    </row>
    <row r="401" spans="2:15">
      <c r="B401" s="146">
        <v>41355</v>
      </c>
      <c r="C401" s="221" t="s">
        <v>217</v>
      </c>
      <c r="D401" s="99">
        <v>38484</v>
      </c>
      <c r="E401" s="221" t="s">
        <v>210</v>
      </c>
      <c r="O401" s="160"/>
    </row>
    <row r="402" spans="2:15">
      <c r="B402" s="146">
        <v>41272</v>
      </c>
      <c r="C402" s="221" t="s">
        <v>217</v>
      </c>
      <c r="D402" s="99">
        <v>12404</v>
      </c>
      <c r="E402" s="221" t="s">
        <v>212</v>
      </c>
      <c r="O402" s="160"/>
    </row>
    <row r="403" spans="2:15">
      <c r="B403" s="146">
        <v>41556</v>
      </c>
      <c r="C403" s="221" t="s">
        <v>218</v>
      </c>
      <c r="D403" s="99">
        <v>5904</v>
      </c>
      <c r="E403" s="221" t="s">
        <v>210</v>
      </c>
      <c r="O403" s="160"/>
    </row>
    <row r="404" spans="2:15">
      <c r="B404" s="146">
        <v>41205</v>
      </c>
      <c r="C404" s="221" t="s">
        <v>218</v>
      </c>
      <c r="D404" s="99">
        <v>36928</v>
      </c>
      <c r="E404" s="221" t="s">
        <v>211</v>
      </c>
      <c r="O404" s="160"/>
    </row>
    <row r="405" spans="2:15">
      <c r="B405" s="146">
        <v>41798</v>
      </c>
      <c r="C405" s="221" t="s">
        <v>218</v>
      </c>
      <c r="D405" s="99">
        <v>6487</v>
      </c>
      <c r="E405" s="221" t="s">
        <v>213</v>
      </c>
      <c r="O405" s="160"/>
    </row>
    <row r="406" spans="2:15">
      <c r="B406" s="146">
        <v>41311</v>
      </c>
      <c r="C406" s="221" t="s">
        <v>218</v>
      </c>
      <c r="D406" s="99">
        <v>6515</v>
      </c>
      <c r="E406" s="221" t="s">
        <v>211</v>
      </c>
      <c r="O406" s="160"/>
    </row>
    <row r="407" spans="2:15">
      <c r="B407" s="146">
        <v>41173</v>
      </c>
      <c r="C407" s="221" t="s">
        <v>219</v>
      </c>
      <c r="D407" s="99">
        <v>30574</v>
      </c>
      <c r="E407" s="221" t="s">
        <v>210</v>
      </c>
      <c r="O407" s="160"/>
    </row>
    <row r="408" spans="2:15">
      <c r="B408" s="146">
        <v>41516</v>
      </c>
      <c r="C408" s="221" t="s">
        <v>218</v>
      </c>
      <c r="D408" s="99">
        <v>26679</v>
      </c>
      <c r="E408" s="221" t="s">
        <v>211</v>
      </c>
      <c r="O408" s="160"/>
    </row>
    <row r="409" spans="2:15">
      <c r="B409" s="146">
        <v>41504</v>
      </c>
      <c r="C409" s="221" t="s">
        <v>218</v>
      </c>
      <c r="D409" s="99">
        <v>19627</v>
      </c>
      <c r="E409" s="221" t="s">
        <v>211</v>
      </c>
      <c r="O409" s="160"/>
    </row>
    <row r="410" spans="2:15">
      <c r="B410" s="146">
        <v>41869</v>
      </c>
      <c r="C410" s="221" t="s">
        <v>218</v>
      </c>
      <c r="D410" s="99">
        <v>28768</v>
      </c>
      <c r="E410" s="221" t="s">
        <v>211</v>
      </c>
      <c r="O410" s="160"/>
    </row>
    <row r="411" spans="2:15">
      <c r="B411" s="146">
        <v>41239</v>
      </c>
      <c r="C411" s="221" t="s">
        <v>220</v>
      </c>
      <c r="D411" s="99">
        <v>5894</v>
      </c>
      <c r="E411" s="221" t="s">
        <v>210</v>
      </c>
      <c r="O411" s="160"/>
    </row>
    <row r="412" spans="2:15">
      <c r="B412" s="146">
        <v>41542</v>
      </c>
      <c r="C412" s="221" t="s">
        <v>220</v>
      </c>
      <c r="D412" s="99">
        <v>29436</v>
      </c>
      <c r="E412" s="221" t="s">
        <v>210</v>
      </c>
      <c r="O412" s="160"/>
    </row>
    <row r="413" spans="2:15">
      <c r="B413" s="146">
        <v>41498</v>
      </c>
      <c r="C413" s="221" t="s">
        <v>218</v>
      </c>
      <c r="D413" s="99">
        <v>38459</v>
      </c>
      <c r="E413" s="221" t="s">
        <v>211</v>
      </c>
      <c r="O413" s="160"/>
    </row>
    <row r="414" spans="2:15">
      <c r="B414" s="146">
        <v>41869</v>
      </c>
      <c r="C414" s="221" t="s">
        <v>219</v>
      </c>
      <c r="D414" s="99">
        <v>16947</v>
      </c>
      <c r="E414" s="221" t="s">
        <v>212</v>
      </c>
      <c r="O414" s="160"/>
    </row>
    <row r="415" spans="2:15">
      <c r="B415" s="146">
        <v>41259</v>
      </c>
      <c r="C415" s="221" t="s">
        <v>218</v>
      </c>
      <c r="D415" s="99">
        <v>32350</v>
      </c>
      <c r="E415" s="221" t="s">
        <v>210</v>
      </c>
      <c r="O415" s="160"/>
    </row>
    <row r="416" spans="2:15">
      <c r="B416" s="146">
        <v>41149</v>
      </c>
      <c r="C416" s="221" t="s">
        <v>219</v>
      </c>
      <c r="D416" s="99">
        <v>22434</v>
      </c>
      <c r="E416" s="221" t="s">
        <v>211</v>
      </c>
      <c r="O416" s="160"/>
    </row>
    <row r="417" spans="2:15">
      <c r="B417" s="146">
        <v>41412</v>
      </c>
      <c r="C417" s="221" t="s">
        <v>217</v>
      </c>
      <c r="D417" s="99">
        <v>31212</v>
      </c>
      <c r="E417" s="221" t="s">
        <v>211</v>
      </c>
      <c r="O417" s="160"/>
    </row>
    <row r="418" spans="2:15">
      <c r="B418" s="146">
        <v>41822</v>
      </c>
      <c r="C418" s="221" t="s">
        <v>220</v>
      </c>
      <c r="D418" s="99">
        <v>10688</v>
      </c>
      <c r="E418" s="221" t="s">
        <v>211</v>
      </c>
      <c r="O418" s="160"/>
    </row>
    <row r="419" spans="2:15">
      <c r="B419" s="146">
        <v>41123</v>
      </c>
      <c r="C419" s="221" t="s">
        <v>218</v>
      </c>
      <c r="D419" s="99">
        <v>7588</v>
      </c>
      <c r="E419" s="221" t="s">
        <v>212</v>
      </c>
      <c r="O419" s="160"/>
    </row>
    <row r="420" spans="2:15">
      <c r="B420" s="146">
        <v>41152</v>
      </c>
      <c r="C420" s="221" t="s">
        <v>220</v>
      </c>
      <c r="D420" s="99">
        <v>27117</v>
      </c>
      <c r="E420" s="221" t="s">
        <v>212</v>
      </c>
      <c r="O420" s="160"/>
    </row>
    <row r="421" spans="2:15">
      <c r="B421" s="146">
        <v>41173</v>
      </c>
      <c r="C421" s="221" t="s">
        <v>220</v>
      </c>
      <c r="D421" s="99">
        <v>39737</v>
      </c>
      <c r="E421" s="221" t="s">
        <v>211</v>
      </c>
      <c r="O421" s="160"/>
    </row>
    <row r="422" spans="2:15">
      <c r="B422" s="146">
        <v>41227</v>
      </c>
      <c r="C422" s="221" t="s">
        <v>220</v>
      </c>
      <c r="D422" s="99">
        <v>36492</v>
      </c>
      <c r="E422" s="221" t="s">
        <v>211</v>
      </c>
      <c r="O422" s="160"/>
    </row>
    <row r="423" spans="2:15">
      <c r="B423" s="146">
        <v>41173</v>
      </c>
      <c r="C423" s="221" t="s">
        <v>219</v>
      </c>
      <c r="D423" s="99">
        <v>39035</v>
      </c>
      <c r="E423" s="221" t="s">
        <v>210</v>
      </c>
      <c r="O423" s="160"/>
    </row>
    <row r="424" spans="2:15">
      <c r="B424" s="146">
        <v>41931</v>
      </c>
      <c r="C424" s="221" t="s">
        <v>219</v>
      </c>
      <c r="D424" s="99">
        <v>16243</v>
      </c>
      <c r="E424" s="221" t="s">
        <v>213</v>
      </c>
      <c r="O424" s="160"/>
    </row>
    <row r="425" spans="2:15">
      <c r="B425" s="146">
        <v>41777</v>
      </c>
      <c r="C425" s="221" t="s">
        <v>217</v>
      </c>
      <c r="D425" s="99">
        <v>5251</v>
      </c>
      <c r="E425" s="221" t="s">
        <v>211</v>
      </c>
      <c r="O425" s="160"/>
    </row>
    <row r="426" spans="2:15">
      <c r="B426" s="146">
        <v>41940</v>
      </c>
      <c r="C426" s="221" t="s">
        <v>219</v>
      </c>
      <c r="D426" s="99">
        <v>15811</v>
      </c>
      <c r="E426" s="221" t="s">
        <v>213</v>
      </c>
      <c r="O426" s="160"/>
    </row>
    <row r="427" spans="2:15">
      <c r="B427" s="146">
        <v>41326</v>
      </c>
      <c r="C427" s="221" t="s">
        <v>220</v>
      </c>
      <c r="D427" s="99">
        <v>11775</v>
      </c>
      <c r="E427" s="221" t="s">
        <v>211</v>
      </c>
      <c r="O427" s="160"/>
    </row>
    <row r="428" spans="2:15">
      <c r="B428" s="146">
        <v>41514</v>
      </c>
      <c r="C428" s="221" t="s">
        <v>220</v>
      </c>
      <c r="D428" s="99">
        <v>7240</v>
      </c>
      <c r="E428" s="221" t="s">
        <v>211</v>
      </c>
      <c r="O428" s="160"/>
    </row>
    <row r="429" spans="2:15">
      <c r="B429" s="146">
        <v>41777</v>
      </c>
      <c r="C429" s="221" t="s">
        <v>217</v>
      </c>
      <c r="D429" s="99">
        <v>36228</v>
      </c>
      <c r="E429" s="221" t="s">
        <v>212</v>
      </c>
      <c r="O429" s="160"/>
    </row>
    <row r="430" spans="2:15">
      <c r="B430" s="146">
        <v>41646</v>
      </c>
      <c r="C430" s="221" t="s">
        <v>220</v>
      </c>
      <c r="D430" s="99">
        <v>27799</v>
      </c>
      <c r="E430" s="221" t="s">
        <v>212</v>
      </c>
      <c r="O430" s="160"/>
    </row>
    <row r="431" spans="2:15">
      <c r="B431" s="146">
        <v>41281</v>
      </c>
      <c r="C431" s="221" t="s">
        <v>219</v>
      </c>
      <c r="D431" s="99">
        <v>22396</v>
      </c>
      <c r="E431" s="221" t="s">
        <v>211</v>
      </c>
      <c r="O431" s="160"/>
    </row>
    <row r="432" spans="2:15">
      <c r="B432" s="146">
        <v>41538</v>
      </c>
      <c r="C432" s="221" t="s">
        <v>218</v>
      </c>
      <c r="D432" s="99">
        <v>22992</v>
      </c>
      <c r="E432" s="221" t="s">
        <v>211</v>
      </c>
      <c r="O432" s="160"/>
    </row>
    <row r="433" spans="2:15">
      <c r="B433" s="146">
        <v>41256</v>
      </c>
      <c r="C433" s="221" t="s">
        <v>218</v>
      </c>
      <c r="D433" s="99">
        <v>7371</v>
      </c>
      <c r="E433" s="221" t="s">
        <v>211</v>
      </c>
      <c r="O433" s="160"/>
    </row>
    <row r="434" spans="2:15">
      <c r="B434" s="146">
        <v>41773</v>
      </c>
      <c r="C434" s="221" t="s">
        <v>219</v>
      </c>
      <c r="D434" s="99">
        <v>10178</v>
      </c>
      <c r="E434" s="221" t="s">
        <v>212</v>
      </c>
      <c r="O434" s="160"/>
    </row>
    <row r="435" spans="2:15">
      <c r="B435" s="146">
        <v>41402</v>
      </c>
      <c r="C435" s="221" t="s">
        <v>220</v>
      </c>
      <c r="D435" s="99">
        <v>33928</v>
      </c>
      <c r="E435" s="221" t="s">
        <v>212</v>
      </c>
      <c r="O435" s="160"/>
    </row>
    <row r="436" spans="2:15">
      <c r="B436" s="146">
        <v>41745</v>
      </c>
      <c r="C436" s="221" t="s">
        <v>220</v>
      </c>
      <c r="D436" s="99">
        <v>35275</v>
      </c>
      <c r="E436" s="221" t="s">
        <v>213</v>
      </c>
      <c r="O436" s="160"/>
    </row>
    <row r="437" spans="2:15">
      <c r="B437" s="146">
        <v>41557</v>
      </c>
      <c r="C437" s="221" t="s">
        <v>219</v>
      </c>
      <c r="D437" s="99">
        <v>21113</v>
      </c>
      <c r="E437" s="221" t="s">
        <v>212</v>
      </c>
      <c r="O437" s="160"/>
    </row>
    <row r="438" spans="2:15">
      <c r="B438" s="146">
        <v>41275</v>
      </c>
      <c r="C438" s="221" t="s">
        <v>219</v>
      </c>
      <c r="D438" s="99">
        <v>19205</v>
      </c>
      <c r="E438" s="221" t="s">
        <v>212</v>
      </c>
      <c r="O438" s="160"/>
    </row>
    <row r="439" spans="2:15">
      <c r="B439" s="146">
        <v>41399</v>
      </c>
      <c r="C439" s="221" t="s">
        <v>219</v>
      </c>
      <c r="D439" s="99">
        <v>13674</v>
      </c>
      <c r="E439" s="221" t="s">
        <v>210</v>
      </c>
      <c r="O439" s="160"/>
    </row>
    <row r="440" spans="2:15">
      <c r="B440" s="146">
        <v>41187</v>
      </c>
      <c r="C440" s="221" t="s">
        <v>219</v>
      </c>
      <c r="D440" s="99">
        <v>34968</v>
      </c>
      <c r="E440" s="221" t="s">
        <v>210</v>
      </c>
      <c r="O440" s="160"/>
    </row>
    <row r="441" spans="2:15">
      <c r="B441" s="146">
        <v>41138</v>
      </c>
      <c r="C441" s="221" t="s">
        <v>220</v>
      </c>
      <c r="D441" s="99">
        <v>16749</v>
      </c>
      <c r="E441" s="221" t="s">
        <v>210</v>
      </c>
      <c r="O441" s="160"/>
    </row>
    <row r="442" spans="2:15">
      <c r="B442" s="146">
        <v>41471</v>
      </c>
      <c r="C442" s="221" t="s">
        <v>217</v>
      </c>
      <c r="D442" s="99">
        <v>22297</v>
      </c>
      <c r="E442" s="221" t="s">
        <v>211</v>
      </c>
      <c r="O442" s="160"/>
    </row>
    <row r="443" spans="2:15">
      <c r="B443" s="146">
        <v>41857</v>
      </c>
      <c r="C443" s="221" t="s">
        <v>220</v>
      </c>
      <c r="D443" s="99">
        <v>26011</v>
      </c>
      <c r="E443" s="221" t="s">
        <v>212</v>
      </c>
      <c r="O443" s="160"/>
    </row>
    <row r="444" spans="2:15">
      <c r="B444" s="146">
        <v>41176</v>
      </c>
      <c r="C444" s="221" t="s">
        <v>219</v>
      </c>
      <c r="D444" s="99">
        <v>17577</v>
      </c>
      <c r="E444" s="221" t="s">
        <v>213</v>
      </c>
      <c r="O444" s="160"/>
    </row>
    <row r="445" spans="2:15">
      <c r="B445" s="146">
        <v>41771</v>
      </c>
      <c r="C445" s="221" t="s">
        <v>218</v>
      </c>
      <c r="D445" s="99">
        <v>27729</v>
      </c>
      <c r="E445" s="221" t="s">
        <v>210</v>
      </c>
      <c r="O445" s="160"/>
    </row>
    <row r="446" spans="2:15">
      <c r="B446" s="146">
        <v>41896</v>
      </c>
      <c r="C446" s="221" t="s">
        <v>217</v>
      </c>
      <c r="D446" s="99">
        <v>29331</v>
      </c>
      <c r="E446" s="221" t="s">
        <v>211</v>
      </c>
      <c r="O446" s="160"/>
    </row>
    <row r="447" spans="2:15">
      <c r="B447" s="146">
        <v>41747</v>
      </c>
      <c r="C447" s="221" t="s">
        <v>218</v>
      </c>
      <c r="D447" s="99">
        <v>16657</v>
      </c>
      <c r="E447" s="221" t="s">
        <v>211</v>
      </c>
      <c r="O447" s="160"/>
    </row>
    <row r="448" spans="2:15">
      <c r="B448" s="146">
        <v>41740</v>
      </c>
      <c r="C448" s="221" t="s">
        <v>219</v>
      </c>
      <c r="D448" s="99">
        <v>36542</v>
      </c>
      <c r="E448" s="221" t="s">
        <v>210</v>
      </c>
      <c r="O448" s="160"/>
    </row>
    <row r="449" spans="2:15">
      <c r="B449" s="146">
        <v>41749</v>
      </c>
      <c r="C449" s="221" t="s">
        <v>219</v>
      </c>
      <c r="D449" s="99">
        <v>32206</v>
      </c>
      <c r="E449" s="221" t="s">
        <v>213</v>
      </c>
      <c r="O449" s="160"/>
    </row>
    <row r="450" spans="2:15">
      <c r="B450" s="146">
        <v>41460</v>
      </c>
      <c r="C450" s="221" t="s">
        <v>217</v>
      </c>
      <c r="D450" s="99">
        <v>7186</v>
      </c>
      <c r="E450" s="221" t="s">
        <v>213</v>
      </c>
      <c r="O450" s="160"/>
    </row>
    <row r="451" spans="2:15">
      <c r="B451" s="146">
        <v>41414</v>
      </c>
      <c r="C451" s="221" t="s">
        <v>220</v>
      </c>
      <c r="D451" s="99">
        <v>32695</v>
      </c>
      <c r="E451" s="221" t="s">
        <v>213</v>
      </c>
      <c r="O451" s="160"/>
    </row>
    <row r="452" spans="2:15">
      <c r="B452" s="146">
        <v>41885</v>
      </c>
      <c r="C452" s="221" t="s">
        <v>220</v>
      </c>
      <c r="D452" s="99">
        <v>20255</v>
      </c>
      <c r="E452" s="221" t="s">
        <v>213</v>
      </c>
      <c r="O452" s="160"/>
    </row>
    <row r="453" spans="2:15">
      <c r="B453" s="146">
        <v>41502</v>
      </c>
      <c r="C453" s="221" t="s">
        <v>220</v>
      </c>
      <c r="D453" s="99">
        <v>38385</v>
      </c>
      <c r="E453" s="221" t="s">
        <v>211</v>
      </c>
      <c r="O453" s="160"/>
    </row>
    <row r="454" spans="2:15">
      <c r="B454" s="146">
        <v>41674</v>
      </c>
      <c r="C454" s="221" t="s">
        <v>218</v>
      </c>
      <c r="D454" s="99">
        <v>7899</v>
      </c>
      <c r="E454" s="221" t="s">
        <v>210</v>
      </c>
      <c r="O454" s="160"/>
    </row>
    <row r="455" spans="2:15">
      <c r="B455" s="146">
        <v>41594</v>
      </c>
      <c r="C455" s="221" t="s">
        <v>217</v>
      </c>
      <c r="D455" s="99">
        <v>5365</v>
      </c>
      <c r="E455" s="221" t="s">
        <v>211</v>
      </c>
      <c r="O455" s="160"/>
    </row>
    <row r="456" spans="2:15">
      <c r="B456" s="146">
        <v>41752</v>
      </c>
      <c r="C456" s="221" t="s">
        <v>219</v>
      </c>
      <c r="D456" s="99">
        <v>22260</v>
      </c>
      <c r="E456" s="221" t="s">
        <v>211</v>
      </c>
      <c r="O456" s="160"/>
    </row>
    <row r="457" spans="2:15">
      <c r="B457" s="146">
        <v>41812</v>
      </c>
      <c r="C457" s="221" t="s">
        <v>217</v>
      </c>
      <c r="D457" s="99">
        <v>35402</v>
      </c>
      <c r="E457" s="221" t="s">
        <v>213</v>
      </c>
      <c r="O457" s="160"/>
    </row>
    <row r="458" spans="2:15">
      <c r="B458" s="146">
        <v>41998</v>
      </c>
      <c r="C458" s="221" t="s">
        <v>219</v>
      </c>
      <c r="D458" s="99">
        <v>13422</v>
      </c>
      <c r="E458" s="221" t="s">
        <v>211</v>
      </c>
      <c r="O458" s="160"/>
    </row>
    <row r="459" spans="2:15">
      <c r="B459" s="146">
        <v>41415</v>
      </c>
      <c r="C459" s="221" t="s">
        <v>218</v>
      </c>
      <c r="D459" s="99">
        <v>11241</v>
      </c>
      <c r="E459" s="221" t="s">
        <v>211</v>
      </c>
      <c r="O459" s="160"/>
    </row>
    <row r="460" spans="2:15">
      <c r="B460" s="146">
        <v>41503</v>
      </c>
      <c r="C460" s="221" t="s">
        <v>219</v>
      </c>
      <c r="D460" s="99">
        <v>20694</v>
      </c>
      <c r="E460" s="221" t="s">
        <v>211</v>
      </c>
      <c r="O460" s="160"/>
    </row>
    <row r="461" spans="2:15">
      <c r="B461" s="146">
        <v>41277</v>
      </c>
      <c r="C461" s="221" t="s">
        <v>217</v>
      </c>
      <c r="D461" s="99">
        <v>7551</v>
      </c>
      <c r="E461" s="221" t="s">
        <v>211</v>
      </c>
      <c r="O461" s="160"/>
    </row>
    <row r="462" spans="2:15">
      <c r="B462" s="146">
        <v>41148</v>
      </c>
      <c r="C462" s="221" t="s">
        <v>219</v>
      </c>
      <c r="D462" s="99">
        <v>9451</v>
      </c>
      <c r="E462" s="221" t="s">
        <v>210</v>
      </c>
      <c r="O462" s="160"/>
    </row>
    <row r="463" spans="2:15">
      <c r="B463" s="146">
        <v>41246</v>
      </c>
      <c r="C463" s="221" t="s">
        <v>219</v>
      </c>
      <c r="D463" s="99">
        <v>36161</v>
      </c>
      <c r="E463" s="221" t="s">
        <v>211</v>
      </c>
      <c r="O463" s="160"/>
    </row>
    <row r="464" spans="2:15">
      <c r="B464" s="146">
        <v>41977</v>
      </c>
      <c r="C464" s="221" t="s">
        <v>218</v>
      </c>
      <c r="D464" s="99">
        <v>37136</v>
      </c>
      <c r="E464" s="221" t="s">
        <v>210</v>
      </c>
      <c r="O464" s="160"/>
    </row>
    <row r="465" spans="2:15">
      <c r="B465" s="146">
        <v>41711</v>
      </c>
      <c r="C465" s="221" t="s">
        <v>217</v>
      </c>
      <c r="D465" s="99">
        <v>24088</v>
      </c>
      <c r="E465" s="221" t="s">
        <v>213</v>
      </c>
      <c r="O465" s="160"/>
    </row>
    <row r="466" spans="2:15">
      <c r="B466" s="146">
        <v>41729</v>
      </c>
      <c r="C466" s="221" t="s">
        <v>218</v>
      </c>
      <c r="D466" s="99">
        <v>29439</v>
      </c>
      <c r="E466" s="221" t="s">
        <v>213</v>
      </c>
      <c r="O466" s="160"/>
    </row>
    <row r="467" spans="2:15">
      <c r="B467" s="146">
        <v>42011</v>
      </c>
      <c r="C467" s="221" t="s">
        <v>219</v>
      </c>
      <c r="D467" s="99">
        <v>22250</v>
      </c>
      <c r="E467" s="221" t="s">
        <v>211</v>
      </c>
      <c r="O467" s="160"/>
    </row>
    <row r="468" spans="2:15">
      <c r="B468" s="146">
        <v>41221</v>
      </c>
      <c r="C468" s="221" t="s">
        <v>218</v>
      </c>
      <c r="D468" s="99">
        <v>14660</v>
      </c>
      <c r="E468" s="221" t="s">
        <v>210</v>
      </c>
      <c r="O468" s="160"/>
    </row>
    <row r="469" spans="2:15">
      <c r="B469" s="146">
        <v>41927</v>
      </c>
      <c r="C469" s="221" t="s">
        <v>219</v>
      </c>
      <c r="D469" s="99">
        <v>13573</v>
      </c>
      <c r="E469" s="221" t="s">
        <v>213</v>
      </c>
      <c r="O469" s="160"/>
    </row>
    <row r="470" spans="2:15">
      <c r="B470" s="146">
        <v>41983</v>
      </c>
      <c r="C470" s="221" t="s">
        <v>219</v>
      </c>
      <c r="D470" s="99">
        <v>10614</v>
      </c>
      <c r="E470" s="221" t="s">
        <v>211</v>
      </c>
      <c r="O470" s="160"/>
    </row>
    <row r="471" spans="2:15">
      <c r="B471" s="146">
        <v>41959</v>
      </c>
      <c r="C471" s="221" t="s">
        <v>220</v>
      </c>
      <c r="D471" s="99">
        <v>19400</v>
      </c>
      <c r="E471" s="221" t="s">
        <v>211</v>
      </c>
      <c r="O471" s="160"/>
    </row>
    <row r="472" spans="2:15">
      <c r="B472" s="146">
        <v>41399</v>
      </c>
      <c r="C472" s="221" t="s">
        <v>220</v>
      </c>
      <c r="D472" s="99">
        <v>8891</v>
      </c>
      <c r="E472" s="221" t="s">
        <v>212</v>
      </c>
      <c r="O472" s="160"/>
    </row>
    <row r="473" spans="2:15">
      <c r="B473" s="146">
        <v>41281</v>
      </c>
      <c r="C473" s="221" t="s">
        <v>219</v>
      </c>
      <c r="D473" s="99">
        <v>32444</v>
      </c>
      <c r="E473" s="221" t="s">
        <v>211</v>
      </c>
      <c r="O473" s="160"/>
    </row>
    <row r="474" spans="2:15">
      <c r="B474" s="146">
        <v>41876</v>
      </c>
      <c r="C474" s="221" t="s">
        <v>217</v>
      </c>
      <c r="D474" s="99">
        <v>12256</v>
      </c>
      <c r="E474" s="221" t="s">
        <v>212</v>
      </c>
      <c r="O474" s="160"/>
    </row>
    <row r="475" spans="2:15">
      <c r="B475" s="146">
        <v>41716</v>
      </c>
      <c r="C475" s="221" t="s">
        <v>220</v>
      </c>
      <c r="D475" s="99">
        <v>36072</v>
      </c>
      <c r="E475" s="221" t="s">
        <v>211</v>
      </c>
      <c r="O475" s="160"/>
    </row>
    <row r="476" spans="2:15">
      <c r="B476" s="146">
        <v>41386</v>
      </c>
      <c r="C476" s="221" t="s">
        <v>217</v>
      </c>
      <c r="D476" s="99">
        <v>15829</v>
      </c>
      <c r="E476" s="221" t="s">
        <v>213</v>
      </c>
      <c r="O476" s="160"/>
    </row>
    <row r="477" spans="2:15">
      <c r="B477" s="146">
        <v>41631</v>
      </c>
      <c r="C477" s="221" t="s">
        <v>219</v>
      </c>
      <c r="D477" s="99">
        <v>31391</v>
      </c>
      <c r="E477" s="221" t="s">
        <v>211</v>
      </c>
      <c r="O477" s="160"/>
    </row>
    <row r="478" spans="2:15">
      <c r="B478" s="146">
        <v>41228</v>
      </c>
      <c r="C478" s="221" t="s">
        <v>217</v>
      </c>
      <c r="D478" s="99">
        <v>17966</v>
      </c>
      <c r="E478" s="221" t="s">
        <v>210</v>
      </c>
      <c r="O478" s="160"/>
    </row>
    <row r="479" spans="2:15">
      <c r="B479" s="146">
        <v>41449</v>
      </c>
      <c r="C479" s="221" t="s">
        <v>217</v>
      </c>
      <c r="D479" s="99">
        <v>11081</v>
      </c>
      <c r="E479" s="221" t="s">
        <v>210</v>
      </c>
      <c r="O479" s="160"/>
    </row>
    <row r="480" spans="2:15">
      <c r="B480" s="146">
        <v>41182</v>
      </c>
      <c r="C480" s="221" t="s">
        <v>219</v>
      </c>
      <c r="D480" s="99">
        <v>30605</v>
      </c>
      <c r="E480" s="221" t="s">
        <v>213</v>
      </c>
      <c r="O480" s="160"/>
    </row>
    <row r="481" spans="2:15">
      <c r="B481" s="146">
        <v>41746</v>
      </c>
      <c r="C481" s="221" t="s">
        <v>220</v>
      </c>
      <c r="D481" s="99">
        <v>12408</v>
      </c>
      <c r="E481" s="221" t="s">
        <v>211</v>
      </c>
      <c r="O481" s="160"/>
    </row>
    <row r="482" spans="2:15">
      <c r="B482" s="146">
        <v>41387</v>
      </c>
      <c r="C482" s="221" t="s">
        <v>217</v>
      </c>
      <c r="D482" s="99">
        <v>25181</v>
      </c>
      <c r="E482" s="221" t="s">
        <v>210</v>
      </c>
      <c r="O482" s="160"/>
    </row>
    <row r="483" spans="2:15">
      <c r="B483" s="146">
        <v>41873</v>
      </c>
      <c r="C483" s="221" t="s">
        <v>217</v>
      </c>
      <c r="D483" s="99">
        <v>38362</v>
      </c>
      <c r="E483" s="221" t="s">
        <v>210</v>
      </c>
      <c r="O483" s="160"/>
    </row>
    <row r="484" spans="2:15">
      <c r="B484" s="146">
        <v>41327</v>
      </c>
      <c r="C484" s="221" t="s">
        <v>217</v>
      </c>
      <c r="D484" s="99">
        <v>35205</v>
      </c>
      <c r="E484" s="221" t="s">
        <v>213</v>
      </c>
      <c r="O484" s="160"/>
    </row>
    <row r="485" spans="2:15">
      <c r="B485" s="146">
        <v>41396</v>
      </c>
      <c r="C485" s="221" t="s">
        <v>217</v>
      </c>
      <c r="D485" s="99">
        <v>14591</v>
      </c>
      <c r="E485" s="221" t="s">
        <v>212</v>
      </c>
      <c r="O485" s="160"/>
    </row>
    <row r="486" spans="2:15">
      <c r="B486" s="146">
        <v>41943</v>
      </c>
      <c r="C486" s="221" t="s">
        <v>220</v>
      </c>
      <c r="D486" s="99">
        <v>32756</v>
      </c>
      <c r="E486" s="221" t="s">
        <v>211</v>
      </c>
      <c r="O486" s="160"/>
    </row>
    <row r="487" spans="2:15">
      <c r="B487" s="146">
        <v>41776</v>
      </c>
      <c r="C487" s="221" t="s">
        <v>218</v>
      </c>
      <c r="D487" s="99">
        <v>17667</v>
      </c>
      <c r="E487" s="221" t="s">
        <v>212</v>
      </c>
      <c r="O487" s="160"/>
    </row>
    <row r="488" spans="2:15">
      <c r="B488" s="146">
        <v>41751</v>
      </c>
      <c r="C488" s="221" t="s">
        <v>217</v>
      </c>
      <c r="D488" s="99">
        <v>17493</v>
      </c>
      <c r="E488" s="221" t="s">
        <v>212</v>
      </c>
      <c r="O488" s="160"/>
    </row>
    <row r="489" spans="2:15">
      <c r="B489" s="146">
        <v>41653</v>
      </c>
      <c r="C489" s="221" t="s">
        <v>219</v>
      </c>
      <c r="D489" s="99">
        <v>18614</v>
      </c>
      <c r="E489" s="221" t="s">
        <v>212</v>
      </c>
      <c r="O489" s="160"/>
    </row>
    <row r="490" spans="2:15">
      <c r="B490" s="146">
        <v>41495</v>
      </c>
      <c r="C490" s="221" t="s">
        <v>217</v>
      </c>
      <c r="D490" s="99">
        <v>34322</v>
      </c>
      <c r="E490" s="221" t="s">
        <v>213</v>
      </c>
      <c r="O490" s="160"/>
    </row>
    <row r="491" spans="2:15">
      <c r="B491" s="146">
        <v>41262</v>
      </c>
      <c r="C491" s="221" t="s">
        <v>219</v>
      </c>
      <c r="D491" s="99">
        <v>28798</v>
      </c>
      <c r="E491" s="221" t="s">
        <v>211</v>
      </c>
      <c r="O491" s="160"/>
    </row>
    <row r="492" spans="2:15">
      <c r="B492" s="146">
        <v>41403</v>
      </c>
      <c r="C492" s="221" t="s">
        <v>217</v>
      </c>
      <c r="D492" s="99">
        <v>12249</v>
      </c>
      <c r="E492" s="221" t="s">
        <v>211</v>
      </c>
      <c r="O492" s="160"/>
    </row>
    <row r="493" spans="2:15">
      <c r="B493" s="146">
        <v>41490</v>
      </c>
      <c r="C493" s="221" t="s">
        <v>219</v>
      </c>
      <c r="D493" s="99">
        <v>18618</v>
      </c>
      <c r="E493" s="221" t="s">
        <v>212</v>
      </c>
      <c r="O493" s="160"/>
    </row>
    <row r="494" spans="2:15">
      <c r="B494" s="146">
        <v>41601</v>
      </c>
      <c r="C494" s="221" t="s">
        <v>220</v>
      </c>
      <c r="D494" s="99">
        <v>14486</v>
      </c>
      <c r="E494" s="221" t="s">
        <v>212</v>
      </c>
      <c r="O494" s="160"/>
    </row>
    <row r="495" spans="2:15">
      <c r="B495" s="146">
        <v>41629</v>
      </c>
      <c r="C495" s="221" t="s">
        <v>217</v>
      </c>
      <c r="D495" s="99">
        <v>31455</v>
      </c>
      <c r="E495" s="221" t="s">
        <v>210</v>
      </c>
      <c r="O495" s="160"/>
    </row>
    <row r="496" spans="2:15">
      <c r="B496" s="146">
        <v>41560</v>
      </c>
      <c r="C496" s="221" t="s">
        <v>217</v>
      </c>
      <c r="D496" s="99">
        <v>18309</v>
      </c>
      <c r="E496" s="221" t="s">
        <v>212</v>
      </c>
      <c r="O496" s="160"/>
    </row>
    <row r="497" spans="2:15">
      <c r="B497" s="146">
        <v>41478</v>
      </c>
      <c r="C497" s="221" t="s">
        <v>219</v>
      </c>
      <c r="D497" s="99">
        <v>38238</v>
      </c>
      <c r="E497" s="221" t="s">
        <v>213</v>
      </c>
      <c r="O497" s="160"/>
    </row>
    <row r="498" spans="2:15">
      <c r="B498" s="146">
        <v>41389</v>
      </c>
      <c r="C498" s="221" t="s">
        <v>218</v>
      </c>
      <c r="D498" s="99">
        <v>21305</v>
      </c>
      <c r="E498" s="221" t="s">
        <v>212</v>
      </c>
      <c r="O498" s="160"/>
    </row>
    <row r="499" spans="2:15">
      <c r="B499" s="146">
        <v>41468</v>
      </c>
      <c r="C499" s="221" t="s">
        <v>218</v>
      </c>
      <c r="D499" s="99">
        <v>16093</v>
      </c>
      <c r="E499" s="221" t="s">
        <v>213</v>
      </c>
      <c r="O499" s="160"/>
    </row>
    <row r="500" spans="2:15">
      <c r="B500" s="146">
        <v>41244</v>
      </c>
      <c r="C500" s="221" t="s">
        <v>218</v>
      </c>
      <c r="D500" s="99">
        <v>10386</v>
      </c>
      <c r="E500" s="221" t="s">
        <v>210</v>
      </c>
      <c r="O500" s="160"/>
    </row>
    <row r="501" spans="2:15">
      <c r="B501" s="146">
        <v>41954</v>
      </c>
      <c r="C501" s="221" t="s">
        <v>217</v>
      </c>
      <c r="D501" s="99">
        <v>12331</v>
      </c>
      <c r="E501" s="221" t="s">
        <v>213</v>
      </c>
      <c r="O501" s="160"/>
    </row>
    <row r="502" spans="2:15">
      <c r="B502" s="146">
        <v>41817</v>
      </c>
      <c r="C502" s="221" t="s">
        <v>217</v>
      </c>
      <c r="D502" s="99">
        <v>11065</v>
      </c>
      <c r="E502" s="221" t="s">
        <v>213</v>
      </c>
      <c r="O502" s="160"/>
    </row>
    <row r="503" spans="2:15">
      <c r="B503" s="146">
        <v>41698</v>
      </c>
      <c r="C503" s="221" t="s">
        <v>217</v>
      </c>
      <c r="D503" s="99">
        <v>35414</v>
      </c>
      <c r="E503" s="221" t="s">
        <v>213</v>
      </c>
      <c r="O503" s="160"/>
    </row>
    <row r="504" spans="2:15">
      <c r="B504" s="146">
        <v>41675</v>
      </c>
      <c r="C504" s="221" t="s">
        <v>217</v>
      </c>
      <c r="D504" s="99">
        <v>22617</v>
      </c>
      <c r="E504" s="221" t="s">
        <v>211</v>
      </c>
      <c r="O504" s="160"/>
    </row>
    <row r="505" spans="2:15">
      <c r="B505" s="146">
        <v>41230</v>
      </c>
      <c r="C505" s="221" t="s">
        <v>220</v>
      </c>
      <c r="D505" s="99">
        <v>23323</v>
      </c>
      <c r="E505" s="221" t="s">
        <v>212</v>
      </c>
      <c r="O505" s="160"/>
    </row>
    <row r="506" spans="2:15">
      <c r="B506" s="146">
        <v>41370</v>
      </c>
      <c r="C506" s="221" t="s">
        <v>217</v>
      </c>
      <c r="D506" s="99">
        <v>19283</v>
      </c>
      <c r="E506" s="221" t="s">
        <v>210</v>
      </c>
      <c r="O506" s="160"/>
    </row>
    <row r="507" spans="2:15">
      <c r="B507" s="146">
        <v>41157</v>
      </c>
      <c r="C507" s="221" t="s">
        <v>220</v>
      </c>
      <c r="D507" s="99">
        <v>14046</v>
      </c>
      <c r="E507" s="221" t="s">
        <v>210</v>
      </c>
      <c r="O507" s="160"/>
    </row>
    <row r="508" spans="2:15">
      <c r="B508" s="146">
        <v>41605</v>
      </c>
      <c r="C508" s="221" t="s">
        <v>220</v>
      </c>
      <c r="D508" s="99">
        <v>35148</v>
      </c>
      <c r="E508" s="221" t="s">
        <v>210</v>
      </c>
      <c r="O508" s="160"/>
    </row>
    <row r="509" spans="2:15">
      <c r="B509" s="146">
        <v>41706</v>
      </c>
      <c r="C509" s="221" t="s">
        <v>220</v>
      </c>
      <c r="D509" s="99">
        <v>25340</v>
      </c>
      <c r="E509" s="221" t="s">
        <v>212</v>
      </c>
      <c r="O509" s="160"/>
    </row>
    <row r="510" spans="2:15">
      <c r="B510" s="146">
        <v>41865</v>
      </c>
      <c r="C510" s="221" t="s">
        <v>219</v>
      </c>
      <c r="D510" s="99">
        <v>32409</v>
      </c>
      <c r="E510" s="221" t="s">
        <v>213</v>
      </c>
      <c r="O510" s="160"/>
    </row>
    <row r="511" spans="2:15">
      <c r="B511" s="146">
        <v>41805</v>
      </c>
      <c r="C511" s="221" t="s">
        <v>219</v>
      </c>
      <c r="D511" s="99">
        <v>6032</v>
      </c>
      <c r="E511" s="221" t="s">
        <v>210</v>
      </c>
      <c r="O511" s="160"/>
    </row>
    <row r="512" spans="2:15">
      <c r="B512" s="146">
        <v>41677</v>
      </c>
      <c r="C512" s="221" t="s">
        <v>217</v>
      </c>
      <c r="D512" s="99">
        <v>27844</v>
      </c>
      <c r="E512" s="221" t="s">
        <v>213</v>
      </c>
      <c r="O512" s="160"/>
    </row>
    <row r="513" spans="2:15">
      <c r="B513" s="146">
        <v>41206</v>
      </c>
      <c r="C513" s="221" t="s">
        <v>220</v>
      </c>
      <c r="D513" s="99">
        <v>24807</v>
      </c>
      <c r="E513" s="221" t="s">
        <v>211</v>
      </c>
      <c r="O513" s="160"/>
    </row>
    <row r="514" spans="2:15">
      <c r="B514" s="146">
        <v>41234</v>
      </c>
      <c r="C514" s="221" t="s">
        <v>219</v>
      </c>
      <c r="D514" s="99">
        <v>20853</v>
      </c>
      <c r="E514" s="221" t="s">
        <v>212</v>
      </c>
      <c r="O514" s="160"/>
    </row>
    <row r="515" spans="2:15">
      <c r="B515" s="146">
        <v>41423</v>
      </c>
      <c r="C515" s="221" t="s">
        <v>218</v>
      </c>
      <c r="D515" s="99">
        <v>20183</v>
      </c>
      <c r="E515" s="221" t="s">
        <v>213</v>
      </c>
      <c r="O515" s="160"/>
    </row>
    <row r="516" spans="2:15">
      <c r="B516" s="146">
        <v>41285</v>
      </c>
      <c r="C516" s="221" t="s">
        <v>218</v>
      </c>
      <c r="D516" s="99">
        <v>7997</v>
      </c>
      <c r="E516" s="221" t="s">
        <v>213</v>
      </c>
      <c r="O516" s="160"/>
    </row>
    <row r="517" spans="2:15">
      <c r="B517" s="146">
        <v>41760</v>
      </c>
      <c r="C517" s="221" t="s">
        <v>220</v>
      </c>
      <c r="D517" s="99">
        <v>8549</v>
      </c>
      <c r="E517" s="221" t="s">
        <v>211</v>
      </c>
      <c r="O517" s="160"/>
    </row>
    <row r="518" spans="2:15">
      <c r="B518" s="146">
        <v>41372</v>
      </c>
      <c r="C518" s="221" t="s">
        <v>219</v>
      </c>
      <c r="D518" s="99">
        <v>19014</v>
      </c>
      <c r="E518" s="221" t="s">
        <v>210</v>
      </c>
      <c r="O518" s="160"/>
    </row>
    <row r="519" spans="2:15">
      <c r="B519" s="146">
        <v>41339</v>
      </c>
      <c r="C519" s="221" t="s">
        <v>220</v>
      </c>
      <c r="D519" s="99">
        <v>12773</v>
      </c>
      <c r="E519" s="221" t="s">
        <v>211</v>
      </c>
      <c r="O519" s="160"/>
    </row>
    <row r="520" spans="2:15">
      <c r="B520" s="146">
        <v>41749</v>
      </c>
      <c r="C520" s="221" t="s">
        <v>218</v>
      </c>
      <c r="D520" s="99">
        <v>38286</v>
      </c>
      <c r="E520" s="221" t="s">
        <v>213</v>
      </c>
      <c r="O520" s="160"/>
    </row>
    <row r="521" spans="2:15">
      <c r="B521" s="146">
        <v>41652</v>
      </c>
      <c r="C521" s="221" t="s">
        <v>217</v>
      </c>
      <c r="D521" s="99">
        <v>36863</v>
      </c>
      <c r="E521" s="221" t="s">
        <v>210</v>
      </c>
      <c r="O521" s="160"/>
    </row>
    <row r="522" spans="2:15">
      <c r="B522" s="146">
        <v>41633</v>
      </c>
      <c r="C522" s="221" t="s">
        <v>219</v>
      </c>
      <c r="D522" s="99">
        <v>7564</v>
      </c>
      <c r="E522" s="221" t="s">
        <v>212</v>
      </c>
      <c r="O522" s="160"/>
    </row>
    <row r="523" spans="2:15">
      <c r="B523" s="146">
        <v>41920</v>
      </c>
      <c r="C523" s="221" t="s">
        <v>217</v>
      </c>
      <c r="D523" s="99">
        <v>29464</v>
      </c>
      <c r="E523" s="221" t="s">
        <v>213</v>
      </c>
      <c r="O523" s="160"/>
    </row>
    <row r="524" spans="2:15">
      <c r="B524" s="146">
        <v>41473</v>
      </c>
      <c r="C524" s="221" t="s">
        <v>218</v>
      </c>
      <c r="D524" s="99">
        <v>20853</v>
      </c>
      <c r="E524" s="221" t="s">
        <v>212</v>
      </c>
      <c r="O524" s="160"/>
    </row>
    <row r="525" spans="2:15">
      <c r="B525" s="146">
        <v>41474</v>
      </c>
      <c r="C525" s="221" t="s">
        <v>217</v>
      </c>
      <c r="D525" s="99">
        <v>12050</v>
      </c>
      <c r="E525" s="221" t="s">
        <v>211</v>
      </c>
      <c r="O525" s="160"/>
    </row>
    <row r="526" spans="2:15">
      <c r="B526" s="146">
        <v>41592</v>
      </c>
      <c r="C526" s="221" t="s">
        <v>218</v>
      </c>
      <c r="D526" s="99">
        <v>28383</v>
      </c>
      <c r="E526" s="221" t="s">
        <v>213</v>
      </c>
      <c r="O526" s="160"/>
    </row>
    <row r="527" spans="2:15">
      <c r="B527" s="146">
        <v>41629</v>
      </c>
      <c r="C527" s="221" t="s">
        <v>218</v>
      </c>
      <c r="D527" s="99">
        <v>31673</v>
      </c>
      <c r="E527" s="221" t="s">
        <v>212</v>
      </c>
      <c r="O527" s="160"/>
    </row>
    <row r="528" spans="2:15">
      <c r="B528" s="146">
        <v>41143</v>
      </c>
      <c r="C528" s="221" t="s">
        <v>220</v>
      </c>
      <c r="D528" s="99">
        <v>22938</v>
      </c>
      <c r="E528" s="221" t="s">
        <v>211</v>
      </c>
      <c r="O528" s="160"/>
    </row>
    <row r="529" spans="2:15">
      <c r="B529" s="146">
        <v>41619</v>
      </c>
      <c r="C529" s="221" t="s">
        <v>217</v>
      </c>
      <c r="D529" s="99">
        <v>36383</v>
      </c>
      <c r="E529" s="221" t="s">
        <v>213</v>
      </c>
      <c r="O529" s="160"/>
    </row>
    <row r="530" spans="2:15">
      <c r="B530" s="146">
        <v>41594</v>
      </c>
      <c r="C530" s="221" t="s">
        <v>217</v>
      </c>
      <c r="D530" s="99">
        <v>27239</v>
      </c>
      <c r="E530" s="221" t="s">
        <v>210</v>
      </c>
      <c r="O530" s="160"/>
    </row>
    <row r="531" spans="2:15">
      <c r="B531" s="146">
        <v>41305</v>
      </c>
      <c r="C531" s="221" t="s">
        <v>220</v>
      </c>
      <c r="D531" s="99">
        <v>25460</v>
      </c>
      <c r="E531" s="221" t="s">
        <v>210</v>
      </c>
      <c r="O531" s="160"/>
    </row>
    <row r="532" spans="2:15">
      <c r="B532" s="146">
        <v>41456</v>
      </c>
      <c r="C532" s="221" t="s">
        <v>218</v>
      </c>
      <c r="D532" s="99">
        <v>14755</v>
      </c>
      <c r="E532" s="221" t="s">
        <v>213</v>
      </c>
      <c r="O532" s="160"/>
    </row>
    <row r="533" spans="2:15">
      <c r="B533" s="146">
        <v>41141</v>
      </c>
      <c r="C533" s="221" t="s">
        <v>219</v>
      </c>
      <c r="D533" s="99">
        <v>38541</v>
      </c>
      <c r="E533" s="221" t="s">
        <v>213</v>
      </c>
      <c r="O533" s="160"/>
    </row>
    <row r="534" spans="2:15">
      <c r="B534" s="146">
        <v>41655</v>
      </c>
      <c r="C534" s="221" t="s">
        <v>219</v>
      </c>
      <c r="D534" s="99">
        <v>38001</v>
      </c>
      <c r="E534" s="221" t="s">
        <v>210</v>
      </c>
      <c r="O534" s="160"/>
    </row>
    <row r="535" spans="2:15">
      <c r="B535" s="146">
        <v>41353</v>
      </c>
      <c r="C535" s="221" t="s">
        <v>219</v>
      </c>
      <c r="D535" s="99">
        <v>14590</v>
      </c>
      <c r="E535" s="221" t="s">
        <v>213</v>
      </c>
      <c r="O535" s="160"/>
    </row>
    <row r="536" spans="2:15">
      <c r="B536" s="146">
        <v>41904</v>
      </c>
      <c r="C536" s="221" t="s">
        <v>219</v>
      </c>
      <c r="D536" s="99">
        <v>32643</v>
      </c>
      <c r="E536" s="221" t="s">
        <v>210</v>
      </c>
      <c r="O536" s="160"/>
    </row>
    <row r="537" spans="2:15">
      <c r="B537" s="146">
        <v>41882</v>
      </c>
      <c r="C537" s="221" t="s">
        <v>220</v>
      </c>
      <c r="D537" s="99">
        <v>5767</v>
      </c>
      <c r="E537" s="221" t="s">
        <v>211</v>
      </c>
      <c r="O537" s="160"/>
    </row>
    <row r="538" spans="2:15">
      <c r="B538" s="146">
        <v>41400</v>
      </c>
      <c r="C538" s="221" t="s">
        <v>217</v>
      </c>
      <c r="D538" s="99">
        <v>25852</v>
      </c>
      <c r="E538" s="221" t="s">
        <v>211</v>
      </c>
      <c r="O538" s="160"/>
    </row>
    <row r="539" spans="2:15">
      <c r="B539" s="146">
        <v>41435</v>
      </c>
      <c r="C539" s="221" t="s">
        <v>218</v>
      </c>
      <c r="D539" s="99">
        <v>29006</v>
      </c>
      <c r="E539" s="221" t="s">
        <v>211</v>
      </c>
      <c r="O539" s="160"/>
    </row>
    <row r="540" spans="2:15">
      <c r="B540" s="146">
        <v>41348</v>
      </c>
      <c r="C540" s="221" t="s">
        <v>219</v>
      </c>
      <c r="D540" s="99">
        <v>35536</v>
      </c>
      <c r="E540" s="221" t="s">
        <v>213</v>
      </c>
      <c r="O540" s="160"/>
    </row>
    <row r="541" spans="2:15">
      <c r="B541" s="146">
        <v>41187</v>
      </c>
      <c r="C541" s="221" t="s">
        <v>218</v>
      </c>
      <c r="D541" s="99">
        <v>38402</v>
      </c>
      <c r="E541" s="221" t="s">
        <v>213</v>
      </c>
      <c r="O541" s="160"/>
    </row>
    <row r="542" spans="2:15">
      <c r="B542" s="146">
        <v>41232</v>
      </c>
      <c r="C542" s="221" t="s">
        <v>220</v>
      </c>
      <c r="D542" s="99">
        <v>18606</v>
      </c>
      <c r="E542" s="221" t="s">
        <v>211</v>
      </c>
      <c r="O542" s="160"/>
    </row>
    <row r="543" spans="2:15">
      <c r="B543" s="146">
        <v>41770</v>
      </c>
      <c r="C543" s="221" t="s">
        <v>218</v>
      </c>
      <c r="D543" s="99">
        <v>13469</v>
      </c>
      <c r="E543" s="221" t="s">
        <v>211</v>
      </c>
      <c r="O543" s="160"/>
    </row>
    <row r="544" spans="2:15">
      <c r="B544" s="146">
        <v>41511</v>
      </c>
      <c r="C544" s="221" t="s">
        <v>219</v>
      </c>
      <c r="D544" s="99">
        <v>18028</v>
      </c>
      <c r="E544" s="221" t="s">
        <v>212</v>
      </c>
      <c r="O544" s="160"/>
    </row>
    <row r="545" spans="2:15">
      <c r="B545" s="146">
        <v>41573</v>
      </c>
      <c r="C545" s="221" t="s">
        <v>219</v>
      </c>
      <c r="D545" s="99">
        <v>15971</v>
      </c>
      <c r="E545" s="221" t="s">
        <v>211</v>
      </c>
      <c r="O545" s="160"/>
    </row>
    <row r="546" spans="2:15">
      <c r="B546" s="146">
        <v>41672</v>
      </c>
      <c r="C546" s="221" t="s">
        <v>220</v>
      </c>
      <c r="D546" s="99">
        <v>10481</v>
      </c>
      <c r="E546" s="221" t="s">
        <v>213</v>
      </c>
      <c r="O546" s="160"/>
    </row>
    <row r="547" spans="2:15">
      <c r="B547" s="146">
        <v>41781</v>
      </c>
      <c r="C547" s="221" t="s">
        <v>219</v>
      </c>
      <c r="D547" s="99">
        <v>23912</v>
      </c>
      <c r="E547" s="221" t="s">
        <v>210</v>
      </c>
      <c r="O547" s="160"/>
    </row>
    <row r="548" spans="2:15">
      <c r="B548" s="146">
        <v>41888</v>
      </c>
      <c r="C548" s="221" t="s">
        <v>219</v>
      </c>
      <c r="D548" s="99">
        <v>10688</v>
      </c>
      <c r="E548" s="221" t="s">
        <v>211</v>
      </c>
      <c r="O548" s="160"/>
    </row>
    <row r="549" spans="2:15">
      <c r="B549" s="146">
        <v>41132</v>
      </c>
      <c r="C549" s="221" t="s">
        <v>220</v>
      </c>
      <c r="D549" s="99">
        <v>21239</v>
      </c>
      <c r="E549" s="221" t="s">
        <v>211</v>
      </c>
      <c r="O549" s="160"/>
    </row>
    <row r="550" spans="2:15">
      <c r="B550" s="146">
        <v>41932</v>
      </c>
      <c r="C550" s="221" t="s">
        <v>218</v>
      </c>
      <c r="D550" s="99">
        <v>16884</v>
      </c>
      <c r="E550" s="221" t="s">
        <v>210</v>
      </c>
      <c r="O550" s="160"/>
    </row>
    <row r="551" spans="2:15">
      <c r="B551" s="146">
        <v>41257</v>
      </c>
      <c r="C551" s="221" t="s">
        <v>220</v>
      </c>
      <c r="D551" s="99">
        <v>8270</v>
      </c>
      <c r="E551" s="221" t="s">
        <v>213</v>
      </c>
      <c r="O551" s="160"/>
    </row>
    <row r="552" spans="2:15">
      <c r="B552" s="146">
        <v>41471</v>
      </c>
      <c r="C552" s="221" t="s">
        <v>217</v>
      </c>
      <c r="D552" s="99">
        <v>12737</v>
      </c>
      <c r="E552" s="221" t="s">
        <v>212</v>
      </c>
      <c r="O552" s="160"/>
    </row>
    <row r="553" spans="2:15">
      <c r="B553" s="146">
        <v>41502</v>
      </c>
      <c r="C553" s="221" t="s">
        <v>220</v>
      </c>
      <c r="D553" s="99">
        <v>23880</v>
      </c>
      <c r="E553" s="221" t="s">
        <v>213</v>
      </c>
      <c r="O553" s="160"/>
    </row>
    <row r="554" spans="2:15">
      <c r="B554" s="146">
        <v>41777</v>
      </c>
      <c r="C554" s="221" t="s">
        <v>217</v>
      </c>
      <c r="D554" s="99">
        <v>12583</v>
      </c>
      <c r="E554" s="221" t="s">
        <v>210</v>
      </c>
      <c r="O554" s="160"/>
    </row>
    <row r="555" spans="2:15">
      <c r="B555" s="146">
        <v>41580</v>
      </c>
      <c r="C555" s="221" t="s">
        <v>220</v>
      </c>
      <c r="D555" s="99">
        <v>6014</v>
      </c>
      <c r="E555" s="221" t="s">
        <v>213</v>
      </c>
      <c r="O555" s="160"/>
    </row>
    <row r="556" spans="2:15">
      <c r="B556" s="146">
        <v>41696</v>
      </c>
      <c r="C556" s="221" t="s">
        <v>218</v>
      </c>
      <c r="D556" s="99">
        <v>6356</v>
      </c>
      <c r="E556" s="221" t="s">
        <v>210</v>
      </c>
      <c r="O556" s="160"/>
    </row>
    <row r="557" spans="2:15">
      <c r="B557" s="146">
        <v>41356</v>
      </c>
      <c r="C557" s="221" t="s">
        <v>217</v>
      </c>
      <c r="D557" s="99">
        <v>22205</v>
      </c>
      <c r="E557" s="221" t="s">
        <v>213</v>
      </c>
      <c r="O557" s="160"/>
    </row>
    <row r="558" spans="2:15">
      <c r="B558" s="146">
        <v>41456</v>
      </c>
      <c r="C558" s="221" t="s">
        <v>220</v>
      </c>
      <c r="D558" s="99">
        <v>29894</v>
      </c>
      <c r="E558" s="221" t="s">
        <v>210</v>
      </c>
      <c r="O558" s="160"/>
    </row>
    <row r="559" spans="2:15">
      <c r="B559" s="146">
        <v>41893</v>
      </c>
      <c r="C559" s="221" t="s">
        <v>217</v>
      </c>
      <c r="D559" s="99">
        <v>28576</v>
      </c>
      <c r="E559" s="221" t="s">
        <v>210</v>
      </c>
      <c r="O559" s="160"/>
    </row>
    <row r="560" spans="2:15">
      <c r="B560" s="146">
        <v>41758</v>
      </c>
      <c r="C560" s="221" t="s">
        <v>218</v>
      </c>
      <c r="D560" s="99">
        <v>34208</v>
      </c>
      <c r="E560" s="221" t="s">
        <v>212</v>
      </c>
      <c r="O560" s="160"/>
    </row>
    <row r="561" spans="2:15">
      <c r="B561" s="146">
        <v>41280</v>
      </c>
      <c r="C561" s="221" t="s">
        <v>219</v>
      </c>
      <c r="D561" s="99">
        <v>16821</v>
      </c>
      <c r="E561" s="221" t="s">
        <v>210</v>
      </c>
      <c r="O561" s="160"/>
    </row>
    <row r="562" spans="2:15">
      <c r="B562" s="146">
        <v>41817</v>
      </c>
      <c r="C562" s="221" t="s">
        <v>218</v>
      </c>
      <c r="D562" s="99">
        <v>6512</v>
      </c>
      <c r="E562" s="221" t="s">
        <v>210</v>
      </c>
      <c r="O562" s="160"/>
    </row>
    <row r="563" spans="2:15">
      <c r="B563" s="146">
        <v>41790</v>
      </c>
      <c r="C563" s="221" t="s">
        <v>217</v>
      </c>
      <c r="D563" s="99">
        <v>10316</v>
      </c>
      <c r="E563" s="221" t="s">
        <v>213</v>
      </c>
      <c r="O563" s="160"/>
    </row>
    <row r="564" spans="2:15">
      <c r="B564" s="146">
        <v>41766</v>
      </c>
      <c r="C564" s="221" t="s">
        <v>218</v>
      </c>
      <c r="D564" s="99">
        <v>39454</v>
      </c>
      <c r="E564" s="221" t="s">
        <v>213</v>
      </c>
      <c r="O564" s="160"/>
    </row>
    <row r="565" spans="2:15">
      <c r="B565" s="146">
        <v>41773</v>
      </c>
      <c r="C565" s="221" t="s">
        <v>217</v>
      </c>
      <c r="D565" s="99">
        <v>15436</v>
      </c>
      <c r="E565" s="221" t="s">
        <v>211</v>
      </c>
      <c r="O565" s="160"/>
    </row>
    <row r="566" spans="2:15">
      <c r="B566" s="146">
        <v>41208</v>
      </c>
      <c r="C566" s="221" t="s">
        <v>219</v>
      </c>
      <c r="D566" s="99">
        <v>32691</v>
      </c>
      <c r="E566" s="221" t="s">
        <v>211</v>
      </c>
      <c r="O566" s="160"/>
    </row>
    <row r="567" spans="2:15">
      <c r="B567" s="146">
        <v>41328</v>
      </c>
      <c r="C567" s="221" t="s">
        <v>218</v>
      </c>
      <c r="D567" s="99">
        <v>33702</v>
      </c>
      <c r="E567" s="221" t="s">
        <v>213</v>
      </c>
      <c r="O567" s="160"/>
    </row>
    <row r="568" spans="2:15">
      <c r="B568" s="146">
        <v>41518</v>
      </c>
      <c r="C568" s="221" t="s">
        <v>217</v>
      </c>
      <c r="D568" s="99">
        <v>13134</v>
      </c>
      <c r="E568" s="221" t="s">
        <v>213</v>
      </c>
      <c r="O568" s="160"/>
    </row>
    <row r="569" spans="2:15">
      <c r="B569" s="146">
        <v>41994</v>
      </c>
      <c r="C569" s="221" t="s">
        <v>217</v>
      </c>
      <c r="D569" s="99">
        <v>32011</v>
      </c>
      <c r="E569" s="221" t="s">
        <v>210</v>
      </c>
      <c r="O569" s="160"/>
    </row>
    <row r="570" spans="2:15">
      <c r="B570" s="146">
        <v>41250</v>
      </c>
      <c r="C570" s="221" t="s">
        <v>220</v>
      </c>
      <c r="D570" s="99">
        <v>17743</v>
      </c>
      <c r="E570" s="221" t="s">
        <v>210</v>
      </c>
      <c r="O570" s="160"/>
    </row>
    <row r="571" spans="2:15">
      <c r="B571" s="146">
        <v>41777</v>
      </c>
      <c r="C571" s="221" t="s">
        <v>220</v>
      </c>
      <c r="D571" s="99">
        <v>31828</v>
      </c>
      <c r="E571" s="221" t="s">
        <v>213</v>
      </c>
      <c r="O571" s="160"/>
    </row>
    <row r="572" spans="2:15">
      <c r="B572" s="146">
        <v>41709</v>
      </c>
      <c r="C572" s="221" t="s">
        <v>220</v>
      </c>
      <c r="D572" s="99">
        <v>11873</v>
      </c>
      <c r="E572" s="221" t="s">
        <v>213</v>
      </c>
      <c r="O572" s="160"/>
    </row>
    <row r="573" spans="2:15">
      <c r="B573" s="146">
        <v>41956</v>
      </c>
      <c r="C573" s="221" t="s">
        <v>219</v>
      </c>
      <c r="D573" s="99">
        <v>21158</v>
      </c>
      <c r="E573" s="221" t="s">
        <v>212</v>
      </c>
      <c r="O573" s="160"/>
    </row>
    <row r="574" spans="2:15">
      <c r="B574" s="146">
        <v>41395</v>
      </c>
      <c r="C574" s="221" t="s">
        <v>217</v>
      </c>
      <c r="D574" s="99">
        <v>11977</v>
      </c>
      <c r="E574" s="221" t="s">
        <v>212</v>
      </c>
      <c r="O574" s="160"/>
    </row>
    <row r="575" spans="2:15">
      <c r="B575" s="146">
        <v>41316</v>
      </c>
      <c r="C575" s="221" t="s">
        <v>220</v>
      </c>
      <c r="D575" s="99">
        <v>33497</v>
      </c>
      <c r="E575" s="221" t="s">
        <v>210</v>
      </c>
      <c r="O575" s="160"/>
    </row>
    <row r="576" spans="2:15">
      <c r="B576" s="146">
        <v>41639</v>
      </c>
      <c r="C576" s="221" t="s">
        <v>219</v>
      </c>
      <c r="D576" s="99">
        <v>12185</v>
      </c>
      <c r="E576" s="221" t="s">
        <v>210</v>
      </c>
      <c r="O576" s="160"/>
    </row>
    <row r="577" spans="2:15">
      <c r="B577" s="146">
        <v>41985</v>
      </c>
      <c r="C577" s="221" t="s">
        <v>217</v>
      </c>
      <c r="D577" s="99">
        <v>27094</v>
      </c>
      <c r="E577" s="221" t="s">
        <v>212</v>
      </c>
      <c r="O577" s="160"/>
    </row>
    <row r="578" spans="2:15">
      <c r="B578" s="146">
        <v>41357</v>
      </c>
      <c r="C578" s="221" t="s">
        <v>218</v>
      </c>
      <c r="D578" s="99">
        <v>27283</v>
      </c>
      <c r="E578" s="221" t="s">
        <v>213</v>
      </c>
      <c r="O578" s="160"/>
    </row>
    <row r="579" spans="2:15">
      <c r="B579" s="146">
        <v>41927</v>
      </c>
      <c r="C579" s="221" t="s">
        <v>218</v>
      </c>
      <c r="D579" s="99">
        <v>26950</v>
      </c>
      <c r="E579" s="221" t="s">
        <v>210</v>
      </c>
      <c r="O579" s="160"/>
    </row>
    <row r="580" spans="2:15">
      <c r="B580" s="146">
        <v>41947</v>
      </c>
      <c r="C580" s="221" t="s">
        <v>218</v>
      </c>
      <c r="D580" s="99">
        <v>10303</v>
      </c>
      <c r="E580" s="221" t="s">
        <v>212</v>
      </c>
      <c r="O580" s="160"/>
    </row>
    <row r="581" spans="2:15">
      <c r="B581" s="146">
        <v>41889</v>
      </c>
      <c r="C581" s="221" t="s">
        <v>218</v>
      </c>
      <c r="D581" s="99">
        <v>28905</v>
      </c>
      <c r="E581" s="221" t="s">
        <v>213</v>
      </c>
      <c r="O581" s="160"/>
    </row>
    <row r="582" spans="2:15">
      <c r="B582" s="146">
        <v>41223</v>
      </c>
      <c r="C582" s="221" t="s">
        <v>218</v>
      </c>
      <c r="D582" s="99">
        <v>24222</v>
      </c>
      <c r="E582" s="221" t="s">
        <v>213</v>
      </c>
      <c r="O582" s="160"/>
    </row>
    <row r="583" spans="2:15">
      <c r="B583" s="146">
        <v>41804</v>
      </c>
      <c r="C583" s="221" t="s">
        <v>217</v>
      </c>
      <c r="D583" s="99">
        <v>32114</v>
      </c>
      <c r="E583" s="221" t="s">
        <v>211</v>
      </c>
      <c r="O583" s="160"/>
    </row>
    <row r="584" spans="2:15">
      <c r="B584" s="146">
        <v>41577</v>
      </c>
      <c r="C584" s="221" t="s">
        <v>217</v>
      </c>
      <c r="D584" s="99">
        <v>34866</v>
      </c>
      <c r="E584" s="221" t="s">
        <v>210</v>
      </c>
      <c r="O584" s="160"/>
    </row>
    <row r="585" spans="2:15">
      <c r="B585" s="146">
        <v>41692</v>
      </c>
      <c r="C585" s="221" t="s">
        <v>218</v>
      </c>
      <c r="D585" s="99">
        <v>30253</v>
      </c>
      <c r="E585" s="221" t="s">
        <v>211</v>
      </c>
      <c r="O585" s="160"/>
    </row>
    <row r="586" spans="2:15">
      <c r="B586" s="146">
        <v>41882</v>
      </c>
      <c r="C586" s="221" t="s">
        <v>217</v>
      </c>
      <c r="D586" s="99">
        <v>31412</v>
      </c>
      <c r="E586" s="221" t="s">
        <v>213</v>
      </c>
      <c r="O586" s="160"/>
    </row>
    <row r="587" spans="2:15">
      <c r="B587" s="146">
        <v>41411</v>
      </c>
      <c r="C587" s="221" t="s">
        <v>220</v>
      </c>
      <c r="D587" s="99">
        <v>33931</v>
      </c>
      <c r="E587" s="221" t="s">
        <v>211</v>
      </c>
      <c r="O587" s="160"/>
    </row>
    <row r="588" spans="2:15">
      <c r="B588" s="146">
        <v>41899</v>
      </c>
      <c r="C588" s="221" t="s">
        <v>218</v>
      </c>
      <c r="D588" s="99">
        <v>30935</v>
      </c>
      <c r="E588" s="221" t="s">
        <v>211</v>
      </c>
      <c r="O588" s="160"/>
    </row>
    <row r="589" spans="2:15">
      <c r="B589" s="146">
        <v>41353</v>
      </c>
      <c r="C589" s="221" t="s">
        <v>218</v>
      </c>
      <c r="D589" s="99">
        <v>11302</v>
      </c>
      <c r="E589" s="221" t="s">
        <v>213</v>
      </c>
      <c r="O589" s="160"/>
    </row>
    <row r="590" spans="2:15">
      <c r="B590" s="146">
        <v>41159</v>
      </c>
      <c r="C590" s="221" t="s">
        <v>217</v>
      </c>
      <c r="D590" s="99">
        <v>7692</v>
      </c>
      <c r="E590" s="221" t="s">
        <v>211</v>
      </c>
      <c r="O590" s="160"/>
    </row>
    <row r="591" spans="2:15">
      <c r="B591" s="146">
        <v>41994</v>
      </c>
      <c r="C591" s="221" t="s">
        <v>217</v>
      </c>
      <c r="D591" s="99">
        <v>15573</v>
      </c>
      <c r="E591" s="221" t="s">
        <v>212</v>
      </c>
      <c r="O591" s="160"/>
    </row>
    <row r="592" spans="2:15">
      <c r="B592" s="146">
        <v>41749</v>
      </c>
      <c r="C592" s="221" t="s">
        <v>217</v>
      </c>
      <c r="D592" s="99">
        <v>15817</v>
      </c>
      <c r="E592" s="221" t="s">
        <v>212</v>
      </c>
      <c r="O592" s="160"/>
    </row>
    <row r="593" spans="2:15">
      <c r="B593" s="146">
        <v>41178</v>
      </c>
      <c r="C593" s="221" t="s">
        <v>217</v>
      </c>
      <c r="D593" s="99">
        <v>9911</v>
      </c>
      <c r="E593" s="221" t="s">
        <v>213</v>
      </c>
      <c r="O593" s="160"/>
    </row>
    <row r="594" spans="2:15">
      <c r="B594" s="146">
        <v>41814</v>
      </c>
      <c r="C594" s="221" t="s">
        <v>219</v>
      </c>
      <c r="D594" s="99">
        <v>20542</v>
      </c>
      <c r="E594" s="221" t="s">
        <v>212</v>
      </c>
      <c r="O594" s="160"/>
    </row>
    <row r="595" spans="2:15">
      <c r="B595" s="146">
        <v>41159</v>
      </c>
      <c r="C595" s="221" t="s">
        <v>217</v>
      </c>
      <c r="D595" s="99">
        <v>25556</v>
      </c>
      <c r="E595" s="221" t="s">
        <v>212</v>
      </c>
      <c r="O595" s="160"/>
    </row>
    <row r="596" spans="2:15">
      <c r="B596" s="146">
        <v>41288</v>
      </c>
      <c r="C596" s="221" t="s">
        <v>220</v>
      </c>
      <c r="D596" s="99">
        <v>27393</v>
      </c>
      <c r="E596" s="221" t="s">
        <v>210</v>
      </c>
      <c r="O596" s="160"/>
    </row>
    <row r="597" spans="2:15">
      <c r="B597" s="146">
        <v>41652</v>
      </c>
      <c r="C597" s="221" t="s">
        <v>220</v>
      </c>
      <c r="D597" s="99">
        <v>25504</v>
      </c>
      <c r="E597" s="221" t="s">
        <v>212</v>
      </c>
      <c r="O597" s="160"/>
    </row>
    <row r="598" spans="2:15">
      <c r="B598" s="146">
        <v>41388</v>
      </c>
      <c r="C598" s="221" t="s">
        <v>218</v>
      </c>
      <c r="D598" s="99">
        <v>27477</v>
      </c>
      <c r="E598" s="221" t="s">
        <v>210</v>
      </c>
      <c r="O598" s="160"/>
    </row>
    <row r="599" spans="2:15">
      <c r="B599" s="146">
        <v>41827</v>
      </c>
      <c r="C599" s="221" t="s">
        <v>217</v>
      </c>
      <c r="D599" s="99">
        <v>7671</v>
      </c>
      <c r="E599" s="221" t="s">
        <v>213</v>
      </c>
      <c r="O599" s="160"/>
    </row>
    <row r="600" spans="2:15">
      <c r="B600" s="146">
        <v>41249</v>
      </c>
      <c r="C600" s="221" t="s">
        <v>219</v>
      </c>
      <c r="D600" s="99">
        <v>38851</v>
      </c>
      <c r="E600" s="221" t="s">
        <v>213</v>
      </c>
      <c r="O600" s="160"/>
    </row>
    <row r="601" spans="2:15">
      <c r="B601" s="146">
        <v>41606</v>
      </c>
      <c r="C601" s="221" t="s">
        <v>218</v>
      </c>
      <c r="D601" s="99">
        <v>34402</v>
      </c>
      <c r="E601" s="221" t="s">
        <v>211</v>
      </c>
      <c r="O601" s="160"/>
    </row>
    <row r="602" spans="2:15">
      <c r="B602" s="146">
        <v>41344</v>
      </c>
      <c r="C602" s="221" t="s">
        <v>219</v>
      </c>
      <c r="D602" s="99">
        <v>31756</v>
      </c>
      <c r="E602" s="221" t="s">
        <v>211</v>
      </c>
      <c r="O602" s="160"/>
    </row>
    <row r="603" spans="2:15">
      <c r="B603" s="146">
        <v>41832</v>
      </c>
      <c r="C603" s="221" t="s">
        <v>220</v>
      </c>
      <c r="D603" s="99">
        <v>22736</v>
      </c>
      <c r="E603" s="221" t="s">
        <v>210</v>
      </c>
      <c r="O603" s="160"/>
    </row>
    <row r="604" spans="2:15">
      <c r="B604" s="146">
        <v>41376</v>
      </c>
      <c r="C604" s="221" t="s">
        <v>220</v>
      </c>
      <c r="D604" s="99">
        <v>21416</v>
      </c>
      <c r="E604" s="221" t="s">
        <v>210</v>
      </c>
      <c r="O604" s="160"/>
    </row>
    <row r="605" spans="2:15">
      <c r="B605" s="146">
        <v>41497</v>
      </c>
      <c r="C605" s="221" t="s">
        <v>220</v>
      </c>
      <c r="D605" s="99">
        <v>38825</v>
      </c>
      <c r="E605" s="221" t="s">
        <v>213</v>
      </c>
      <c r="O605" s="160"/>
    </row>
    <row r="606" spans="2:15">
      <c r="B606" s="146">
        <v>41693</v>
      </c>
      <c r="C606" s="221" t="s">
        <v>219</v>
      </c>
      <c r="D606" s="99">
        <v>18762</v>
      </c>
      <c r="E606" s="221" t="s">
        <v>210</v>
      </c>
      <c r="O606" s="160"/>
    </row>
    <row r="607" spans="2:15">
      <c r="B607" s="146">
        <v>41642</v>
      </c>
      <c r="C607" s="221" t="s">
        <v>218</v>
      </c>
      <c r="D607" s="99">
        <v>20104</v>
      </c>
      <c r="E607" s="221" t="s">
        <v>213</v>
      </c>
      <c r="O607" s="160"/>
    </row>
    <row r="608" spans="2:15">
      <c r="B608" s="146">
        <v>41562</v>
      </c>
      <c r="C608" s="221" t="s">
        <v>217</v>
      </c>
      <c r="D608" s="99">
        <v>19993</v>
      </c>
      <c r="E608" s="221" t="s">
        <v>211</v>
      </c>
      <c r="O608" s="160"/>
    </row>
    <row r="609" spans="2:15">
      <c r="B609" s="146">
        <v>41932</v>
      </c>
      <c r="C609" s="221" t="s">
        <v>220</v>
      </c>
      <c r="D609" s="99">
        <v>34975</v>
      </c>
      <c r="E609" s="221" t="s">
        <v>213</v>
      </c>
      <c r="O609" s="160"/>
    </row>
    <row r="610" spans="2:15">
      <c r="B610" s="146">
        <v>41650</v>
      </c>
      <c r="C610" s="221" t="s">
        <v>218</v>
      </c>
      <c r="D610" s="99">
        <v>17555</v>
      </c>
      <c r="E610" s="221" t="s">
        <v>211</v>
      </c>
      <c r="O610" s="160"/>
    </row>
    <row r="611" spans="2:15">
      <c r="B611" s="146">
        <v>41653</v>
      </c>
      <c r="C611" s="221" t="s">
        <v>218</v>
      </c>
      <c r="D611" s="99">
        <v>9102</v>
      </c>
      <c r="E611" s="221" t="s">
        <v>213</v>
      </c>
      <c r="O611" s="160"/>
    </row>
    <row r="612" spans="2:15">
      <c r="B612" s="146">
        <v>41945</v>
      </c>
      <c r="C612" s="221" t="s">
        <v>220</v>
      </c>
      <c r="D612" s="99">
        <v>27418</v>
      </c>
      <c r="E612" s="221" t="s">
        <v>210</v>
      </c>
      <c r="O612" s="160"/>
    </row>
    <row r="613" spans="2:15">
      <c r="B613" s="146">
        <v>41362</v>
      </c>
      <c r="C613" s="221" t="s">
        <v>220</v>
      </c>
      <c r="D613" s="99">
        <v>26972</v>
      </c>
      <c r="E613" s="221" t="s">
        <v>213</v>
      </c>
      <c r="O613" s="160"/>
    </row>
    <row r="614" spans="2:15">
      <c r="B614" s="146">
        <v>41992</v>
      </c>
      <c r="C614" s="221" t="s">
        <v>218</v>
      </c>
      <c r="D614" s="99">
        <v>5237</v>
      </c>
      <c r="E614" s="221" t="s">
        <v>213</v>
      </c>
      <c r="O614" s="160"/>
    </row>
    <row r="615" spans="2:15">
      <c r="B615" s="146">
        <v>41155</v>
      </c>
      <c r="C615" s="221" t="s">
        <v>218</v>
      </c>
      <c r="D615" s="99">
        <v>18605</v>
      </c>
      <c r="E615" s="221" t="s">
        <v>210</v>
      </c>
      <c r="O615" s="160"/>
    </row>
    <row r="616" spans="2:15">
      <c r="B616" s="146">
        <v>41245</v>
      </c>
      <c r="C616" s="221" t="s">
        <v>220</v>
      </c>
      <c r="D616" s="99">
        <v>31200</v>
      </c>
      <c r="E616" s="221" t="s">
        <v>211</v>
      </c>
      <c r="O616" s="160"/>
    </row>
    <row r="617" spans="2:15">
      <c r="B617" s="146">
        <v>41640</v>
      </c>
      <c r="C617" s="221" t="s">
        <v>217</v>
      </c>
      <c r="D617" s="99">
        <v>34107</v>
      </c>
      <c r="E617" s="221" t="s">
        <v>210</v>
      </c>
      <c r="O617" s="160"/>
    </row>
    <row r="618" spans="2:15">
      <c r="B618" s="146">
        <v>41915</v>
      </c>
      <c r="C618" s="221" t="s">
        <v>217</v>
      </c>
      <c r="D618" s="99">
        <v>23828</v>
      </c>
      <c r="E618" s="221" t="s">
        <v>210</v>
      </c>
      <c r="O618" s="160"/>
    </row>
    <row r="619" spans="2:15">
      <c r="B619" s="146">
        <v>41536</v>
      </c>
      <c r="C619" s="221" t="s">
        <v>219</v>
      </c>
      <c r="D619" s="99">
        <v>34836</v>
      </c>
      <c r="E619" s="221" t="s">
        <v>212</v>
      </c>
      <c r="O619" s="160"/>
    </row>
    <row r="620" spans="2:15">
      <c r="B620" s="146">
        <v>41291</v>
      </c>
      <c r="C620" s="221" t="s">
        <v>217</v>
      </c>
      <c r="D620" s="99">
        <v>36801</v>
      </c>
      <c r="E620" s="221" t="s">
        <v>213</v>
      </c>
      <c r="O620" s="160"/>
    </row>
    <row r="621" spans="2:15">
      <c r="B621" s="146">
        <v>41609</v>
      </c>
      <c r="C621" s="221" t="s">
        <v>218</v>
      </c>
      <c r="D621" s="99">
        <v>29335</v>
      </c>
      <c r="E621" s="221" t="s">
        <v>213</v>
      </c>
      <c r="O621" s="160"/>
    </row>
    <row r="622" spans="2:15">
      <c r="B622" s="146">
        <v>41180</v>
      </c>
      <c r="C622" s="221" t="s">
        <v>218</v>
      </c>
      <c r="D622" s="99">
        <v>5278</v>
      </c>
      <c r="E622" s="221" t="s">
        <v>212</v>
      </c>
      <c r="O622" s="160"/>
    </row>
    <row r="623" spans="2:15">
      <c r="B623" s="146">
        <v>41168</v>
      </c>
      <c r="C623" s="221" t="s">
        <v>219</v>
      </c>
      <c r="D623" s="99">
        <v>19513</v>
      </c>
      <c r="E623" s="221" t="s">
        <v>211</v>
      </c>
      <c r="O623" s="160"/>
    </row>
    <row r="624" spans="2:15">
      <c r="B624" s="146">
        <v>41361</v>
      </c>
      <c r="C624" s="221" t="s">
        <v>217</v>
      </c>
      <c r="D624" s="99">
        <v>39828</v>
      </c>
      <c r="E624" s="221" t="s">
        <v>211</v>
      </c>
      <c r="O624" s="160"/>
    </row>
    <row r="625" spans="2:15">
      <c r="B625" s="146">
        <v>41201</v>
      </c>
      <c r="C625" s="221" t="s">
        <v>217</v>
      </c>
      <c r="D625" s="99">
        <v>7157</v>
      </c>
      <c r="E625" s="221" t="s">
        <v>211</v>
      </c>
      <c r="O625" s="160"/>
    </row>
    <row r="626" spans="2:15">
      <c r="B626" s="146">
        <v>41228</v>
      </c>
      <c r="C626" s="221" t="s">
        <v>218</v>
      </c>
      <c r="D626" s="99">
        <v>33506</v>
      </c>
      <c r="E626" s="221" t="s">
        <v>213</v>
      </c>
      <c r="O626" s="160"/>
    </row>
    <row r="627" spans="2:15">
      <c r="B627" s="146">
        <v>41788</v>
      </c>
      <c r="C627" s="221" t="s">
        <v>217</v>
      </c>
      <c r="D627" s="99">
        <v>22626</v>
      </c>
      <c r="E627" s="221" t="s">
        <v>212</v>
      </c>
      <c r="O627" s="160"/>
    </row>
    <row r="628" spans="2:15">
      <c r="B628" s="146">
        <v>41397</v>
      </c>
      <c r="C628" s="221" t="s">
        <v>217</v>
      </c>
      <c r="D628" s="99">
        <v>5548</v>
      </c>
      <c r="E628" s="221" t="s">
        <v>212</v>
      </c>
      <c r="O628" s="160"/>
    </row>
    <row r="629" spans="2:15">
      <c r="B629" s="146">
        <v>41158</v>
      </c>
      <c r="C629" s="221" t="s">
        <v>219</v>
      </c>
      <c r="D629" s="99">
        <v>33353</v>
      </c>
      <c r="E629" s="221" t="s">
        <v>213</v>
      </c>
      <c r="O629" s="160"/>
    </row>
    <row r="630" spans="2:15">
      <c r="B630" s="146">
        <v>41229</v>
      </c>
      <c r="C630" s="221" t="s">
        <v>219</v>
      </c>
      <c r="D630" s="99">
        <v>26955</v>
      </c>
      <c r="E630" s="221" t="s">
        <v>211</v>
      </c>
      <c r="O630" s="160"/>
    </row>
    <row r="631" spans="2:15">
      <c r="B631" s="146">
        <v>41234</v>
      </c>
      <c r="C631" s="221" t="s">
        <v>219</v>
      </c>
      <c r="D631" s="99">
        <v>10366</v>
      </c>
      <c r="E631" s="221" t="s">
        <v>213</v>
      </c>
      <c r="O631" s="160"/>
    </row>
    <row r="632" spans="2:15">
      <c r="B632" s="146">
        <v>41802</v>
      </c>
      <c r="C632" s="221" t="s">
        <v>220</v>
      </c>
      <c r="D632" s="99">
        <v>26302</v>
      </c>
      <c r="E632" s="221" t="s">
        <v>211</v>
      </c>
      <c r="O632" s="160"/>
    </row>
    <row r="633" spans="2:15">
      <c r="B633" s="146">
        <v>41475</v>
      </c>
      <c r="C633" s="221" t="s">
        <v>217</v>
      </c>
      <c r="D633" s="99">
        <v>5268</v>
      </c>
      <c r="E633" s="221" t="s">
        <v>211</v>
      </c>
      <c r="O633" s="160"/>
    </row>
    <row r="634" spans="2:15">
      <c r="B634" s="146">
        <v>41230</v>
      </c>
      <c r="C634" s="221" t="s">
        <v>220</v>
      </c>
      <c r="D634" s="99">
        <v>14226</v>
      </c>
      <c r="E634" s="221" t="s">
        <v>213</v>
      </c>
      <c r="O634" s="160"/>
    </row>
    <row r="635" spans="2:15">
      <c r="B635" s="146">
        <v>41576</v>
      </c>
      <c r="C635" s="221" t="s">
        <v>218</v>
      </c>
      <c r="D635" s="99">
        <v>10398</v>
      </c>
      <c r="E635" s="221" t="s">
        <v>211</v>
      </c>
      <c r="O635" s="160"/>
    </row>
    <row r="636" spans="2:15">
      <c r="B636" s="146">
        <v>41384</v>
      </c>
      <c r="C636" s="221" t="s">
        <v>219</v>
      </c>
      <c r="D636" s="99">
        <v>17734</v>
      </c>
      <c r="E636" s="221" t="s">
        <v>210</v>
      </c>
      <c r="O636" s="160"/>
    </row>
    <row r="637" spans="2:15">
      <c r="B637" s="146">
        <v>41895</v>
      </c>
      <c r="C637" s="221" t="s">
        <v>219</v>
      </c>
      <c r="D637" s="99">
        <v>16281</v>
      </c>
      <c r="E637" s="221" t="s">
        <v>213</v>
      </c>
      <c r="O637" s="160"/>
    </row>
    <row r="638" spans="2:15">
      <c r="B638" s="146">
        <v>41541</v>
      </c>
      <c r="C638" s="221" t="s">
        <v>217</v>
      </c>
      <c r="D638" s="99">
        <v>11384</v>
      </c>
      <c r="E638" s="221" t="s">
        <v>212</v>
      </c>
      <c r="O638" s="160"/>
    </row>
    <row r="639" spans="2:15">
      <c r="B639" s="146">
        <v>41951</v>
      </c>
      <c r="C639" s="221" t="s">
        <v>219</v>
      </c>
      <c r="D639" s="99">
        <v>39619</v>
      </c>
      <c r="E639" s="221" t="s">
        <v>211</v>
      </c>
      <c r="O639" s="160"/>
    </row>
    <row r="640" spans="2:15">
      <c r="B640" s="146">
        <v>41679</v>
      </c>
      <c r="C640" s="221" t="s">
        <v>219</v>
      </c>
      <c r="D640" s="99">
        <v>25327</v>
      </c>
      <c r="E640" s="221" t="s">
        <v>211</v>
      </c>
      <c r="O640" s="160"/>
    </row>
    <row r="641" spans="2:15">
      <c r="B641" s="146">
        <v>41922</v>
      </c>
      <c r="C641" s="221" t="s">
        <v>217</v>
      </c>
      <c r="D641" s="99">
        <v>5509</v>
      </c>
      <c r="E641" s="221" t="s">
        <v>211</v>
      </c>
      <c r="O641" s="160"/>
    </row>
    <row r="642" spans="2:15">
      <c r="B642" s="146">
        <v>41568</v>
      </c>
      <c r="C642" s="221" t="s">
        <v>220</v>
      </c>
      <c r="D642" s="99">
        <v>21274</v>
      </c>
      <c r="E642" s="221" t="s">
        <v>212</v>
      </c>
      <c r="O642" s="160"/>
    </row>
    <row r="643" spans="2:15">
      <c r="B643" s="146">
        <v>41486</v>
      </c>
      <c r="C643" s="221" t="s">
        <v>220</v>
      </c>
      <c r="D643" s="99">
        <v>15492</v>
      </c>
      <c r="E643" s="221" t="s">
        <v>210</v>
      </c>
      <c r="O643" s="160"/>
    </row>
    <row r="644" spans="2:15">
      <c r="B644" s="146">
        <v>41464</v>
      </c>
      <c r="C644" s="221" t="s">
        <v>219</v>
      </c>
      <c r="D644" s="99">
        <v>11305</v>
      </c>
      <c r="E644" s="221" t="s">
        <v>213</v>
      </c>
      <c r="O644" s="160"/>
    </row>
    <row r="645" spans="2:15">
      <c r="B645" s="146">
        <v>41655</v>
      </c>
      <c r="C645" s="221" t="s">
        <v>218</v>
      </c>
      <c r="D645" s="99">
        <v>35979</v>
      </c>
      <c r="E645" s="221" t="s">
        <v>212</v>
      </c>
      <c r="O645" s="160"/>
    </row>
    <row r="646" spans="2:15">
      <c r="B646" s="146">
        <v>41856</v>
      </c>
      <c r="C646" s="221" t="s">
        <v>217</v>
      </c>
      <c r="D646" s="99">
        <v>14941</v>
      </c>
      <c r="E646" s="221" t="s">
        <v>213</v>
      </c>
      <c r="O646" s="160"/>
    </row>
    <row r="647" spans="2:15">
      <c r="B647" s="146">
        <v>41224</v>
      </c>
      <c r="C647" s="221" t="s">
        <v>218</v>
      </c>
      <c r="D647" s="99">
        <v>15086</v>
      </c>
      <c r="E647" s="221" t="s">
        <v>213</v>
      </c>
      <c r="O647" s="160"/>
    </row>
    <row r="648" spans="2:15">
      <c r="B648" s="146">
        <v>41508</v>
      </c>
      <c r="C648" s="221" t="s">
        <v>218</v>
      </c>
      <c r="D648" s="99">
        <v>10046</v>
      </c>
      <c r="E648" s="221" t="s">
        <v>210</v>
      </c>
      <c r="O648" s="160"/>
    </row>
    <row r="649" spans="2:15">
      <c r="B649" s="146">
        <v>41964</v>
      </c>
      <c r="C649" s="221" t="s">
        <v>217</v>
      </c>
      <c r="D649" s="99">
        <v>8318</v>
      </c>
      <c r="E649" s="221" t="s">
        <v>210</v>
      </c>
      <c r="O649" s="160"/>
    </row>
    <row r="650" spans="2:15">
      <c r="B650" s="146">
        <v>41825</v>
      </c>
      <c r="C650" s="221" t="s">
        <v>219</v>
      </c>
      <c r="D650" s="99">
        <v>34949</v>
      </c>
      <c r="E650" s="221" t="s">
        <v>211</v>
      </c>
      <c r="O650" s="160"/>
    </row>
    <row r="651" spans="2:15">
      <c r="B651" s="146">
        <v>41182</v>
      </c>
      <c r="C651" s="221" t="s">
        <v>218</v>
      </c>
      <c r="D651" s="99">
        <v>15050</v>
      </c>
      <c r="E651" s="221" t="s">
        <v>211</v>
      </c>
      <c r="O651" s="160"/>
    </row>
    <row r="652" spans="2:15">
      <c r="B652" s="146">
        <v>41467</v>
      </c>
      <c r="C652" s="221" t="s">
        <v>220</v>
      </c>
      <c r="D652" s="99">
        <v>9820</v>
      </c>
      <c r="E652" s="221" t="s">
        <v>210</v>
      </c>
      <c r="O652" s="160"/>
    </row>
    <row r="653" spans="2:15">
      <c r="B653" s="146">
        <v>41657</v>
      </c>
      <c r="C653" s="221" t="s">
        <v>218</v>
      </c>
      <c r="D653" s="99">
        <v>29468</v>
      </c>
      <c r="E653" s="221" t="s">
        <v>210</v>
      </c>
      <c r="O653" s="160"/>
    </row>
    <row r="654" spans="2:15">
      <c r="B654" s="146">
        <v>41298</v>
      </c>
      <c r="C654" s="221" t="s">
        <v>217</v>
      </c>
      <c r="D654" s="99">
        <v>5680</v>
      </c>
      <c r="E654" s="221" t="s">
        <v>212</v>
      </c>
      <c r="O654" s="160"/>
    </row>
    <row r="655" spans="2:15">
      <c r="B655" s="146">
        <v>41832</v>
      </c>
      <c r="C655" s="221" t="s">
        <v>220</v>
      </c>
      <c r="D655" s="99">
        <v>18208</v>
      </c>
      <c r="E655" s="221" t="s">
        <v>212</v>
      </c>
      <c r="O655" s="160"/>
    </row>
    <row r="656" spans="2:15">
      <c r="B656" s="146">
        <v>41321</v>
      </c>
      <c r="C656" s="221" t="s">
        <v>218</v>
      </c>
      <c r="D656" s="99">
        <v>19698</v>
      </c>
      <c r="E656" s="221" t="s">
        <v>211</v>
      </c>
      <c r="O656" s="160"/>
    </row>
    <row r="657" spans="2:15">
      <c r="B657" s="146">
        <v>41917</v>
      </c>
      <c r="C657" s="221" t="s">
        <v>219</v>
      </c>
      <c r="D657" s="99">
        <v>34774</v>
      </c>
      <c r="E657" s="221" t="s">
        <v>210</v>
      </c>
      <c r="O657" s="160"/>
    </row>
    <row r="658" spans="2:15">
      <c r="B658" s="146">
        <v>41875</v>
      </c>
      <c r="C658" s="221" t="s">
        <v>220</v>
      </c>
      <c r="D658" s="99">
        <v>27196</v>
      </c>
      <c r="E658" s="221" t="s">
        <v>212</v>
      </c>
      <c r="O658" s="160"/>
    </row>
    <row r="659" spans="2:15">
      <c r="B659" s="146">
        <v>41146</v>
      </c>
      <c r="C659" s="221" t="s">
        <v>220</v>
      </c>
      <c r="D659" s="99">
        <v>24020</v>
      </c>
      <c r="E659" s="221" t="s">
        <v>210</v>
      </c>
      <c r="O659" s="160"/>
    </row>
    <row r="660" spans="2:15">
      <c r="B660" s="146">
        <v>41757</v>
      </c>
      <c r="C660" s="221" t="s">
        <v>219</v>
      </c>
      <c r="D660" s="99">
        <v>24616</v>
      </c>
      <c r="E660" s="221" t="s">
        <v>212</v>
      </c>
      <c r="O660" s="160"/>
    </row>
    <row r="661" spans="2:15">
      <c r="B661" s="146">
        <v>41651</v>
      </c>
      <c r="C661" s="221" t="s">
        <v>217</v>
      </c>
      <c r="D661" s="99">
        <v>28943</v>
      </c>
      <c r="E661" s="221" t="s">
        <v>212</v>
      </c>
      <c r="O661" s="160"/>
    </row>
    <row r="662" spans="2:15">
      <c r="B662" s="146">
        <v>41536</v>
      </c>
      <c r="C662" s="221" t="s">
        <v>218</v>
      </c>
      <c r="D662" s="99">
        <v>35860</v>
      </c>
      <c r="E662" s="221" t="s">
        <v>210</v>
      </c>
      <c r="O662" s="160"/>
    </row>
    <row r="663" spans="2:15">
      <c r="B663" s="146">
        <v>41384</v>
      </c>
      <c r="C663" s="221" t="s">
        <v>218</v>
      </c>
      <c r="D663" s="99">
        <v>23775</v>
      </c>
      <c r="E663" s="221" t="s">
        <v>212</v>
      </c>
      <c r="O663" s="160"/>
    </row>
    <row r="664" spans="2:15">
      <c r="B664" s="146">
        <v>41126</v>
      </c>
      <c r="C664" s="221" t="s">
        <v>220</v>
      </c>
      <c r="D664" s="99">
        <v>16123</v>
      </c>
      <c r="E664" s="221" t="s">
        <v>211</v>
      </c>
      <c r="O664" s="160"/>
    </row>
    <row r="665" spans="2:15">
      <c r="B665" s="146">
        <v>41489</v>
      </c>
      <c r="C665" s="221" t="s">
        <v>219</v>
      </c>
      <c r="D665" s="99">
        <v>28182</v>
      </c>
      <c r="E665" s="221" t="s">
        <v>212</v>
      </c>
      <c r="O665" s="160"/>
    </row>
    <row r="666" spans="2:15">
      <c r="B666" s="146">
        <v>41535</v>
      </c>
      <c r="C666" s="221" t="s">
        <v>218</v>
      </c>
      <c r="D666" s="99">
        <v>14091</v>
      </c>
      <c r="E666" s="221" t="s">
        <v>210</v>
      </c>
      <c r="O666" s="160"/>
    </row>
    <row r="667" spans="2:15">
      <c r="B667" s="146">
        <v>41162</v>
      </c>
      <c r="C667" s="221" t="s">
        <v>220</v>
      </c>
      <c r="D667" s="99">
        <v>9842</v>
      </c>
      <c r="E667" s="221" t="s">
        <v>210</v>
      </c>
      <c r="O667" s="160"/>
    </row>
    <row r="668" spans="2:15">
      <c r="B668" s="146">
        <v>41685</v>
      </c>
      <c r="C668" s="221" t="s">
        <v>219</v>
      </c>
      <c r="D668" s="99">
        <v>36045</v>
      </c>
      <c r="E668" s="221" t="s">
        <v>212</v>
      </c>
      <c r="O668" s="160"/>
    </row>
    <row r="669" spans="2:15">
      <c r="B669" s="146">
        <v>41948</v>
      </c>
      <c r="C669" s="221" t="s">
        <v>217</v>
      </c>
      <c r="D669" s="99">
        <v>11022</v>
      </c>
      <c r="E669" s="221" t="s">
        <v>212</v>
      </c>
      <c r="O669" s="160"/>
    </row>
    <row r="670" spans="2:15">
      <c r="B670" s="146">
        <v>41812</v>
      </c>
      <c r="C670" s="221" t="s">
        <v>220</v>
      </c>
      <c r="D670" s="99">
        <v>15698</v>
      </c>
      <c r="E670" s="221" t="s">
        <v>211</v>
      </c>
      <c r="O670" s="160"/>
    </row>
    <row r="671" spans="2:15">
      <c r="B671" s="146">
        <v>42018</v>
      </c>
      <c r="C671" s="221" t="s">
        <v>220</v>
      </c>
      <c r="D671" s="99">
        <v>15060</v>
      </c>
      <c r="E671" s="221" t="s">
        <v>211</v>
      </c>
      <c r="O671" s="160"/>
    </row>
    <row r="672" spans="2:15">
      <c r="B672" s="146">
        <v>41992</v>
      </c>
      <c r="C672" s="221" t="s">
        <v>219</v>
      </c>
      <c r="D672" s="99">
        <v>28267</v>
      </c>
      <c r="E672" s="221" t="s">
        <v>210</v>
      </c>
      <c r="O672" s="160"/>
    </row>
    <row r="673" spans="2:15">
      <c r="B673" s="146">
        <v>41546</v>
      </c>
      <c r="C673" s="221" t="s">
        <v>220</v>
      </c>
      <c r="D673" s="99">
        <v>15454</v>
      </c>
      <c r="E673" s="221" t="s">
        <v>210</v>
      </c>
      <c r="O673" s="160"/>
    </row>
    <row r="674" spans="2:15">
      <c r="B674" s="146">
        <v>41710</v>
      </c>
      <c r="C674" s="221" t="s">
        <v>218</v>
      </c>
      <c r="D674" s="99">
        <v>37306</v>
      </c>
      <c r="E674" s="221" t="s">
        <v>213</v>
      </c>
      <c r="O674" s="160"/>
    </row>
    <row r="675" spans="2:15">
      <c r="B675" s="146">
        <v>41972</v>
      </c>
      <c r="C675" s="221" t="s">
        <v>218</v>
      </c>
      <c r="D675" s="99">
        <v>32163</v>
      </c>
      <c r="E675" s="221" t="s">
        <v>213</v>
      </c>
      <c r="O675" s="160"/>
    </row>
    <row r="676" spans="2:15">
      <c r="B676" s="146">
        <v>41756</v>
      </c>
      <c r="C676" s="221" t="s">
        <v>217</v>
      </c>
      <c r="D676" s="99">
        <v>30221</v>
      </c>
      <c r="E676" s="221" t="s">
        <v>211</v>
      </c>
      <c r="O676" s="160"/>
    </row>
    <row r="677" spans="2:15">
      <c r="B677" s="146">
        <v>41263</v>
      </c>
      <c r="C677" s="221" t="s">
        <v>220</v>
      </c>
      <c r="D677" s="99">
        <v>5187</v>
      </c>
      <c r="E677" s="221" t="s">
        <v>211</v>
      </c>
      <c r="O677" s="160"/>
    </row>
    <row r="678" spans="2:15">
      <c r="B678" s="146">
        <v>41843</v>
      </c>
      <c r="C678" s="221" t="s">
        <v>218</v>
      </c>
      <c r="D678" s="99">
        <v>38237</v>
      </c>
      <c r="E678" s="221" t="s">
        <v>213</v>
      </c>
      <c r="O678" s="160"/>
    </row>
    <row r="679" spans="2:15">
      <c r="B679" s="146">
        <v>41654</v>
      </c>
      <c r="C679" s="221" t="s">
        <v>220</v>
      </c>
      <c r="D679" s="99">
        <v>38312</v>
      </c>
      <c r="E679" s="221" t="s">
        <v>211</v>
      </c>
      <c r="O679" s="160"/>
    </row>
    <row r="680" spans="2:15">
      <c r="B680" s="146">
        <v>41906</v>
      </c>
      <c r="C680" s="221" t="s">
        <v>219</v>
      </c>
      <c r="D680" s="99">
        <v>27972</v>
      </c>
      <c r="E680" s="221" t="s">
        <v>213</v>
      </c>
      <c r="O680" s="160"/>
    </row>
    <row r="681" spans="2:15">
      <c r="B681" s="146">
        <v>41764</v>
      </c>
      <c r="C681" s="221" t="s">
        <v>218</v>
      </c>
      <c r="D681" s="99">
        <v>12172</v>
      </c>
      <c r="E681" s="221" t="s">
        <v>212</v>
      </c>
      <c r="O681" s="160"/>
    </row>
    <row r="682" spans="2:15">
      <c r="B682" s="146">
        <v>41924</v>
      </c>
      <c r="C682" s="221" t="s">
        <v>220</v>
      </c>
      <c r="D682" s="99">
        <v>35898</v>
      </c>
      <c r="E682" s="221" t="s">
        <v>211</v>
      </c>
      <c r="O682" s="160"/>
    </row>
    <row r="683" spans="2:15">
      <c r="B683" s="146">
        <v>41773</v>
      </c>
      <c r="C683" s="221" t="s">
        <v>218</v>
      </c>
      <c r="D683" s="99">
        <v>35713</v>
      </c>
      <c r="E683" s="221" t="s">
        <v>213</v>
      </c>
      <c r="O683" s="160"/>
    </row>
    <row r="684" spans="2:15">
      <c r="B684" s="146">
        <v>41744</v>
      </c>
      <c r="C684" s="221" t="s">
        <v>220</v>
      </c>
      <c r="D684" s="99">
        <v>39706</v>
      </c>
      <c r="E684" s="221" t="s">
        <v>211</v>
      </c>
      <c r="O684" s="160"/>
    </row>
    <row r="685" spans="2:15">
      <c r="B685" s="146">
        <v>41383</v>
      </c>
      <c r="C685" s="221" t="s">
        <v>220</v>
      </c>
      <c r="D685" s="99">
        <v>10495</v>
      </c>
      <c r="E685" s="221" t="s">
        <v>210</v>
      </c>
      <c r="O685" s="160"/>
    </row>
    <row r="686" spans="2:15">
      <c r="B686" s="146">
        <v>41216</v>
      </c>
      <c r="C686" s="221" t="s">
        <v>220</v>
      </c>
      <c r="D686" s="99">
        <v>26609</v>
      </c>
      <c r="E686" s="221" t="s">
        <v>211</v>
      </c>
      <c r="O686" s="160"/>
    </row>
    <row r="687" spans="2:15">
      <c r="B687" s="146">
        <v>41142</v>
      </c>
      <c r="C687" s="221" t="s">
        <v>218</v>
      </c>
      <c r="D687" s="99">
        <v>17256</v>
      </c>
      <c r="E687" s="221" t="s">
        <v>213</v>
      </c>
      <c r="O687" s="160"/>
    </row>
    <row r="688" spans="2:15">
      <c r="B688" s="146">
        <v>41548</v>
      </c>
      <c r="C688" s="221" t="s">
        <v>217</v>
      </c>
      <c r="D688" s="99">
        <v>21066</v>
      </c>
      <c r="E688" s="221" t="s">
        <v>213</v>
      </c>
      <c r="O688" s="160"/>
    </row>
    <row r="689" spans="2:15">
      <c r="B689" s="146">
        <v>41594</v>
      </c>
      <c r="C689" s="221" t="s">
        <v>220</v>
      </c>
      <c r="D689" s="99">
        <v>11832</v>
      </c>
      <c r="E689" s="221" t="s">
        <v>210</v>
      </c>
      <c r="O689" s="160"/>
    </row>
    <row r="690" spans="2:15">
      <c r="B690" s="146">
        <v>41511</v>
      </c>
      <c r="C690" s="221" t="s">
        <v>217</v>
      </c>
      <c r="D690" s="99">
        <v>13733</v>
      </c>
      <c r="E690" s="221" t="s">
        <v>210</v>
      </c>
      <c r="O690" s="160"/>
    </row>
    <row r="691" spans="2:15">
      <c r="B691" s="146">
        <v>41453</v>
      </c>
      <c r="C691" s="221" t="s">
        <v>218</v>
      </c>
      <c r="D691" s="99">
        <v>26758</v>
      </c>
      <c r="E691" s="221" t="s">
        <v>210</v>
      </c>
      <c r="O691" s="160"/>
    </row>
    <row r="692" spans="2:15">
      <c r="B692" s="146">
        <v>41402</v>
      </c>
      <c r="C692" s="221" t="s">
        <v>220</v>
      </c>
      <c r="D692" s="99">
        <v>5412</v>
      </c>
      <c r="E692" s="221" t="s">
        <v>213</v>
      </c>
      <c r="O692" s="160"/>
    </row>
    <row r="693" spans="2:15">
      <c r="B693" s="146">
        <v>41843</v>
      </c>
      <c r="C693" s="221" t="s">
        <v>220</v>
      </c>
      <c r="D693" s="99">
        <v>6200</v>
      </c>
      <c r="E693" s="221" t="s">
        <v>212</v>
      </c>
      <c r="O693" s="160"/>
    </row>
    <row r="694" spans="2:15">
      <c r="B694" s="146">
        <v>41678</v>
      </c>
      <c r="C694" s="221" t="s">
        <v>220</v>
      </c>
      <c r="D694" s="99">
        <v>17313</v>
      </c>
      <c r="E694" s="221" t="s">
        <v>211</v>
      </c>
      <c r="O694" s="160"/>
    </row>
    <row r="695" spans="2:15">
      <c r="B695" s="146">
        <v>41168</v>
      </c>
      <c r="C695" s="221" t="s">
        <v>219</v>
      </c>
      <c r="D695" s="99">
        <v>37846</v>
      </c>
      <c r="E695" s="221" t="s">
        <v>212</v>
      </c>
      <c r="O695" s="160"/>
    </row>
    <row r="696" spans="2:15">
      <c r="B696" s="146">
        <v>41901</v>
      </c>
      <c r="C696" s="221" t="s">
        <v>217</v>
      </c>
      <c r="D696" s="99">
        <v>7803</v>
      </c>
      <c r="E696" s="221" t="s">
        <v>213</v>
      </c>
      <c r="O696" s="160"/>
    </row>
    <row r="697" spans="2:15">
      <c r="B697" s="146">
        <v>41222</v>
      </c>
      <c r="C697" s="221" t="s">
        <v>217</v>
      </c>
      <c r="D697" s="99">
        <v>28588</v>
      </c>
      <c r="E697" s="221" t="s">
        <v>211</v>
      </c>
      <c r="O697" s="160"/>
    </row>
    <row r="698" spans="2:15">
      <c r="B698" s="146">
        <v>41422</v>
      </c>
      <c r="C698" s="221" t="s">
        <v>217</v>
      </c>
      <c r="D698" s="99">
        <v>22553</v>
      </c>
      <c r="E698" s="221" t="s">
        <v>210</v>
      </c>
      <c r="O698" s="160"/>
    </row>
    <row r="699" spans="2:15">
      <c r="B699" s="146">
        <v>41319</v>
      </c>
      <c r="C699" s="221" t="s">
        <v>217</v>
      </c>
      <c r="D699" s="99">
        <v>19311</v>
      </c>
      <c r="E699" s="221" t="s">
        <v>210</v>
      </c>
      <c r="O699" s="160"/>
    </row>
    <row r="700" spans="2:15">
      <c r="B700" s="146">
        <v>41672</v>
      </c>
      <c r="C700" s="221" t="s">
        <v>219</v>
      </c>
      <c r="D700" s="99">
        <v>34005</v>
      </c>
      <c r="E700" s="221" t="s">
        <v>211</v>
      </c>
      <c r="O700" s="160"/>
    </row>
    <row r="701" spans="2:15">
      <c r="B701" s="146">
        <v>41954</v>
      </c>
      <c r="C701" s="221" t="s">
        <v>217</v>
      </c>
      <c r="D701" s="99">
        <v>12271</v>
      </c>
      <c r="E701" s="221" t="s">
        <v>213</v>
      </c>
      <c r="O701" s="160"/>
    </row>
    <row r="702" spans="2:15">
      <c r="B702" s="146">
        <v>41296</v>
      </c>
      <c r="C702" s="221" t="s">
        <v>217</v>
      </c>
      <c r="D702" s="99">
        <v>19449</v>
      </c>
      <c r="E702" s="221" t="s">
        <v>210</v>
      </c>
      <c r="O702" s="160"/>
    </row>
    <row r="703" spans="2:15">
      <c r="B703" s="146">
        <v>41231</v>
      </c>
      <c r="C703" s="221" t="s">
        <v>219</v>
      </c>
      <c r="D703" s="99">
        <v>13213</v>
      </c>
      <c r="E703" s="221" t="s">
        <v>212</v>
      </c>
      <c r="O703" s="160"/>
    </row>
    <row r="704" spans="2:15">
      <c r="B704" s="146">
        <v>41347</v>
      </c>
      <c r="C704" s="221" t="s">
        <v>219</v>
      </c>
      <c r="D704" s="99">
        <v>36737</v>
      </c>
      <c r="E704" s="221" t="s">
        <v>210</v>
      </c>
      <c r="O704" s="160"/>
    </row>
    <row r="705" spans="2:15">
      <c r="B705" s="146">
        <v>41647</v>
      </c>
      <c r="C705" s="221" t="s">
        <v>220</v>
      </c>
      <c r="D705" s="99">
        <v>37438</v>
      </c>
      <c r="E705" s="221" t="s">
        <v>210</v>
      </c>
      <c r="O705" s="160"/>
    </row>
    <row r="706" spans="2:15">
      <c r="B706" s="146">
        <v>41362</v>
      </c>
      <c r="C706" s="221" t="s">
        <v>218</v>
      </c>
      <c r="D706" s="99">
        <v>38746</v>
      </c>
      <c r="E706" s="221" t="s">
        <v>212</v>
      </c>
      <c r="O706" s="160"/>
    </row>
    <row r="707" spans="2:15">
      <c r="B707" s="146">
        <v>41507</v>
      </c>
      <c r="C707" s="221" t="s">
        <v>219</v>
      </c>
      <c r="D707" s="99">
        <v>22007</v>
      </c>
      <c r="E707" s="221" t="s">
        <v>212</v>
      </c>
      <c r="O707" s="160"/>
    </row>
    <row r="708" spans="2:15">
      <c r="B708" s="146">
        <v>41417</v>
      </c>
      <c r="C708" s="221" t="s">
        <v>217</v>
      </c>
      <c r="D708" s="99">
        <v>30915</v>
      </c>
      <c r="E708" s="221" t="s">
        <v>210</v>
      </c>
      <c r="O708" s="160"/>
    </row>
    <row r="709" spans="2:15">
      <c r="B709" s="146">
        <v>41436</v>
      </c>
      <c r="C709" s="221" t="s">
        <v>220</v>
      </c>
      <c r="D709" s="99">
        <v>35152</v>
      </c>
      <c r="E709" s="221" t="s">
        <v>210</v>
      </c>
      <c r="O709" s="160"/>
    </row>
    <row r="710" spans="2:15">
      <c r="B710" s="146">
        <v>41471</v>
      </c>
      <c r="C710" s="221" t="s">
        <v>218</v>
      </c>
      <c r="D710" s="99">
        <v>11358</v>
      </c>
      <c r="E710" s="221" t="s">
        <v>210</v>
      </c>
      <c r="O710" s="160"/>
    </row>
    <row r="711" spans="2:15">
      <c r="B711" s="146">
        <v>41442</v>
      </c>
      <c r="C711" s="221" t="s">
        <v>220</v>
      </c>
      <c r="D711" s="99">
        <v>27165</v>
      </c>
      <c r="E711" s="221" t="s">
        <v>211</v>
      </c>
      <c r="O711" s="160"/>
    </row>
    <row r="712" spans="2:15">
      <c r="B712" s="146">
        <v>41519</v>
      </c>
      <c r="C712" s="221" t="s">
        <v>218</v>
      </c>
      <c r="D712" s="99">
        <v>14016</v>
      </c>
      <c r="E712" s="221" t="s">
        <v>211</v>
      </c>
      <c r="O712" s="160"/>
    </row>
    <row r="713" spans="2:15">
      <c r="B713" s="146">
        <v>41237</v>
      </c>
      <c r="C713" s="221" t="s">
        <v>220</v>
      </c>
      <c r="D713" s="99">
        <v>11222</v>
      </c>
      <c r="E713" s="221" t="s">
        <v>211</v>
      </c>
      <c r="O713" s="160"/>
    </row>
    <row r="714" spans="2:15">
      <c r="B714" s="146">
        <v>41195</v>
      </c>
      <c r="C714" s="221" t="s">
        <v>219</v>
      </c>
      <c r="D714" s="99">
        <v>24513</v>
      </c>
      <c r="E714" s="221" t="s">
        <v>213</v>
      </c>
      <c r="O714" s="160"/>
    </row>
    <row r="715" spans="2:15">
      <c r="B715" s="146">
        <v>41319</v>
      </c>
      <c r="C715" s="221" t="s">
        <v>219</v>
      </c>
      <c r="D715" s="99">
        <v>29030</v>
      </c>
      <c r="E715" s="221" t="s">
        <v>213</v>
      </c>
      <c r="O715" s="160"/>
    </row>
    <row r="716" spans="2:15">
      <c r="B716" s="146">
        <v>41735</v>
      </c>
      <c r="C716" s="221" t="s">
        <v>219</v>
      </c>
      <c r="D716" s="99">
        <v>20164</v>
      </c>
      <c r="E716" s="221" t="s">
        <v>210</v>
      </c>
      <c r="O716" s="160"/>
    </row>
    <row r="717" spans="2:15">
      <c r="B717" s="146">
        <v>41740</v>
      </c>
      <c r="C717" s="221" t="s">
        <v>217</v>
      </c>
      <c r="D717" s="99">
        <v>9826</v>
      </c>
      <c r="E717" s="221" t="s">
        <v>211</v>
      </c>
      <c r="O717" s="160"/>
    </row>
    <row r="718" spans="2:15">
      <c r="B718" s="146">
        <v>41354</v>
      </c>
      <c r="C718" s="221" t="s">
        <v>217</v>
      </c>
      <c r="D718" s="99">
        <v>25081</v>
      </c>
      <c r="E718" s="221" t="s">
        <v>212</v>
      </c>
      <c r="O718" s="160"/>
    </row>
    <row r="719" spans="2:15">
      <c r="B719" s="146">
        <v>41773</v>
      </c>
      <c r="C719" s="221" t="s">
        <v>217</v>
      </c>
      <c r="D719" s="99">
        <v>37696</v>
      </c>
      <c r="E719" s="221" t="s">
        <v>212</v>
      </c>
      <c r="O719" s="160"/>
    </row>
    <row r="720" spans="2:15">
      <c r="B720" s="146">
        <v>41936</v>
      </c>
      <c r="C720" s="221" t="s">
        <v>217</v>
      </c>
      <c r="D720" s="99">
        <v>26880</v>
      </c>
      <c r="E720" s="221" t="s">
        <v>210</v>
      </c>
      <c r="O720" s="160"/>
    </row>
    <row r="721" spans="2:15">
      <c r="B721" s="146">
        <v>41181</v>
      </c>
      <c r="C721" s="221" t="s">
        <v>217</v>
      </c>
      <c r="D721" s="99">
        <v>29424</v>
      </c>
      <c r="E721" s="221" t="s">
        <v>210</v>
      </c>
      <c r="O721" s="160"/>
    </row>
    <row r="722" spans="2:15">
      <c r="B722" s="146">
        <v>41553</v>
      </c>
      <c r="C722" s="221" t="s">
        <v>217</v>
      </c>
      <c r="D722" s="99">
        <v>24677</v>
      </c>
      <c r="E722" s="221" t="s">
        <v>211</v>
      </c>
      <c r="O722" s="160"/>
    </row>
    <row r="723" spans="2:15">
      <c r="B723" s="146">
        <v>41470</v>
      </c>
      <c r="C723" s="221" t="s">
        <v>217</v>
      </c>
      <c r="D723" s="99">
        <v>15316</v>
      </c>
      <c r="E723" s="221" t="s">
        <v>211</v>
      </c>
      <c r="O723" s="160"/>
    </row>
    <row r="724" spans="2:15">
      <c r="B724" s="146">
        <v>41879</v>
      </c>
      <c r="C724" s="221" t="s">
        <v>220</v>
      </c>
      <c r="D724" s="99">
        <v>21503</v>
      </c>
      <c r="E724" s="221" t="s">
        <v>213</v>
      </c>
      <c r="O724" s="160"/>
    </row>
    <row r="725" spans="2:15">
      <c r="B725" s="146">
        <v>41269</v>
      </c>
      <c r="C725" s="221" t="s">
        <v>220</v>
      </c>
      <c r="D725" s="99">
        <v>32369</v>
      </c>
      <c r="E725" s="221" t="s">
        <v>210</v>
      </c>
      <c r="O725" s="160"/>
    </row>
    <row r="726" spans="2:15">
      <c r="B726" s="146">
        <v>41913</v>
      </c>
      <c r="C726" s="221" t="s">
        <v>219</v>
      </c>
      <c r="D726" s="99">
        <v>10897</v>
      </c>
      <c r="E726" s="221" t="s">
        <v>213</v>
      </c>
      <c r="O726" s="160"/>
    </row>
    <row r="727" spans="2:15">
      <c r="B727" s="146">
        <v>41866</v>
      </c>
      <c r="C727" s="221" t="s">
        <v>220</v>
      </c>
      <c r="D727" s="99">
        <v>12666</v>
      </c>
      <c r="E727" s="221" t="s">
        <v>213</v>
      </c>
      <c r="O727" s="160"/>
    </row>
    <row r="728" spans="2:15">
      <c r="B728" s="146">
        <v>41815</v>
      </c>
      <c r="C728" s="221" t="s">
        <v>220</v>
      </c>
      <c r="D728" s="99">
        <v>18305</v>
      </c>
      <c r="E728" s="221" t="s">
        <v>213</v>
      </c>
      <c r="O728" s="160"/>
    </row>
    <row r="729" spans="2:15">
      <c r="B729" s="146">
        <v>41126</v>
      </c>
      <c r="C729" s="221" t="s">
        <v>217</v>
      </c>
      <c r="D729" s="99">
        <v>7187</v>
      </c>
      <c r="E729" s="221" t="s">
        <v>211</v>
      </c>
      <c r="O729" s="160"/>
    </row>
    <row r="730" spans="2:15">
      <c r="B730" s="146">
        <v>41239</v>
      </c>
      <c r="C730" s="221" t="s">
        <v>218</v>
      </c>
      <c r="D730" s="99">
        <v>15635</v>
      </c>
      <c r="E730" s="221" t="s">
        <v>212</v>
      </c>
      <c r="O730" s="160"/>
    </row>
    <row r="731" spans="2:15">
      <c r="B731" s="146">
        <v>41618</v>
      </c>
      <c r="C731" s="221" t="s">
        <v>218</v>
      </c>
      <c r="D731" s="99">
        <v>23213</v>
      </c>
      <c r="E731" s="221" t="s">
        <v>213</v>
      </c>
      <c r="O731" s="160"/>
    </row>
    <row r="732" spans="2:15">
      <c r="B732" s="146">
        <v>41381</v>
      </c>
      <c r="C732" s="221" t="s">
        <v>217</v>
      </c>
      <c r="D732" s="99">
        <v>36748</v>
      </c>
      <c r="E732" s="221" t="s">
        <v>213</v>
      </c>
      <c r="O732" s="160"/>
    </row>
    <row r="733" spans="2:15">
      <c r="B733" s="146">
        <v>41766</v>
      </c>
      <c r="C733" s="221" t="s">
        <v>220</v>
      </c>
      <c r="D733" s="99">
        <v>35038</v>
      </c>
      <c r="E733" s="221" t="s">
        <v>213</v>
      </c>
      <c r="O733" s="160"/>
    </row>
    <row r="734" spans="2:15">
      <c r="B734" s="146">
        <v>41613</v>
      </c>
      <c r="C734" s="221" t="s">
        <v>219</v>
      </c>
      <c r="D734" s="99">
        <v>33264</v>
      </c>
      <c r="E734" s="221" t="s">
        <v>212</v>
      </c>
      <c r="O734" s="160"/>
    </row>
    <row r="735" spans="2:15">
      <c r="B735" s="146">
        <v>41543</v>
      </c>
      <c r="C735" s="221" t="s">
        <v>219</v>
      </c>
      <c r="D735" s="99">
        <v>10083</v>
      </c>
      <c r="E735" s="221" t="s">
        <v>212</v>
      </c>
      <c r="O735" s="160"/>
    </row>
    <row r="736" spans="2:15">
      <c r="B736" s="146">
        <v>41231</v>
      </c>
      <c r="C736" s="221" t="s">
        <v>217</v>
      </c>
      <c r="D736" s="99">
        <v>39584</v>
      </c>
      <c r="E736" s="221" t="s">
        <v>210</v>
      </c>
      <c r="O736" s="160"/>
    </row>
    <row r="737" spans="2:15">
      <c r="B737" s="146">
        <v>41598</v>
      </c>
      <c r="C737" s="221" t="s">
        <v>220</v>
      </c>
      <c r="D737" s="99">
        <v>11036</v>
      </c>
      <c r="E737" s="221" t="s">
        <v>213</v>
      </c>
      <c r="O737" s="160"/>
    </row>
    <row r="738" spans="2:15">
      <c r="B738" s="146">
        <v>41195</v>
      </c>
      <c r="C738" s="221" t="s">
        <v>218</v>
      </c>
      <c r="D738" s="99">
        <v>13663</v>
      </c>
      <c r="E738" s="221" t="s">
        <v>212</v>
      </c>
      <c r="O738" s="160"/>
    </row>
    <row r="739" spans="2:15">
      <c r="B739" s="146">
        <v>42014</v>
      </c>
      <c r="C739" s="221" t="s">
        <v>218</v>
      </c>
      <c r="D739" s="99">
        <v>22119</v>
      </c>
      <c r="E739" s="221" t="s">
        <v>213</v>
      </c>
      <c r="O739" s="160"/>
    </row>
    <row r="740" spans="2:15">
      <c r="B740" s="146">
        <v>41744</v>
      </c>
      <c r="C740" s="221" t="s">
        <v>219</v>
      </c>
      <c r="D740" s="99">
        <v>34347</v>
      </c>
      <c r="E740" s="221" t="s">
        <v>213</v>
      </c>
      <c r="O740" s="160"/>
    </row>
    <row r="741" spans="2:15">
      <c r="B741" s="146">
        <v>41377</v>
      </c>
      <c r="C741" s="221" t="s">
        <v>220</v>
      </c>
      <c r="D741" s="99">
        <v>32760</v>
      </c>
      <c r="E741" s="221" t="s">
        <v>211</v>
      </c>
      <c r="O741" s="160"/>
    </row>
    <row r="742" spans="2:15">
      <c r="B742" s="146">
        <v>41182</v>
      </c>
      <c r="C742" s="221" t="s">
        <v>219</v>
      </c>
      <c r="D742" s="99">
        <v>23460</v>
      </c>
      <c r="E742" s="221" t="s">
        <v>213</v>
      </c>
      <c r="O742" s="160"/>
    </row>
    <row r="743" spans="2:15">
      <c r="B743" s="146">
        <v>41851</v>
      </c>
      <c r="C743" s="221" t="s">
        <v>219</v>
      </c>
      <c r="D743" s="99">
        <v>13244</v>
      </c>
      <c r="E743" s="221" t="s">
        <v>212</v>
      </c>
      <c r="O743" s="160"/>
    </row>
    <row r="744" spans="2:15">
      <c r="B744" s="146">
        <v>41805</v>
      </c>
      <c r="C744" s="221" t="s">
        <v>218</v>
      </c>
      <c r="D744" s="99">
        <v>28479</v>
      </c>
      <c r="E744" s="221" t="s">
        <v>210</v>
      </c>
      <c r="O744" s="160"/>
    </row>
    <row r="745" spans="2:15">
      <c r="B745" s="146">
        <v>41712</v>
      </c>
      <c r="C745" s="221" t="s">
        <v>220</v>
      </c>
      <c r="D745" s="99">
        <v>21923</v>
      </c>
      <c r="E745" s="221" t="s">
        <v>213</v>
      </c>
      <c r="O745" s="160"/>
    </row>
    <row r="746" spans="2:15">
      <c r="B746" s="146">
        <v>41500</v>
      </c>
      <c r="C746" s="221" t="s">
        <v>217</v>
      </c>
      <c r="D746" s="99">
        <v>18742</v>
      </c>
      <c r="E746" s="221" t="s">
        <v>210</v>
      </c>
      <c r="O746" s="160"/>
    </row>
    <row r="747" spans="2:15">
      <c r="B747" s="146">
        <v>41885</v>
      </c>
      <c r="C747" s="221" t="s">
        <v>217</v>
      </c>
      <c r="D747" s="99">
        <v>10304</v>
      </c>
      <c r="E747" s="221" t="s">
        <v>212</v>
      </c>
      <c r="O747" s="160"/>
    </row>
    <row r="748" spans="2:15">
      <c r="B748" s="146">
        <v>41196</v>
      </c>
      <c r="C748" s="221" t="s">
        <v>218</v>
      </c>
      <c r="D748" s="99">
        <v>5661</v>
      </c>
      <c r="E748" s="221" t="s">
        <v>212</v>
      </c>
      <c r="O748" s="160"/>
    </row>
    <row r="749" spans="2:15">
      <c r="B749" s="146">
        <v>41246</v>
      </c>
      <c r="C749" s="221" t="s">
        <v>218</v>
      </c>
      <c r="D749" s="99">
        <v>36821</v>
      </c>
      <c r="E749" s="221" t="s">
        <v>211</v>
      </c>
      <c r="O749" s="160"/>
    </row>
    <row r="750" spans="2:15">
      <c r="B750" s="146">
        <v>41594</v>
      </c>
      <c r="C750" s="221" t="s">
        <v>219</v>
      </c>
      <c r="D750" s="99">
        <v>23874</v>
      </c>
      <c r="E750" s="221" t="s">
        <v>212</v>
      </c>
      <c r="O750" s="160"/>
    </row>
    <row r="751" spans="2:15">
      <c r="B751" s="146">
        <v>41267</v>
      </c>
      <c r="C751" s="221" t="s">
        <v>218</v>
      </c>
      <c r="D751" s="99">
        <v>20931</v>
      </c>
      <c r="E751" s="221" t="s">
        <v>210</v>
      </c>
      <c r="O751" s="160"/>
    </row>
    <row r="752" spans="2:15">
      <c r="B752" s="146">
        <v>41865</v>
      </c>
      <c r="C752" s="221" t="s">
        <v>220</v>
      </c>
      <c r="D752" s="99">
        <v>12329</v>
      </c>
      <c r="E752" s="221" t="s">
        <v>212</v>
      </c>
      <c r="O752" s="160"/>
    </row>
    <row r="753" spans="2:15">
      <c r="B753" s="146">
        <v>41140</v>
      </c>
      <c r="C753" s="221" t="s">
        <v>218</v>
      </c>
      <c r="D753" s="99">
        <v>24490</v>
      </c>
      <c r="E753" s="221" t="s">
        <v>211</v>
      </c>
      <c r="O753" s="160"/>
    </row>
    <row r="754" spans="2:15">
      <c r="B754" s="146">
        <v>41535</v>
      </c>
      <c r="C754" s="221" t="s">
        <v>217</v>
      </c>
      <c r="D754" s="99">
        <v>23656</v>
      </c>
      <c r="E754" s="221" t="s">
        <v>211</v>
      </c>
      <c r="O754" s="160"/>
    </row>
    <row r="755" spans="2:15">
      <c r="B755" s="146">
        <v>41481</v>
      </c>
      <c r="C755" s="221" t="s">
        <v>220</v>
      </c>
      <c r="D755" s="99">
        <v>30733</v>
      </c>
      <c r="E755" s="221" t="s">
        <v>210</v>
      </c>
      <c r="O755" s="160"/>
    </row>
    <row r="756" spans="2:15">
      <c r="B756" s="146">
        <v>41878</v>
      </c>
      <c r="C756" s="221" t="s">
        <v>218</v>
      </c>
      <c r="D756" s="99">
        <v>38187</v>
      </c>
      <c r="E756" s="221" t="s">
        <v>211</v>
      </c>
      <c r="O756" s="160"/>
    </row>
    <row r="757" spans="2:15">
      <c r="B757" s="146">
        <v>41487</v>
      </c>
      <c r="C757" s="221" t="s">
        <v>217</v>
      </c>
      <c r="D757" s="99">
        <v>17604</v>
      </c>
      <c r="E757" s="221" t="s">
        <v>212</v>
      </c>
      <c r="O757" s="160"/>
    </row>
    <row r="758" spans="2:15">
      <c r="B758" s="146">
        <v>41861</v>
      </c>
      <c r="C758" s="221" t="s">
        <v>218</v>
      </c>
      <c r="D758" s="99">
        <v>29059</v>
      </c>
      <c r="E758" s="221" t="s">
        <v>213</v>
      </c>
      <c r="O758" s="160"/>
    </row>
    <row r="759" spans="2:15">
      <c r="B759" s="146">
        <v>41654</v>
      </c>
      <c r="C759" s="221" t="s">
        <v>218</v>
      </c>
      <c r="D759" s="99">
        <v>32847</v>
      </c>
      <c r="E759" s="221" t="s">
        <v>212</v>
      </c>
      <c r="O759" s="160"/>
    </row>
    <row r="760" spans="2:15">
      <c r="B760" s="146">
        <v>41232</v>
      </c>
      <c r="C760" s="221" t="s">
        <v>219</v>
      </c>
      <c r="D760" s="99">
        <v>6191</v>
      </c>
      <c r="E760" s="221" t="s">
        <v>210</v>
      </c>
      <c r="O760" s="160"/>
    </row>
    <row r="761" spans="2:15">
      <c r="B761" s="146">
        <v>41719</v>
      </c>
      <c r="C761" s="221" t="s">
        <v>220</v>
      </c>
      <c r="D761" s="99">
        <v>10540</v>
      </c>
      <c r="E761" s="221" t="s">
        <v>210</v>
      </c>
      <c r="O761" s="160"/>
    </row>
    <row r="762" spans="2:15">
      <c r="B762" s="146">
        <v>41735</v>
      </c>
      <c r="C762" s="221" t="s">
        <v>217</v>
      </c>
      <c r="D762" s="99">
        <v>28135</v>
      </c>
      <c r="E762" s="221" t="s">
        <v>211</v>
      </c>
      <c r="O762" s="160"/>
    </row>
    <row r="763" spans="2:15">
      <c r="B763" s="146">
        <v>41524</v>
      </c>
      <c r="C763" s="221" t="s">
        <v>219</v>
      </c>
      <c r="D763" s="99">
        <v>28279</v>
      </c>
      <c r="E763" s="221" t="s">
        <v>213</v>
      </c>
      <c r="O763" s="160"/>
    </row>
    <row r="764" spans="2:15">
      <c r="B764" s="146">
        <v>41600</v>
      </c>
      <c r="C764" s="221" t="s">
        <v>218</v>
      </c>
      <c r="D764" s="99">
        <v>20964</v>
      </c>
      <c r="E764" s="221" t="s">
        <v>212</v>
      </c>
      <c r="O764" s="160"/>
    </row>
    <row r="765" spans="2:15">
      <c r="B765" s="146">
        <v>41744</v>
      </c>
      <c r="C765" s="221" t="s">
        <v>219</v>
      </c>
      <c r="D765" s="99">
        <v>8031</v>
      </c>
      <c r="E765" s="221" t="s">
        <v>212</v>
      </c>
      <c r="O765" s="160"/>
    </row>
    <row r="766" spans="2:15">
      <c r="B766" s="146">
        <v>41213</v>
      </c>
      <c r="C766" s="221" t="s">
        <v>219</v>
      </c>
      <c r="D766" s="99">
        <v>29505</v>
      </c>
      <c r="E766" s="221" t="s">
        <v>212</v>
      </c>
      <c r="O766" s="160"/>
    </row>
    <row r="767" spans="2:15">
      <c r="B767" s="146">
        <v>41284</v>
      </c>
      <c r="C767" s="221" t="s">
        <v>219</v>
      </c>
      <c r="D767" s="99">
        <v>36342</v>
      </c>
      <c r="E767" s="221" t="s">
        <v>213</v>
      </c>
      <c r="O767" s="160"/>
    </row>
    <row r="768" spans="2:15">
      <c r="B768" s="146">
        <v>41257</v>
      </c>
      <c r="C768" s="221" t="s">
        <v>219</v>
      </c>
      <c r="D768" s="99">
        <v>6494</v>
      </c>
      <c r="E768" s="221" t="s">
        <v>212</v>
      </c>
      <c r="O768" s="160"/>
    </row>
    <row r="769" spans="2:15">
      <c r="B769" s="146">
        <v>41776</v>
      </c>
      <c r="C769" s="221" t="s">
        <v>219</v>
      </c>
      <c r="D769" s="99">
        <v>35685</v>
      </c>
      <c r="E769" s="221" t="s">
        <v>213</v>
      </c>
      <c r="O769" s="160"/>
    </row>
    <row r="770" spans="2:15">
      <c r="B770" s="146">
        <v>41285</v>
      </c>
      <c r="C770" s="221" t="s">
        <v>219</v>
      </c>
      <c r="D770" s="99">
        <v>17962</v>
      </c>
      <c r="E770" s="221" t="s">
        <v>211</v>
      </c>
      <c r="O770" s="160"/>
    </row>
    <row r="771" spans="2:15">
      <c r="B771" s="146">
        <v>41320</v>
      </c>
      <c r="C771" s="221" t="s">
        <v>220</v>
      </c>
      <c r="D771" s="99">
        <v>13579</v>
      </c>
      <c r="E771" s="221" t="s">
        <v>210</v>
      </c>
      <c r="O771" s="160"/>
    </row>
    <row r="772" spans="2:15">
      <c r="B772" s="146">
        <v>42008</v>
      </c>
      <c r="C772" s="221" t="s">
        <v>217</v>
      </c>
      <c r="D772" s="99">
        <v>12675</v>
      </c>
      <c r="E772" s="221" t="s">
        <v>211</v>
      </c>
      <c r="O772" s="160"/>
    </row>
    <row r="773" spans="2:15">
      <c r="B773" s="146">
        <v>41934</v>
      </c>
      <c r="C773" s="221" t="s">
        <v>218</v>
      </c>
      <c r="D773" s="99">
        <v>5912</v>
      </c>
      <c r="E773" s="221" t="s">
        <v>212</v>
      </c>
      <c r="O773" s="160"/>
    </row>
    <row r="774" spans="2:15">
      <c r="B774" s="146">
        <v>41222</v>
      </c>
      <c r="C774" s="221" t="s">
        <v>217</v>
      </c>
      <c r="D774" s="99">
        <v>11822</v>
      </c>
      <c r="E774" s="221" t="s">
        <v>212</v>
      </c>
      <c r="O774" s="160"/>
    </row>
    <row r="775" spans="2:15">
      <c r="B775" s="146">
        <v>41443</v>
      </c>
      <c r="C775" s="221" t="s">
        <v>218</v>
      </c>
      <c r="D775" s="99">
        <v>25522</v>
      </c>
      <c r="E775" s="221" t="s">
        <v>212</v>
      </c>
      <c r="O775" s="160"/>
    </row>
    <row r="776" spans="2:15">
      <c r="B776" s="146">
        <v>41312</v>
      </c>
      <c r="C776" s="221" t="s">
        <v>219</v>
      </c>
      <c r="D776" s="99">
        <v>19106</v>
      </c>
      <c r="E776" s="221" t="s">
        <v>212</v>
      </c>
      <c r="O776" s="160"/>
    </row>
    <row r="777" spans="2:15">
      <c r="B777" s="146">
        <v>41130</v>
      </c>
      <c r="C777" s="221" t="s">
        <v>220</v>
      </c>
      <c r="D777" s="99">
        <v>22969</v>
      </c>
      <c r="E777" s="221" t="s">
        <v>213</v>
      </c>
      <c r="O777" s="160"/>
    </row>
    <row r="778" spans="2:15">
      <c r="B778" s="146">
        <v>41872</v>
      </c>
      <c r="C778" s="221" t="s">
        <v>220</v>
      </c>
      <c r="D778" s="99">
        <v>33208</v>
      </c>
      <c r="E778" s="221" t="s">
        <v>212</v>
      </c>
      <c r="O778" s="160"/>
    </row>
    <row r="779" spans="2:15">
      <c r="B779" s="146">
        <v>41680</v>
      </c>
      <c r="C779" s="221" t="s">
        <v>217</v>
      </c>
      <c r="D779" s="99">
        <v>11313</v>
      </c>
      <c r="E779" s="221" t="s">
        <v>211</v>
      </c>
      <c r="O779" s="160"/>
    </row>
    <row r="780" spans="2:15">
      <c r="B780" s="146">
        <v>41984</v>
      </c>
      <c r="C780" s="221" t="s">
        <v>218</v>
      </c>
      <c r="D780" s="99">
        <v>16926</v>
      </c>
      <c r="E780" s="221" t="s">
        <v>211</v>
      </c>
      <c r="O780" s="160"/>
    </row>
    <row r="781" spans="2:15">
      <c r="B781" s="146">
        <v>41395</v>
      </c>
      <c r="C781" s="221" t="s">
        <v>218</v>
      </c>
      <c r="D781" s="99">
        <v>33937</v>
      </c>
      <c r="E781" s="221" t="s">
        <v>212</v>
      </c>
      <c r="O781" s="160"/>
    </row>
    <row r="782" spans="2:15">
      <c r="B782" s="146">
        <v>41764</v>
      </c>
      <c r="C782" s="221" t="s">
        <v>219</v>
      </c>
      <c r="D782" s="99">
        <v>16827</v>
      </c>
      <c r="E782" s="221" t="s">
        <v>211</v>
      </c>
      <c r="O782" s="160"/>
    </row>
    <row r="783" spans="2:15">
      <c r="B783" s="146">
        <v>41613</v>
      </c>
      <c r="C783" s="221" t="s">
        <v>218</v>
      </c>
      <c r="D783" s="99">
        <v>20666</v>
      </c>
      <c r="E783" s="221" t="s">
        <v>210</v>
      </c>
      <c r="O783" s="160"/>
    </row>
    <row r="784" spans="2:15">
      <c r="B784" s="146">
        <v>41838</v>
      </c>
      <c r="C784" s="221" t="s">
        <v>217</v>
      </c>
      <c r="D784" s="99">
        <v>34019</v>
      </c>
      <c r="E784" s="221" t="s">
        <v>212</v>
      </c>
      <c r="O784" s="160"/>
    </row>
    <row r="785" spans="2:15">
      <c r="B785" s="146">
        <v>41136</v>
      </c>
      <c r="C785" s="221" t="s">
        <v>217</v>
      </c>
      <c r="D785" s="99">
        <v>31853</v>
      </c>
      <c r="E785" s="221" t="s">
        <v>212</v>
      </c>
      <c r="O785" s="160"/>
    </row>
    <row r="786" spans="2:15">
      <c r="B786" s="146">
        <v>41150</v>
      </c>
      <c r="C786" s="221" t="s">
        <v>220</v>
      </c>
      <c r="D786" s="99">
        <v>10897</v>
      </c>
      <c r="E786" s="221" t="s">
        <v>210</v>
      </c>
      <c r="O786" s="160"/>
    </row>
    <row r="787" spans="2:15">
      <c r="B787" s="146">
        <v>41798</v>
      </c>
      <c r="C787" s="221" t="s">
        <v>217</v>
      </c>
      <c r="D787" s="99">
        <v>30470</v>
      </c>
      <c r="E787" s="221" t="s">
        <v>210</v>
      </c>
      <c r="O787" s="160"/>
    </row>
    <row r="788" spans="2:15">
      <c r="B788" s="146">
        <v>41734</v>
      </c>
      <c r="C788" s="221" t="s">
        <v>218</v>
      </c>
      <c r="D788" s="99">
        <v>37107</v>
      </c>
      <c r="E788" s="221" t="s">
        <v>213</v>
      </c>
      <c r="O788" s="160"/>
    </row>
    <row r="789" spans="2:15">
      <c r="B789" s="146">
        <v>41338</v>
      </c>
      <c r="C789" s="221" t="s">
        <v>220</v>
      </c>
      <c r="D789" s="99">
        <v>27565</v>
      </c>
      <c r="E789" s="221" t="s">
        <v>213</v>
      </c>
      <c r="O789" s="160"/>
    </row>
    <row r="790" spans="2:15">
      <c r="B790" s="146">
        <v>41223</v>
      </c>
      <c r="C790" s="221" t="s">
        <v>218</v>
      </c>
      <c r="D790" s="99">
        <v>30442</v>
      </c>
      <c r="E790" s="221" t="s">
        <v>213</v>
      </c>
      <c r="O790" s="160"/>
    </row>
    <row r="791" spans="2:15">
      <c r="B791" s="146">
        <v>41694</v>
      </c>
      <c r="C791" s="221" t="s">
        <v>217</v>
      </c>
      <c r="D791" s="99">
        <v>10582</v>
      </c>
      <c r="E791" s="221" t="s">
        <v>213</v>
      </c>
      <c r="O791" s="160"/>
    </row>
    <row r="792" spans="2:15">
      <c r="B792" s="146">
        <v>41744</v>
      </c>
      <c r="C792" s="221" t="s">
        <v>219</v>
      </c>
      <c r="D792" s="99">
        <v>32909</v>
      </c>
      <c r="E792" s="221" t="s">
        <v>210</v>
      </c>
      <c r="O792" s="160"/>
    </row>
    <row r="793" spans="2:15">
      <c r="B793" s="146">
        <v>41794</v>
      </c>
      <c r="C793" s="221" t="s">
        <v>219</v>
      </c>
      <c r="D793" s="99">
        <v>34069</v>
      </c>
      <c r="E793" s="221" t="s">
        <v>210</v>
      </c>
      <c r="O793" s="160"/>
    </row>
    <row r="794" spans="2:15">
      <c r="B794" s="146">
        <v>41859</v>
      </c>
      <c r="C794" s="221" t="s">
        <v>219</v>
      </c>
      <c r="D794" s="99">
        <v>20005</v>
      </c>
      <c r="E794" s="221" t="s">
        <v>213</v>
      </c>
      <c r="O794" s="160"/>
    </row>
    <row r="795" spans="2:15">
      <c r="B795" s="146">
        <v>41821</v>
      </c>
      <c r="C795" s="221" t="s">
        <v>218</v>
      </c>
      <c r="D795" s="99">
        <v>19577</v>
      </c>
      <c r="E795" s="221" t="s">
        <v>213</v>
      </c>
      <c r="O795" s="160"/>
    </row>
    <row r="796" spans="2:15">
      <c r="B796" s="146">
        <v>41268</v>
      </c>
      <c r="C796" s="221" t="s">
        <v>217</v>
      </c>
      <c r="D796" s="99">
        <v>22658</v>
      </c>
      <c r="E796" s="221" t="s">
        <v>212</v>
      </c>
      <c r="O796" s="160"/>
    </row>
    <row r="797" spans="2:15">
      <c r="B797" s="146">
        <v>41143</v>
      </c>
      <c r="C797" s="221" t="s">
        <v>219</v>
      </c>
      <c r="D797" s="99">
        <v>26895</v>
      </c>
      <c r="E797" s="221" t="s">
        <v>210</v>
      </c>
      <c r="O797" s="160"/>
    </row>
    <row r="798" spans="2:15">
      <c r="B798" s="146">
        <v>41196</v>
      </c>
      <c r="C798" s="221" t="s">
        <v>220</v>
      </c>
      <c r="D798" s="99">
        <v>12775</v>
      </c>
      <c r="E798" s="221" t="s">
        <v>213</v>
      </c>
      <c r="O798" s="160"/>
    </row>
    <row r="799" spans="2:15">
      <c r="B799" s="146">
        <v>41256</v>
      </c>
      <c r="C799" s="221" t="s">
        <v>220</v>
      </c>
      <c r="D799" s="99">
        <v>31848</v>
      </c>
      <c r="E799" s="221" t="s">
        <v>211</v>
      </c>
      <c r="O799" s="160"/>
    </row>
    <row r="800" spans="2:15">
      <c r="B800" s="146">
        <v>41990</v>
      </c>
      <c r="C800" s="221" t="s">
        <v>218</v>
      </c>
      <c r="D800" s="99">
        <v>39917</v>
      </c>
      <c r="E800" s="221" t="s">
        <v>213</v>
      </c>
      <c r="O800" s="160"/>
    </row>
    <row r="801" spans="2:15">
      <c r="B801" s="146">
        <v>41161</v>
      </c>
      <c r="C801" s="221" t="s">
        <v>219</v>
      </c>
      <c r="D801" s="99">
        <v>38428</v>
      </c>
      <c r="E801" s="221" t="s">
        <v>212</v>
      </c>
      <c r="O801" s="160"/>
    </row>
    <row r="802" spans="2:15">
      <c r="B802" s="146">
        <v>41557</v>
      </c>
      <c r="C802" s="221" t="s">
        <v>220</v>
      </c>
      <c r="D802" s="99">
        <v>30538</v>
      </c>
      <c r="E802" s="221" t="s">
        <v>213</v>
      </c>
      <c r="O802" s="160"/>
    </row>
    <row r="803" spans="2:15">
      <c r="B803" s="146">
        <v>41325</v>
      </c>
      <c r="C803" s="221" t="s">
        <v>220</v>
      </c>
      <c r="D803" s="99">
        <v>27018</v>
      </c>
      <c r="E803" s="221" t="s">
        <v>213</v>
      </c>
      <c r="O803" s="160"/>
    </row>
    <row r="804" spans="2:15">
      <c r="B804" s="146">
        <v>41520</v>
      </c>
      <c r="C804" s="221" t="s">
        <v>218</v>
      </c>
      <c r="D804" s="99">
        <v>16308</v>
      </c>
      <c r="E804" s="221" t="s">
        <v>212</v>
      </c>
      <c r="O804" s="160"/>
    </row>
    <row r="805" spans="2:15">
      <c r="B805" s="146">
        <v>41519</v>
      </c>
      <c r="C805" s="221" t="s">
        <v>220</v>
      </c>
      <c r="D805" s="99">
        <v>39534</v>
      </c>
      <c r="E805" s="221" t="s">
        <v>213</v>
      </c>
      <c r="O805" s="160"/>
    </row>
    <row r="806" spans="2:15">
      <c r="B806" s="146">
        <v>41123</v>
      </c>
      <c r="C806" s="221" t="s">
        <v>218</v>
      </c>
      <c r="D806" s="99">
        <v>32952</v>
      </c>
      <c r="E806" s="221" t="s">
        <v>212</v>
      </c>
      <c r="O806" s="160"/>
    </row>
    <row r="807" spans="2:15">
      <c r="B807" s="146">
        <v>41200</v>
      </c>
      <c r="C807" s="221" t="s">
        <v>219</v>
      </c>
      <c r="D807" s="99">
        <v>7146</v>
      </c>
      <c r="E807" s="221" t="s">
        <v>213</v>
      </c>
      <c r="O807" s="160"/>
    </row>
    <row r="808" spans="2:15">
      <c r="B808" s="146">
        <v>41408</v>
      </c>
      <c r="C808" s="221" t="s">
        <v>217</v>
      </c>
      <c r="D808" s="99">
        <v>15902</v>
      </c>
      <c r="E808" s="221" t="s">
        <v>212</v>
      </c>
      <c r="O808" s="160"/>
    </row>
    <row r="809" spans="2:15">
      <c r="B809" s="146">
        <v>41938</v>
      </c>
      <c r="C809" s="221" t="s">
        <v>217</v>
      </c>
      <c r="D809" s="99">
        <v>39076</v>
      </c>
      <c r="E809" s="221" t="s">
        <v>212</v>
      </c>
      <c r="O809" s="160"/>
    </row>
    <row r="810" spans="2:15">
      <c r="B810" s="146">
        <v>41996</v>
      </c>
      <c r="C810" s="221" t="s">
        <v>218</v>
      </c>
      <c r="D810" s="99">
        <v>33294</v>
      </c>
      <c r="E810" s="221" t="s">
        <v>213</v>
      </c>
      <c r="O810" s="160"/>
    </row>
    <row r="811" spans="2:15">
      <c r="B811" s="146">
        <v>42004</v>
      </c>
      <c r="C811" s="221" t="s">
        <v>218</v>
      </c>
      <c r="D811" s="99">
        <v>33331</v>
      </c>
      <c r="E811" s="221" t="s">
        <v>212</v>
      </c>
      <c r="O811" s="160"/>
    </row>
    <row r="812" spans="2:15">
      <c r="B812" s="146">
        <v>41220</v>
      </c>
      <c r="C812" s="221" t="s">
        <v>218</v>
      </c>
      <c r="D812" s="99">
        <v>12601</v>
      </c>
      <c r="E812" s="221" t="s">
        <v>210</v>
      </c>
      <c r="O812" s="160"/>
    </row>
    <row r="813" spans="2:15">
      <c r="B813" s="146">
        <v>41362</v>
      </c>
      <c r="C813" s="221" t="s">
        <v>220</v>
      </c>
      <c r="D813" s="99">
        <v>20646</v>
      </c>
      <c r="E813" s="221" t="s">
        <v>213</v>
      </c>
      <c r="O813" s="160"/>
    </row>
    <row r="814" spans="2:15">
      <c r="B814" s="146">
        <v>41741</v>
      </c>
      <c r="C814" s="221" t="s">
        <v>217</v>
      </c>
      <c r="D814" s="99">
        <v>10191</v>
      </c>
      <c r="E814" s="221" t="s">
        <v>212</v>
      </c>
      <c r="O814" s="160"/>
    </row>
    <row r="815" spans="2:15">
      <c r="B815" s="146">
        <v>41598</v>
      </c>
      <c r="C815" s="221" t="s">
        <v>217</v>
      </c>
      <c r="D815" s="99">
        <v>35510</v>
      </c>
      <c r="E815" s="221" t="s">
        <v>211</v>
      </c>
      <c r="O815" s="160"/>
    </row>
    <row r="816" spans="2:15">
      <c r="B816" s="146">
        <v>41910</v>
      </c>
      <c r="C816" s="221" t="s">
        <v>219</v>
      </c>
      <c r="D816" s="99">
        <v>35320</v>
      </c>
      <c r="E816" s="221" t="s">
        <v>210</v>
      </c>
      <c r="O816" s="160"/>
    </row>
    <row r="817" spans="2:15">
      <c r="B817" s="146">
        <v>41731</v>
      </c>
      <c r="C817" s="221" t="s">
        <v>217</v>
      </c>
      <c r="D817" s="99">
        <v>20273</v>
      </c>
      <c r="E817" s="221" t="s">
        <v>212</v>
      </c>
      <c r="O817" s="160"/>
    </row>
    <row r="818" spans="2:15">
      <c r="B818" s="146">
        <v>41910</v>
      </c>
      <c r="C818" s="221" t="s">
        <v>220</v>
      </c>
      <c r="D818" s="99">
        <v>16668</v>
      </c>
      <c r="E818" s="221" t="s">
        <v>211</v>
      </c>
      <c r="O818" s="160"/>
    </row>
    <row r="819" spans="2:15">
      <c r="B819" s="146">
        <v>41199</v>
      </c>
      <c r="C819" s="221" t="s">
        <v>219</v>
      </c>
      <c r="D819" s="99">
        <v>19646</v>
      </c>
      <c r="E819" s="221" t="s">
        <v>211</v>
      </c>
      <c r="O819" s="160"/>
    </row>
    <row r="820" spans="2:15">
      <c r="B820" s="146">
        <v>41368</v>
      </c>
      <c r="C820" s="221" t="s">
        <v>218</v>
      </c>
      <c r="D820" s="99">
        <v>15792</v>
      </c>
      <c r="E820" s="221" t="s">
        <v>213</v>
      </c>
      <c r="O820" s="160"/>
    </row>
    <row r="821" spans="2:15">
      <c r="B821" s="146">
        <v>41588</v>
      </c>
      <c r="C821" s="221" t="s">
        <v>219</v>
      </c>
      <c r="D821" s="99">
        <v>24649</v>
      </c>
      <c r="E821" s="221" t="s">
        <v>210</v>
      </c>
      <c r="O821" s="160"/>
    </row>
    <row r="822" spans="2:15">
      <c r="B822" s="146">
        <v>41990</v>
      </c>
      <c r="C822" s="221" t="s">
        <v>217</v>
      </c>
      <c r="D822" s="99">
        <v>15541</v>
      </c>
      <c r="E822" s="221" t="s">
        <v>211</v>
      </c>
      <c r="O822" s="160"/>
    </row>
    <row r="823" spans="2:15">
      <c r="B823" s="146">
        <v>41802</v>
      </c>
      <c r="C823" s="221" t="s">
        <v>219</v>
      </c>
      <c r="D823" s="99">
        <v>8072</v>
      </c>
      <c r="E823" s="221" t="s">
        <v>210</v>
      </c>
      <c r="O823" s="160"/>
    </row>
    <row r="824" spans="2:15">
      <c r="B824" s="146">
        <v>41827</v>
      </c>
      <c r="C824" s="221" t="s">
        <v>217</v>
      </c>
      <c r="D824" s="99">
        <v>9578</v>
      </c>
      <c r="E824" s="221" t="s">
        <v>212</v>
      </c>
      <c r="O824" s="160"/>
    </row>
    <row r="825" spans="2:15">
      <c r="B825" s="146">
        <v>41490</v>
      </c>
      <c r="C825" s="221" t="s">
        <v>219</v>
      </c>
      <c r="D825" s="99">
        <v>16171</v>
      </c>
      <c r="E825" s="221" t="s">
        <v>210</v>
      </c>
      <c r="O825" s="160"/>
    </row>
    <row r="826" spans="2:15">
      <c r="B826" s="146">
        <v>41680</v>
      </c>
      <c r="C826" s="221" t="s">
        <v>219</v>
      </c>
      <c r="D826" s="99">
        <v>25812</v>
      </c>
      <c r="E826" s="221" t="s">
        <v>211</v>
      </c>
      <c r="O826" s="160"/>
    </row>
    <row r="827" spans="2:15">
      <c r="B827" s="146">
        <v>41742</v>
      </c>
      <c r="C827" s="221" t="s">
        <v>217</v>
      </c>
      <c r="D827" s="99">
        <v>30431</v>
      </c>
      <c r="E827" s="221" t="s">
        <v>213</v>
      </c>
      <c r="O827" s="160"/>
    </row>
    <row r="828" spans="2:15">
      <c r="B828" s="146">
        <v>41510</v>
      </c>
      <c r="C828" s="221" t="s">
        <v>220</v>
      </c>
      <c r="D828" s="99">
        <v>8995</v>
      </c>
      <c r="E828" s="221" t="s">
        <v>213</v>
      </c>
      <c r="O828" s="160"/>
    </row>
    <row r="829" spans="2:15">
      <c r="B829" s="146">
        <v>41655</v>
      </c>
      <c r="C829" s="221" t="s">
        <v>220</v>
      </c>
      <c r="D829" s="99">
        <v>26196</v>
      </c>
      <c r="E829" s="221" t="s">
        <v>210</v>
      </c>
      <c r="O829" s="160"/>
    </row>
    <row r="830" spans="2:15">
      <c r="B830" s="146">
        <v>41993</v>
      </c>
      <c r="C830" s="221" t="s">
        <v>220</v>
      </c>
      <c r="D830" s="99">
        <v>10313</v>
      </c>
      <c r="E830" s="221" t="s">
        <v>212</v>
      </c>
      <c r="O830" s="160"/>
    </row>
    <row r="831" spans="2:15">
      <c r="B831" s="146">
        <v>41997</v>
      </c>
      <c r="C831" s="221" t="s">
        <v>218</v>
      </c>
      <c r="D831" s="99">
        <v>6914</v>
      </c>
      <c r="E831" s="221" t="s">
        <v>212</v>
      </c>
      <c r="O831" s="160"/>
    </row>
    <row r="832" spans="2:15">
      <c r="B832" s="146">
        <v>41586</v>
      </c>
      <c r="C832" s="221" t="s">
        <v>218</v>
      </c>
      <c r="D832" s="99">
        <v>36882</v>
      </c>
      <c r="E832" s="221" t="s">
        <v>210</v>
      </c>
      <c r="O832" s="160"/>
    </row>
    <row r="833" spans="2:15">
      <c r="B833" s="146">
        <v>41501</v>
      </c>
      <c r="C833" s="221" t="s">
        <v>219</v>
      </c>
      <c r="D833" s="99">
        <v>31125</v>
      </c>
      <c r="E833" s="221" t="s">
        <v>213</v>
      </c>
      <c r="O833" s="160"/>
    </row>
    <row r="834" spans="2:15">
      <c r="B834" s="146">
        <v>41744</v>
      </c>
      <c r="C834" s="221" t="s">
        <v>219</v>
      </c>
      <c r="D834" s="99">
        <v>27548</v>
      </c>
      <c r="E834" s="221" t="s">
        <v>210</v>
      </c>
      <c r="O834" s="160"/>
    </row>
    <row r="835" spans="2:15">
      <c r="B835" s="146">
        <v>41576</v>
      </c>
      <c r="C835" s="221" t="s">
        <v>218</v>
      </c>
      <c r="D835" s="99">
        <v>8588</v>
      </c>
      <c r="E835" s="221" t="s">
        <v>213</v>
      </c>
      <c r="O835" s="160"/>
    </row>
    <row r="836" spans="2:15">
      <c r="B836" s="146">
        <v>41393</v>
      </c>
      <c r="C836" s="221" t="s">
        <v>217</v>
      </c>
      <c r="D836" s="99">
        <v>34009</v>
      </c>
      <c r="E836" s="221" t="s">
        <v>213</v>
      </c>
      <c r="O836" s="160"/>
    </row>
    <row r="837" spans="2:15">
      <c r="B837" s="146">
        <v>41206</v>
      </c>
      <c r="C837" s="221" t="s">
        <v>217</v>
      </c>
      <c r="D837" s="99">
        <v>26648</v>
      </c>
      <c r="E837" s="221" t="s">
        <v>211</v>
      </c>
      <c r="O837" s="160"/>
    </row>
    <row r="838" spans="2:15">
      <c r="B838" s="146">
        <v>41560</v>
      </c>
      <c r="C838" s="221" t="s">
        <v>220</v>
      </c>
      <c r="D838" s="99">
        <v>20929</v>
      </c>
      <c r="E838" s="221" t="s">
        <v>213</v>
      </c>
      <c r="O838" s="160"/>
    </row>
    <row r="839" spans="2:15">
      <c r="B839" s="146">
        <v>41423</v>
      </c>
      <c r="C839" s="221" t="s">
        <v>218</v>
      </c>
      <c r="D839" s="99">
        <v>22938</v>
      </c>
      <c r="E839" s="221" t="s">
        <v>212</v>
      </c>
      <c r="O839" s="160"/>
    </row>
    <row r="840" spans="2:15">
      <c r="B840" s="146">
        <v>41798</v>
      </c>
      <c r="C840" s="221" t="s">
        <v>219</v>
      </c>
      <c r="D840" s="99">
        <v>12571</v>
      </c>
      <c r="E840" s="221" t="s">
        <v>210</v>
      </c>
      <c r="O840" s="160"/>
    </row>
    <row r="841" spans="2:15">
      <c r="B841" s="146">
        <v>41431</v>
      </c>
      <c r="C841" s="221" t="s">
        <v>220</v>
      </c>
      <c r="D841" s="99">
        <v>35826</v>
      </c>
      <c r="E841" s="221" t="s">
        <v>210</v>
      </c>
      <c r="O841" s="160"/>
    </row>
    <row r="842" spans="2:15">
      <c r="B842" s="146">
        <v>41773</v>
      </c>
      <c r="C842" s="221" t="s">
        <v>218</v>
      </c>
      <c r="D842" s="99">
        <v>23212</v>
      </c>
      <c r="E842" s="221" t="s">
        <v>212</v>
      </c>
      <c r="O842" s="160"/>
    </row>
    <row r="843" spans="2:15">
      <c r="B843" s="146">
        <v>41739</v>
      </c>
      <c r="C843" s="221" t="s">
        <v>220</v>
      </c>
      <c r="D843" s="99">
        <v>29694</v>
      </c>
      <c r="E843" s="221" t="s">
        <v>211</v>
      </c>
      <c r="O843" s="160"/>
    </row>
    <row r="844" spans="2:15">
      <c r="B844" s="146">
        <v>41698</v>
      </c>
      <c r="C844" s="221" t="s">
        <v>220</v>
      </c>
      <c r="D844" s="99">
        <v>18260</v>
      </c>
      <c r="E844" s="221" t="s">
        <v>211</v>
      </c>
      <c r="O844" s="160"/>
    </row>
    <row r="845" spans="2:15">
      <c r="B845" s="146">
        <v>41827</v>
      </c>
      <c r="C845" s="221" t="s">
        <v>217</v>
      </c>
      <c r="D845" s="99">
        <v>16486</v>
      </c>
      <c r="E845" s="221" t="s">
        <v>210</v>
      </c>
      <c r="O845" s="160"/>
    </row>
    <row r="846" spans="2:15">
      <c r="B846" s="146">
        <v>41657</v>
      </c>
      <c r="C846" s="221" t="s">
        <v>219</v>
      </c>
      <c r="D846" s="99">
        <v>13982</v>
      </c>
      <c r="E846" s="221" t="s">
        <v>210</v>
      </c>
      <c r="O846" s="160"/>
    </row>
    <row r="847" spans="2:15">
      <c r="B847" s="146">
        <v>41296</v>
      </c>
      <c r="C847" s="221" t="s">
        <v>219</v>
      </c>
      <c r="D847" s="99">
        <v>21102</v>
      </c>
      <c r="E847" s="221" t="s">
        <v>210</v>
      </c>
      <c r="O847" s="160"/>
    </row>
    <row r="848" spans="2:15">
      <c r="B848" s="146">
        <v>41317</v>
      </c>
      <c r="C848" s="221" t="s">
        <v>217</v>
      </c>
      <c r="D848" s="99">
        <v>28382</v>
      </c>
      <c r="E848" s="221" t="s">
        <v>213</v>
      </c>
      <c r="O848" s="160"/>
    </row>
    <row r="849" spans="2:15">
      <c r="B849" s="146">
        <v>41919</v>
      </c>
      <c r="C849" s="221" t="s">
        <v>217</v>
      </c>
      <c r="D849" s="99">
        <v>22291</v>
      </c>
      <c r="E849" s="221" t="s">
        <v>212</v>
      </c>
      <c r="O849" s="160"/>
    </row>
    <row r="850" spans="2:15">
      <c r="B850" s="146">
        <v>41939</v>
      </c>
      <c r="C850" s="221" t="s">
        <v>220</v>
      </c>
      <c r="D850" s="99">
        <v>26740</v>
      </c>
      <c r="E850" s="221" t="s">
        <v>213</v>
      </c>
      <c r="O850" s="160"/>
    </row>
    <row r="851" spans="2:15">
      <c r="B851" s="146">
        <v>41159</v>
      </c>
      <c r="C851" s="221" t="s">
        <v>219</v>
      </c>
      <c r="D851" s="99">
        <v>35373</v>
      </c>
      <c r="E851" s="221" t="s">
        <v>213</v>
      </c>
      <c r="O851" s="160"/>
    </row>
    <row r="852" spans="2:15">
      <c r="B852" s="146">
        <v>41398</v>
      </c>
      <c r="C852" s="221" t="s">
        <v>219</v>
      </c>
      <c r="D852" s="99">
        <v>6735</v>
      </c>
      <c r="E852" s="221" t="s">
        <v>210</v>
      </c>
      <c r="O852" s="160"/>
    </row>
    <row r="853" spans="2:15">
      <c r="B853" s="146">
        <v>41508</v>
      </c>
      <c r="C853" s="221" t="s">
        <v>219</v>
      </c>
      <c r="D853" s="99">
        <v>31512</v>
      </c>
      <c r="E853" s="221" t="s">
        <v>211</v>
      </c>
      <c r="O853" s="160"/>
    </row>
    <row r="854" spans="2:15">
      <c r="B854" s="146">
        <v>41905</v>
      </c>
      <c r="C854" s="221" t="s">
        <v>219</v>
      </c>
      <c r="D854" s="99">
        <v>17481</v>
      </c>
      <c r="E854" s="221" t="s">
        <v>213</v>
      </c>
      <c r="O854" s="160"/>
    </row>
    <row r="855" spans="2:15">
      <c r="B855" s="146">
        <v>41479</v>
      </c>
      <c r="C855" s="221" t="s">
        <v>220</v>
      </c>
      <c r="D855" s="99">
        <v>25383</v>
      </c>
      <c r="E855" s="221" t="s">
        <v>210</v>
      </c>
      <c r="O855" s="160"/>
    </row>
    <row r="856" spans="2:15">
      <c r="B856" s="146">
        <v>41615</v>
      </c>
      <c r="C856" s="221" t="s">
        <v>217</v>
      </c>
      <c r="D856" s="99">
        <v>14364</v>
      </c>
      <c r="E856" s="221" t="s">
        <v>211</v>
      </c>
      <c r="O856" s="160"/>
    </row>
    <row r="857" spans="2:15">
      <c r="B857" s="146">
        <v>41196</v>
      </c>
      <c r="C857" s="221" t="s">
        <v>220</v>
      </c>
      <c r="D857" s="99">
        <v>23797</v>
      </c>
      <c r="E857" s="221" t="s">
        <v>213</v>
      </c>
      <c r="O857" s="160"/>
    </row>
    <row r="858" spans="2:15">
      <c r="B858" s="146">
        <v>41542</v>
      </c>
      <c r="C858" s="221" t="s">
        <v>219</v>
      </c>
      <c r="D858" s="99">
        <v>28819</v>
      </c>
      <c r="E858" s="221" t="s">
        <v>213</v>
      </c>
      <c r="O858" s="160"/>
    </row>
    <row r="859" spans="2:15">
      <c r="B859" s="146">
        <v>41493</v>
      </c>
      <c r="C859" s="221" t="s">
        <v>218</v>
      </c>
      <c r="D859" s="99">
        <v>8974</v>
      </c>
      <c r="E859" s="221" t="s">
        <v>213</v>
      </c>
      <c r="O859" s="160"/>
    </row>
    <row r="860" spans="2:15">
      <c r="B860" s="146">
        <v>41269</v>
      </c>
      <c r="C860" s="221" t="s">
        <v>219</v>
      </c>
      <c r="D860" s="99">
        <v>19109</v>
      </c>
      <c r="E860" s="221" t="s">
        <v>211</v>
      </c>
      <c r="O860" s="160"/>
    </row>
    <row r="861" spans="2:15">
      <c r="B861" s="146">
        <v>41966</v>
      </c>
      <c r="C861" s="221" t="s">
        <v>219</v>
      </c>
      <c r="D861" s="99">
        <v>17018</v>
      </c>
      <c r="E861" s="221" t="s">
        <v>211</v>
      </c>
      <c r="O861" s="160"/>
    </row>
    <row r="862" spans="2:15">
      <c r="B862" s="146">
        <v>41199</v>
      </c>
      <c r="C862" s="221" t="s">
        <v>219</v>
      </c>
      <c r="D862" s="99">
        <v>8345</v>
      </c>
      <c r="E862" s="221" t="s">
        <v>211</v>
      </c>
      <c r="O862" s="160"/>
    </row>
    <row r="863" spans="2:15">
      <c r="B863" s="146">
        <v>41999</v>
      </c>
      <c r="C863" s="221" t="s">
        <v>217</v>
      </c>
      <c r="D863" s="99">
        <v>14039</v>
      </c>
      <c r="E863" s="221" t="s">
        <v>211</v>
      </c>
      <c r="O863" s="160"/>
    </row>
    <row r="864" spans="2:15">
      <c r="B864" s="146">
        <v>41592</v>
      </c>
      <c r="C864" s="221" t="s">
        <v>219</v>
      </c>
      <c r="D864" s="99">
        <v>24576</v>
      </c>
      <c r="E864" s="221" t="s">
        <v>210</v>
      </c>
      <c r="O864" s="160"/>
    </row>
    <row r="865" spans="2:15">
      <c r="B865" s="146">
        <v>41956</v>
      </c>
      <c r="C865" s="221" t="s">
        <v>219</v>
      </c>
      <c r="D865" s="99">
        <v>18989</v>
      </c>
      <c r="E865" s="221" t="s">
        <v>212</v>
      </c>
      <c r="O865" s="160"/>
    </row>
    <row r="866" spans="2:15">
      <c r="B866" s="146">
        <v>41277</v>
      </c>
      <c r="C866" s="221" t="s">
        <v>218</v>
      </c>
      <c r="D866" s="99">
        <v>16310</v>
      </c>
      <c r="E866" s="221" t="s">
        <v>212</v>
      </c>
      <c r="O866" s="160"/>
    </row>
    <row r="867" spans="2:15">
      <c r="B867" s="146">
        <v>41138</v>
      </c>
      <c r="C867" s="221" t="s">
        <v>217</v>
      </c>
      <c r="D867" s="99">
        <v>15434</v>
      </c>
      <c r="E867" s="221" t="s">
        <v>212</v>
      </c>
      <c r="O867" s="160"/>
    </row>
    <row r="868" spans="2:15">
      <c r="B868" s="146">
        <v>41452</v>
      </c>
      <c r="C868" s="221" t="s">
        <v>217</v>
      </c>
      <c r="D868" s="99">
        <v>37646</v>
      </c>
      <c r="E868" s="221" t="s">
        <v>212</v>
      </c>
      <c r="O868" s="160"/>
    </row>
    <row r="869" spans="2:15">
      <c r="B869" s="146">
        <v>41178</v>
      </c>
      <c r="C869" s="221" t="s">
        <v>219</v>
      </c>
      <c r="D869" s="99">
        <v>39023</v>
      </c>
      <c r="E869" s="221" t="s">
        <v>211</v>
      </c>
      <c r="O869" s="160"/>
    </row>
    <row r="870" spans="2:15">
      <c r="B870" s="146">
        <v>41812</v>
      </c>
      <c r="C870" s="221" t="s">
        <v>219</v>
      </c>
      <c r="D870" s="99">
        <v>28880</v>
      </c>
      <c r="E870" s="221" t="s">
        <v>213</v>
      </c>
      <c r="O870" s="160"/>
    </row>
    <row r="871" spans="2:15">
      <c r="B871" s="146">
        <v>41300</v>
      </c>
      <c r="C871" s="221" t="s">
        <v>218</v>
      </c>
      <c r="D871" s="99">
        <v>14978</v>
      </c>
      <c r="E871" s="221" t="s">
        <v>210</v>
      </c>
      <c r="O871" s="160"/>
    </row>
    <row r="872" spans="2:15">
      <c r="B872" s="146">
        <v>41192</v>
      </c>
      <c r="C872" s="221" t="s">
        <v>219</v>
      </c>
      <c r="D872" s="99">
        <v>30930</v>
      </c>
      <c r="E872" s="221" t="s">
        <v>212</v>
      </c>
      <c r="O872" s="160"/>
    </row>
    <row r="873" spans="2:15">
      <c r="B873" s="146">
        <v>41655</v>
      </c>
      <c r="C873" s="221" t="s">
        <v>220</v>
      </c>
      <c r="D873" s="99">
        <v>25915</v>
      </c>
      <c r="E873" s="221" t="s">
        <v>211</v>
      </c>
      <c r="O873" s="160"/>
    </row>
    <row r="874" spans="2:15">
      <c r="B874" s="146">
        <v>41377</v>
      </c>
      <c r="C874" s="221" t="s">
        <v>217</v>
      </c>
      <c r="D874" s="99">
        <v>14794</v>
      </c>
      <c r="E874" s="221" t="s">
        <v>211</v>
      </c>
      <c r="O874" s="160"/>
    </row>
    <row r="875" spans="2:15">
      <c r="B875" s="146">
        <v>41742</v>
      </c>
      <c r="C875" s="221" t="s">
        <v>218</v>
      </c>
      <c r="D875" s="99">
        <v>25353</v>
      </c>
      <c r="E875" s="221" t="s">
        <v>210</v>
      </c>
      <c r="O875" s="160"/>
    </row>
    <row r="876" spans="2:15">
      <c r="B876" s="146">
        <v>41962</v>
      </c>
      <c r="C876" s="221" t="s">
        <v>220</v>
      </c>
      <c r="D876" s="99">
        <v>32656</v>
      </c>
      <c r="E876" s="221" t="s">
        <v>213</v>
      </c>
      <c r="O876" s="160"/>
    </row>
    <row r="877" spans="2:15">
      <c r="B877" s="146">
        <v>41748</v>
      </c>
      <c r="C877" s="221" t="s">
        <v>217</v>
      </c>
      <c r="D877" s="99">
        <v>6984</v>
      </c>
      <c r="E877" s="221" t="s">
        <v>212</v>
      </c>
      <c r="O877" s="160"/>
    </row>
    <row r="878" spans="2:15">
      <c r="B878" s="146">
        <v>41344</v>
      </c>
      <c r="C878" s="221" t="s">
        <v>220</v>
      </c>
      <c r="D878" s="99">
        <v>12024</v>
      </c>
      <c r="E878" s="221" t="s">
        <v>212</v>
      </c>
      <c r="O878" s="160"/>
    </row>
    <row r="879" spans="2:15">
      <c r="B879" s="146">
        <v>41324</v>
      </c>
      <c r="C879" s="221" t="s">
        <v>217</v>
      </c>
      <c r="D879" s="99">
        <v>20097</v>
      </c>
      <c r="E879" s="221" t="s">
        <v>211</v>
      </c>
      <c r="O879" s="160"/>
    </row>
    <row r="880" spans="2:15">
      <c r="B880" s="146">
        <v>41718</v>
      </c>
      <c r="C880" s="221" t="s">
        <v>220</v>
      </c>
      <c r="D880" s="99">
        <v>29877</v>
      </c>
      <c r="E880" s="221" t="s">
        <v>212</v>
      </c>
      <c r="O880" s="160"/>
    </row>
    <row r="881" spans="2:15">
      <c r="B881" s="146">
        <v>41648</v>
      </c>
      <c r="C881" s="221" t="s">
        <v>217</v>
      </c>
      <c r="D881" s="99">
        <v>10416</v>
      </c>
      <c r="E881" s="221" t="s">
        <v>212</v>
      </c>
      <c r="O881" s="160"/>
    </row>
    <row r="882" spans="2:15">
      <c r="B882" s="146">
        <v>41536</v>
      </c>
      <c r="C882" s="221" t="s">
        <v>218</v>
      </c>
      <c r="D882" s="99">
        <v>31677</v>
      </c>
      <c r="E882" s="221" t="s">
        <v>212</v>
      </c>
      <c r="O882" s="160"/>
    </row>
    <row r="883" spans="2:15">
      <c r="B883" s="146">
        <v>41142</v>
      </c>
      <c r="C883" s="221" t="s">
        <v>218</v>
      </c>
      <c r="D883" s="99">
        <v>37538</v>
      </c>
      <c r="E883" s="221" t="s">
        <v>211</v>
      </c>
      <c r="O883" s="160"/>
    </row>
    <row r="884" spans="2:15">
      <c r="B884" s="146">
        <v>41410</v>
      </c>
      <c r="C884" s="221" t="s">
        <v>217</v>
      </c>
      <c r="D884" s="99">
        <v>11817</v>
      </c>
      <c r="E884" s="221" t="s">
        <v>210</v>
      </c>
      <c r="O884" s="160"/>
    </row>
    <row r="885" spans="2:15">
      <c r="B885" s="146">
        <v>41778</v>
      </c>
      <c r="C885" s="221" t="s">
        <v>217</v>
      </c>
      <c r="D885" s="99">
        <v>37640</v>
      </c>
      <c r="E885" s="221" t="s">
        <v>210</v>
      </c>
      <c r="O885" s="160"/>
    </row>
    <row r="886" spans="2:15">
      <c r="B886" s="146">
        <v>41858</v>
      </c>
      <c r="C886" s="221" t="s">
        <v>217</v>
      </c>
      <c r="D886" s="99">
        <v>33830</v>
      </c>
      <c r="E886" s="221" t="s">
        <v>210</v>
      </c>
      <c r="O886" s="160"/>
    </row>
    <row r="887" spans="2:15">
      <c r="B887" s="146">
        <v>41588</v>
      </c>
      <c r="C887" s="221" t="s">
        <v>218</v>
      </c>
      <c r="D887" s="99">
        <v>24788</v>
      </c>
      <c r="E887" s="221" t="s">
        <v>213</v>
      </c>
      <c r="O887" s="160"/>
    </row>
    <row r="888" spans="2:15">
      <c r="B888" s="146">
        <v>41189</v>
      </c>
      <c r="C888" s="221" t="s">
        <v>218</v>
      </c>
      <c r="D888" s="99">
        <v>33642</v>
      </c>
      <c r="E888" s="221" t="s">
        <v>213</v>
      </c>
      <c r="O888" s="160"/>
    </row>
    <row r="889" spans="2:15">
      <c r="B889" s="146">
        <v>41707</v>
      </c>
      <c r="C889" s="221" t="s">
        <v>217</v>
      </c>
      <c r="D889" s="99">
        <v>6243</v>
      </c>
      <c r="E889" s="221" t="s">
        <v>212</v>
      </c>
      <c r="O889" s="160"/>
    </row>
    <row r="890" spans="2:15">
      <c r="B890" s="146">
        <v>41581</v>
      </c>
      <c r="C890" s="221" t="s">
        <v>219</v>
      </c>
      <c r="D890" s="99">
        <v>18903</v>
      </c>
      <c r="E890" s="221" t="s">
        <v>213</v>
      </c>
      <c r="O890" s="160"/>
    </row>
    <row r="891" spans="2:15">
      <c r="B891" s="146">
        <v>41524</v>
      </c>
      <c r="C891" s="221" t="s">
        <v>219</v>
      </c>
      <c r="D891" s="99">
        <v>21177</v>
      </c>
      <c r="E891" s="221" t="s">
        <v>213</v>
      </c>
      <c r="O891" s="160"/>
    </row>
    <row r="892" spans="2:15">
      <c r="B892" s="146">
        <v>41236</v>
      </c>
      <c r="C892" s="221" t="s">
        <v>217</v>
      </c>
      <c r="D892" s="99">
        <v>9380</v>
      </c>
      <c r="E892" s="221" t="s">
        <v>210</v>
      </c>
      <c r="O892" s="160"/>
    </row>
    <row r="893" spans="2:15">
      <c r="B893" s="146">
        <v>41490</v>
      </c>
      <c r="C893" s="221" t="s">
        <v>218</v>
      </c>
      <c r="D893" s="99">
        <v>32319</v>
      </c>
      <c r="E893" s="221" t="s">
        <v>210</v>
      </c>
      <c r="O893" s="160"/>
    </row>
    <row r="894" spans="2:15">
      <c r="B894" s="146">
        <v>41133</v>
      </c>
      <c r="C894" s="221" t="s">
        <v>219</v>
      </c>
      <c r="D894" s="99">
        <v>11540</v>
      </c>
      <c r="E894" s="221" t="s">
        <v>210</v>
      </c>
      <c r="O894" s="160"/>
    </row>
    <row r="895" spans="2:15">
      <c r="B895" s="146">
        <v>41468</v>
      </c>
      <c r="C895" s="221" t="s">
        <v>220</v>
      </c>
      <c r="D895" s="99">
        <v>10456</v>
      </c>
      <c r="E895" s="221" t="s">
        <v>211</v>
      </c>
      <c r="O895" s="160"/>
    </row>
    <row r="896" spans="2:15">
      <c r="B896" s="146">
        <v>41408</v>
      </c>
      <c r="C896" s="221" t="s">
        <v>219</v>
      </c>
      <c r="D896" s="99">
        <v>7682</v>
      </c>
      <c r="E896" s="221" t="s">
        <v>211</v>
      </c>
      <c r="O896" s="160"/>
    </row>
    <row r="897" spans="2:15">
      <c r="B897" s="146">
        <v>41363</v>
      </c>
      <c r="C897" s="221" t="s">
        <v>217</v>
      </c>
      <c r="D897" s="99">
        <v>31281</v>
      </c>
      <c r="E897" s="221" t="s">
        <v>210</v>
      </c>
      <c r="O897" s="160"/>
    </row>
    <row r="898" spans="2:15">
      <c r="B898" s="146">
        <v>41272</v>
      </c>
      <c r="C898" s="221" t="s">
        <v>217</v>
      </c>
      <c r="D898" s="99">
        <v>22214</v>
      </c>
      <c r="E898" s="221" t="s">
        <v>212</v>
      </c>
      <c r="O898" s="160"/>
    </row>
    <row r="899" spans="2:15">
      <c r="B899" s="146">
        <v>41743</v>
      </c>
      <c r="C899" s="221" t="s">
        <v>218</v>
      </c>
      <c r="D899" s="99">
        <v>24922</v>
      </c>
      <c r="E899" s="221" t="s">
        <v>210</v>
      </c>
      <c r="O899" s="160"/>
    </row>
    <row r="900" spans="2:15">
      <c r="B900" s="146">
        <v>42016</v>
      </c>
      <c r="C900" s="221" t="s">
        <v>217</v>
      </c>
      <c r="D900" s="99">
        <v>16410</v>
      </c>
      <c r="E900" s="221" t="s">
        <v>210</v>
      </c>
      <c r="O900" s="160"/>
    </row>
    <row r="901" spans="2:15">
      <c r="B901" s="146">
        <v>41442</v>
      </c>
      <c r="C901" s="221" t="s">
        <v>219</v>
      </c>
      <c r="D901" s="99">
        <v>35790</v>
      </c>
      <c r="E901" s="221" t="s">
        <v>213</v>
      </c>
      <c r="O901" s="160"/>
    </row>
    <row r="902" spans="2:15">
      <c r="B902" s="146">
        <v>41163</v>
      </c>
      <c r="C902" s="221" t="s">
        <v>217</v>
      </c>
      <c r="D902" s="99">
        <v>20505</v>
      </c>
      <c r="E902" s="221" t="s">
        <v>213</v>
      </c>
      <c r="O902" s="160"/>
    </row>
    <row r="903" spans="2:15">
      <c r="B903" s="146">
        <v>41527</v>
      </c>
      <c r="C903" s="221" t="s">
        <v>217</v>
      </c>
      <c r="D903" s="99">
        <v>7955</v>
      </c>
      <c r="E903" s="221" t="s">
        <v>212</v>
      </c>
      <c r="O903" s="160"/>
    </row>
    <row r="904" spans="2:15">
      <c r="B904" s="146">
        <v>41437</v>
      </c>
      <c r="C904" s="221" t="s">
        <v>220</v>
      </c>
      <c r="D904" s="99">
        <v>30218</v>
      </c>
      <c r="E904" s="221" t="s">
        <v>210</v>
      </c>
      <c r="O904" s="160"/>
    </row>
    <row r="905" spans="2:15">
      <c r="B905" s="146">
        <v>41515</v>
      </c>
      <c r="C905" s="221" t="s">
        <v>217</v>
      </c>
      <c r="D905" s="99">
        <v>38457</v>
      </c>
      <c r="E905" s="221" t="s">
        <v>212</v>
      </c>
      <c r="O905" s="160"/>
    </row>
    <row r="906" spans="2:15">
      <c r="B906" s="146">
        <v>41218</v>
      </c>
      <c r="C906" s="221" t="s">
        <v>220</v>
      </c>
      <c r="D906" s="99">
        <v>28858</v>
      </c>
      <c r="E906" s="221" t="s">
        <v>211</v>
      </c>
      <c r="O906" s="160"/>
    </row>
    <row r="907" spans="2:15">
      <c r="B907" s="146">
        <v>41775</v>
      </c>
      <c r="C907" s="221" t="s">
        <v>218</v>
      </c>
      <c r="D907" s="99">
        <v>14185</v>
      </c>
      <c r="E907" s="221" t="s">
        <v>212</v>
      </c>
      <c r="O907" s="160"/>
    </row>
    <row r="908" spans="2:15">
      <c r="B908" s="146">
        <v>41260</v>
      </c>
      <c r="C908" s="221" t="s">
        <v>218</v>
      </c>
      <c r="D908" s="99">
        <v>5239</v>
      </c>
      <c r="E908" s="221" t="s">
        <v>210</v>
      </c>
      <c r="O908" s="160"/>
    </row>
    <row r="909" spans="2:15">
      <c r="B909" s="146">
        <v>41826</v>
      </c>
      <c r="C909" s="221" t="s">
        <v>220</v>
      </c>
      <c r="D909" s="99">
        <v>23229</v>
      </c>
      <c r="E909" s="221" t="s">
        <v>211</v>
      </c>
      <c r="O909" s="160"/>
    </row>
    <row r="910" spans="2:15">
      <c r="B910" s="146">
        <v>41904</v>
      </c>
      <c r="C910" s="221" t="s">
        <v>218</v>
      </c>
      <c r="D910" s="99">
        <v>33257</v>
      </c>
      <c r="E910" s="221" t="s">
        <v>212</v>
      </c>
      <c r="O910" s="160"/>
    </row>
    <row r="911" spans="2:15">
      <c r="B911" s="146">
        <v>41516</v>
      </c>
      <c r="C911" s="221" t="s">
        <v>220</v>
      </c>
      <c r="D911" s="99">
        <v>39771</v>
      </c>
      <c r="E911" s="221" t="s">
        <v>213</v>
      </c>
      <c r="O911" s="160"/>
    </row>
    <row r="912" spans="2:15">
      <c r="B912" s="146">
        <v>41799</v>
      </c>
      <c r="C912" s="221" t="s">
        <v>219</v>
      </c>
      <c r="D912" s="99">
        <v>37920</v>
      </c>
      <c r="E912" s="221" t="s">
        <v>212</v>
      </c>
      <c r="O912" s="160"/>
    </row>
    <row r="913" spans="2:15">
      <c r="B913" s="146">
        <v>41883</v>
      </c>
      <c r="C913" s="221" t="s">
        <v>217</v>
      </c>
      <c r="D913" s="99">
        <v>6951</v>
      </c>
      <c r="E913" s="221" t="s">
        <v>212</v>
      </c>
      <c r="O913" s="160"/>
    </row>
    <row r="914" spans="2:15">
      <c r="B914" s="146">
        <v>41270</v>
      </c>
      <c r="C914" s="221" t="s">
        <v>217</v>
      </c>
      <c r="D914" s="99">
        <v>20072</v>
      </c>
      <c r="E914" s="221" t="s">
        <v>210</v>
      </c>
      <c r="O914" s="160"/>
    </row>
    <row r="915" spans="2:15">
      <c r="B915" s="146">
        <v>41487</v>
      </c>
      <c r="C915" s="221" t="s">
        <v>220</v>
      </c>
      <c r="D915" s="99">
        <v>7047</v>
      </c>
      <c r="E915" s="221" t="s">
        <v>210</v>
      </c>
      <c r="O915" s="160"/>
    </row>
    <row r="916" spans="2:15">
      <c r="B916" s="146">
        <v>42001</v>
      </c>
      <c r="C916" s="221" t="s">
        <v>219</v>
      </c>
      <c r="D916" s="99">
        <v>21888</v>
      </c>
      <c r="E916" s="221" t="s">
        <v>213</v>
      </c>
      <c r="O916" s="160"/>
    </row>
    <row r="917" spans="2:15">
      <c r="B917" s="146">
        <v>41746</v>
      </c>
      <c r="C917" s="221" t="s">
        <v>219</v>
      </c>
      <c r="D917" s="99">
        <v>24711</v>
      </c>
      <c r="E917" s="221" t="s">
        <v>210</v>
      </c>
      <c r="O917" s="160"/>
    </row>
    <row r="918" spans="2:15">
      <c r="B918" s="146">
        <v>41169</v>
      </c>
      <c r="C918" s="221" t="s">
        <v>219</v>
      </c>
      <c r="D918" s="99">
        <v>9911</v>
      </c>
      <c r="E918" s="221" t="s">
        <v>211</v>
      </c>
      <c r="O918" s="160"/>
    </row>
    <row r="919" spans="2:15">
      <c r="B919" s="146">
        <v>41989</v>
      </c>
      <c r="C919" s="221" t="s">
        <v>218</v>
      </c>
      <c r="D919" s="99">
        <v>24538</v>
      </c>
      <c r="E919" s="221" t="s">
        <v>213</v>
      </c>
      <c r="O919" s="160"/>
    </row>
    <row r="920" spans="2:15">
      <c r="B920" s="146">
        <v>41716</v>
      </c>
      <c r="C920" s="221" t="s">
        <v>217</v>
      </c>
      <c r="D920" s="99">
        <v>10636</v>
      </c>
      <c r="E920" s="221" t="s">
        <v>212</v>
      </c>
      <c r="O920" s="160"/>
    </row>
    <row r="921" spans="2:15">
      <c r="B921" s="146">
        <v>41546</v>
      </c>
      <c r="C921" s="221" t="s">
        <v>218</v>
      </c>
      <c r="D921" s="99">
        <v>35070</v>
      </c>
      <c r="E921" s="221" t="s">
        <v>213</v>
      </c>
      <c r="O921" s="160"/>
    </row>
    <row r="922" spans="2:15">
      <c r="B922" s="146">
        <v>41876</v>
      </c>
      <c r="C922" s="221" t="s">
        <v>219</v>
      </c>
      <c r="D922" s="99">
        <v>13652</v>
      </c>
      <c r="E922" s="221" t="s">
        <v>212</v>
      </c>
      <c r="O922" s="160"/>
    </row>
    <row r="923" spans="2:15">
      <c r="B923" s="146">
        <v>41468</v>
      </c>
      <c r="C923" s="221" t="s">
        <v>218</v>
      </c>
      <c r="D923" s="99">
        <v>35976</v>
      </c>
      <c r="E923" s="221" t="s">
        <v>211</v>
      </c>
      <c r="O923" s="160"/>
    </row>
    <row r="924" spans="2:15">
      <c r="B924" s="146">
        <v>41444</v>
      </c>
      <c r="C924" s="221" t="s">
        <v>217</v>
      </c>
      <c r="D924" s="99">
        <v>29866</v>
      </c>
      <c r="E924" s="221" t="s">
        <v>211</v>
      </c>
      <c r="O924" s="160"/>
    </row>
    <row r="925" spans="2:15">
      <c r="B925" s="146">
        <v>41791</v>
      </c>
      <c r="C925" s="221" t="s">
        <v>220</v>
      </c>
      <c r="D925" s="99">
        <v>39092</v>
      </c>
      <c r="E925" s="221" t="s">
        <v>210</v>
      </c>
      <c r="O925" s="160"/>
    </row>
    <row r="926" spans="2:15">
      <c r="B926" s="146">
        <v>41765</v>
      </c>
      <c r="C926" s="221" t="s">
        <v>217</v>
      </c>
      <c r="D926" s="99">
        <v>13455</v>
      </c>
      <c r="E926" s="221" t="s">
        <v>213</v>
      </c>
      <c r="O926" s="160"/>
    </row>
    <row r="927" spans="2:15">
      <c r="B927" s="146">
        <v>41884</v>
      </c>
      <c r="C927" s="221" t="s">
        <v>220</v>
      </c>
      <c r="D927" s="99">
        <v>12403</v>
      </c>
      <c r="E927" s="221" t="s">
        <v>210</v>
      </c>
      <c r="O927" s="160"/>
    </row>
    <row r="928" spans="2:15">
      <c r="B928" s="146">
        <v>41961</v>
      </c>
      <c r="C928" s="221" t="s">
        <v>217</v>
      </c>
      <c r="D928" s="99">
        <v>36172</v>
      </c>
      <c r="E928" s="221" t="s">
        <v>212</v>
      </c>
      <c r="O928" s="160"/>
    </row>
    <row r="929" spans="2:15">
      <c r="B929" s="146">
        <v>41337</v>
      </c>
      <c r="C929" s="221" t="s">
        <v>219</v>
      </c>
      <c r="D929" s="99">
        <v>24344</v>
      </c>
      <c r="E929" s="221" t="s">
        <v>212</v>
      </c>
      <c r="O929" s="160"/>
    </row>
    <row r="930" spans="2:15">
      <c r="B930" s="146">
        <v>41704</v>
      </c>
      <c r="C930" s="221" t="s">
        <v>219</v>
      </c>
      <c r="D930" s="99">
        <v>38824</v>
      </c>
      <c r="E930" s="221" t="s">
        <v>210</v>
      </c>
      <c r="O930" s="160"/>
    </row>
    <row r="931" spans="2:15">
      <c r="B931" s="146">
        <v>41555</v>
      </c>
      <c r="C931" s="221" t="s">
        <v>218</v>
      </c>
      <c r="D931" s="99">
        <v>15044</v>
      </c>
      <c r="E931" s="221" t="s">
        <v>210</v>
      </c>
      <c r="O931" s="160"/>
    </row>
    <row r="932" spans="2:15">
      <c r="B932" s="146">
        <v>42017</v>
      </c>
      <c r="C932" s="221" t="s">
        <v>219</v>
      </c>
      <c r="D932" s="99">
        <v>11462</v>
      </c>
      <c r="E932" s="221" t="s">
        <v>211</v>
      </c>
      <c r="O932" s="160"/>
    </row>
    <row r="933" spans="2:15">
      <c r="B933" s="146">
        <v>41984</v>
      </c>
      <c r="C933" s="221" t="s">
        <v>218</v>
      </c>
      <c r="D933" s="99">
        <v>34295</v>
      </c>
      <c r="E933" s="221" t="s">
        <v>211</v>
      </c>
      <c r="O933" s="160"/>
    </row>
    <row r="934" spans="2:15">
      <c r="B934" s="146">
        <v>41998</v>
      </c>
      <c r="C934" s="221" t="s">
        <v>220</v>
      </c>
      <c r="D934" s="99">
        <v>16508</v>
      </c>
      <c r="E934" s="221" t="s">
        <v>211</v>
      </c>
      <c r="O934" s="160"/>
    </row>
    <row r="935" spans="2:15">
      <c r="B935" s="146">
        <v>41657</v>
      </c>
      <c r="C935" s="221" t="s">
        <v>217</v>
      </c>
      <c r="D935" s="99">
        <v>17557</v>
      </c>
      <c r="E935" s="221" t="s">
        <v>212</v>
      </c>
      <c r="O935" s="160"/>
    </row>
    <row r="936" spans="2:15">
      <c r="B936" s="146">
        <v>41260</v>
      </c>
      <c r="C936" s="221" t="s">
        <v>219</v>
      </c>
      <c r="D936" s="99">
        <v>37012</v>
      </c>
      <c r="E936" s="221" t="s">
        <v>212</v>
      </c>
      <c r="O936" s="160"/>
    </row>
    <row r="937" spans="2:15">
      <c r="B937" s="146">
        <v>41908</v>
      </c>
      <c r="C937" s="221" t="s">
        <v>217</v>
      </c>
      <c r="D937" s="99">
        <v>18879</v>
      </c>
      <c r="E937" s="221" t="s">
        <v>213</v>
      </c>
      <c r="O937" s="160"/>
    </row>
    <row r="938" spans="2:15">
      <c r="B938" s="146">
        <v>41754</v>
      </c>
      <c r="C938" s="221" t="s">
        <v>218</v>
      </c>
      <c r="D938" s="99">
        <v>33553</v>
      </c>
      <c r="E938" s="221" t="s">
        <v>212</v>
      </c>
      <c r="O938" s="160"/>
    </row>
    <row r="939" spans="2:15">
      <c r="B939" s="146">
        <v>41906</v>
      </c>
      <c r="C939" s="221" t="s">
        <v>217</v>
      </c>
      <c r="D939" s="99">
        <v>13903</v>
      </c>
      <c r="E939" s="221" t="s">
        <v>212</v>
      </c>
      <c r="O939" s="160"/>
    </row>
    <row r="940" spans="2:15">
      <c r="B940" s="146">
        <v>41875</v>
      </c>
      <c r="C940" s="221" t="s">
        <v>219</v>
      </c>
      <c r="D940" s="99">
        <v>28844</v>
      </c>
      <c r="E940" s="221" t="s">
        <v>211</v>
      </c>
      <c r="O940" s="160"/>
    </row>
    <row r="941" spans="2:15">
      <c r="B941" s="146">
        <v>41617</v>
      </c>
      <c r="C941" s="221" t="s">
        <v>220</v>
      </c>
      <c r="D941" s="99">
        <v>9370</v>
      </c>
      <c r="E941" s="221" t="s">
        <v>211</v>
      </c>
      <c r="O941" s="160"/>
    </row>
    <row r="942" spans="2:15">
      <c r="B942" s="146">
        <v>41695</v>
      </c>
      <c r="C942" s="221" t="s">
        <v>220</v>
      </c>
      <c r="D942" s="99">
        <v>5757</v>
      </c>
      <c r="E942" s="221" t="s">
        <v>213</v>
      </c>
      <c r="O942" s="160"/>
    </row>
    <row r="943" spans="2:15">
      <c r="B943" s="146">
        <v>41835</v>
      </c>
      <c r="C943" s="221" t="s">
        <v>219</v>
      </c>
      <c r="D943" s="99">
        <v>31592</v>
      </c>
      <c r="E943" s="221" t="s">
        <v>210</v>
      </c>
      <c r="O943" s="160"/>
    </row>
    <row r="944" spans="2:15">
      <c r="B944" s="146">
        <v>41176</v>
      </c>
      <c r="C944" s="221" t="s">
        <v>219</v>
      </c>
      <c r="D944" s="99">
        <v>32685</v>
      </c>
      <c r="E944" s="221" t="s">
        <v>212</v>
      </c>
      <c r="O944" s="160"/>
    </row>
    <row r="945" spans="2:15">
      <c r="B945" s="146">
        <v>41386</v>
      </c>
      <c r="C945" s="221" t="s">
        <v>217</v>
      </c>
      <c r="D945" s="99">
        <v>38895</v>
      </c>
      <c r="E945" s="221" t="s">
        <v>212</v>
      </c>
      <c r="O945" s="160"/>
    </row>
    <row r="946" spans="2:15">
      <c r="B946" s="146">
        <v>41810</v>
      </c>
      <c r="C946" s="221" t="s">
        <v>219</v>
      </c>
      <c r="D946" s="99">
        <v>36832</v>
      </c>
      <c r="E946" s="221" t="s">
        <v>213</v>
      </c>
      <c r="O946" s="160"/>
    </row>
    <row r="947" spans="2:15">
      <c r="B947" s="146">
        <v>41803</v>
      </c>
      <c r="C947" s="221" t="s">
        <v>217</v>
      </c>
      <c r="D947" s="99">
        <v>8883</v>
      </c>
      <c r="E947" s="221" t="s">
        <v>213</v>
      </c>
      <c r="O947" s="160"/>
    </row>
    <row r="948" spans="2:15">
      <c r="B948" s="146">
        <v>41638</v>
      </c>
      <c r="C948" s="221" t="s">
        <v>219</v>
      </c>
      <c r="D948" s="99">
        <v>20588</v>
      </c>
      <c r="E948" s="221" t="s">
        <v>211</v>
      </c>
      <c r="O948" s="160"/>
    </row>
    <row r="949" spans="2:15">
      <c r="B949" s="146">
        <v>41987</v>
      </c>
      <c r="C949" s="221" t="s">
        <v>218</v>
      </c>
      <c r="D949" s="99">
        <v>13191</v>
      </c>
      <c r="E949" s="221" t="s">
        <v>210</v>
      </c>
      <c r="O949" s="160"/>
    </row>
    <row r="950" spans="2:15">
      <c r="B950" s="146">
        <v>41887</v>
      </c>
      <c r="C950" s="221" t="s">
        <v>220</v>
      </c>
      <c r="D950" s="99">
        <v>24182</v>
      </c>
      <c r="E950" s="221" t="s">
        <v>212</v>
      </c>
      <c r="O950" s="160"/>
    </row>
    <row r="951" spans="2:15">
      <c r="B951" s="146">
        <v>41753</v>
      </c>
      <c r="C951" s="221" t="s">
        <v>217</v>
      </c>
      <c r="D951" s="99">
        <v>20050</v>
      </c>
      <c r="E951" s="221" t="s">
        <v>213</v>
      </c>
      <c r="O951" s="160"/>
    </row>
    <row r="952" spans="2:15">
      <c r="B952" s="146">
        <v>41734</v>
      </c>
      <c r="C952" s="221" t="s">
        <v>219</v>
      </c>
      <c r="D952" s="99">
        <v>7128</v>
      </c>
      <c r="E952" s="221" t="s">
        <v>210</v>
      </c>
      <c r="O952" s="160"/>
    </row>
    <row r="953" spans="2:15">
      <c r="B953" s="146">
        <v>41173</v>
      </c>
      <c r="C953" s="221" t="s">
        <v>217</v>
      </c>
      <c r="D953" s="99">
        <v>22514</v>
      </c>
      <c r="E953" s="221" t="s">
        <v>213</v>
      </c>
      <c r="O953" s="160"/>
    </row>
    <row r="954" spans="2:15">
      <c r="B954" s="146">
        <v>41682</v>
      </c>
      <c r="C954" s="221" t="s">
        <v>217</v>
      </c>
      <c r="D954" s="99">
        <v>30600</v>
      </c>
      <c r="E954" s="221" t="s">
        <v>211</v>
      </c>
      <c r="O954" s="160"/>
    </row>
    <row r="955" spans="2:15">
      <c r="B955" s="146">
        <v>41477</v>
      </c>
      <c r="C955" s="221" t="s">
        <v>219</v>
      </c>
      <c r="D955" s="99">
        <v>32720</v>
      </c>
      <c r="E955" s="221" t="s">
        <v>213</v>
      </c>
      <c r="O955" s="160"/>
    </row>
    <row r="956" spans="2:15">
      <c r="B956" s="146">
        <v>41866</v>
      </c>
      <c r="C956" s="221" t="s">
        <v>218</v>
      </c>
      <c r="D956" s="99">
        <v>21261</v>
      </c>
      <c r="E956" s="221" t="s">
        <v>212</v>
      </c>
      <c r="O956" s="160"/>
    </row>
    <row r="957" spans="2:15">
      <c r="B957" s="146">
        <v>41407</v>
      </c>
      <c r="C957" s="221" t="s">
        <v>218</v>
      </c>
      <c r="D957" s="99">
        <v>18502</v>
      </c>
      <c r="E957" s="221" t="s">
        <v>212</v>
      </c>
      <c r="O957" s="160"/>
    </row>
    <row r="958" spans="2:15">
      <c r="B958" s="146">
        <v>41152</v>
      </c>
      <c r="C958" s="221" t="s">
        <v>218</v>
      </c>
      <c r="D958" s="99">
        <v>5835</v>
      </c>
      <c r="E958" s="221" t="s">
        <v>213</v>
      </c>
      <c r="O958" s="160"/>
    </row>
    <row r="959" spans="2:15">
      <c r="B959" s="146">
        <v>41989</v>
      </c>
      <c r="C959" s="221" t="s">
        <v>217</v>
      </c>
      <c r="D959" s="99">
        <v>13082</v>
      </c>
      <c r="E959" s="221" t="s">
        <v>210</v>
      </c>
      <c r="O959" s="160"/>
    </row>
    <row r="960" spans="2:15">
      <c r="B960" s="146">
        <v>42002</v>
      </c>
      <c r="C960" s="221" t="s">
        <v>218</v>
      </c>
      <c r="D960" s="99">
        <v>17263</v>
      </c>
      <c r="E960" s="221" t="s">
        <v>210</v>
      </c>
      <c r="O960" s="160"/>
    </row>
    <row r="961" spans="2:15">
      <c r="B961" s="146">
        <v>41448</v>
      </c>
      <c r="C961" s="221" t="s">
        <v>220</v>
      </c>
      <c r="D961" s="99">
        <v>8903</v>
      </c>
      <c r="E961" s="221" t="s">
        <v>212</v>
      </c>
      <c r="O961" s="160"/>
    </row>
    <row r="962" spans="2:15">
      <c r="B962" s="146">
        <v>41349</v>
      </c>
      <c r="C962" s="221" t="s">
        <v>217</v>
      </c>
      <c r="D962" s="99">
        <v>5305</v>
      </c>
      <c r="E962" s="221" t="s">
        <v>211</v>
      </c>
      <c r="O962" s="160"/>
    </row>
    <row r="963" spans="2:15">
      <c r="B963" s="146">
        <v>41155</v>
      </c>
      <c r="C963" s="221" t="s">
        <v>219</v>
      </c>
      <c r="D963" s="99">
        <v>39298</v>
      </c>
      <c r="E963" s="221" t="s">
        <v>210</v>
      </c>
      <c r="O963" s="160"/>
    </row>
    <row r="964" spans="2:15">
      <c r="B964" s="146">
        <v>41459</v>
      </c>
      <c r="C964" s="221" t="s">
        <v>219</v>
      </c>
      <c r="D964" s="99">
        <v>37652</v>
      </c>
      <c r="E964" s="221" t="s">
        <v>213</v>
      </c>
      <c r="O964" s="160"/>
    </row>
    <row r="965" spans="2:15">
      <c r="B965" s="146">
        <v>41733</v>
      </c>
      <c r="C965" s="221" t="s">
        <v>219</v>
      </c>
      <c r="D965" s="99">
        <v>33926</v>
      </c>
      <c r="E965" s="221" t="s">
        <v>213</v>
      </c>
      <c r="O965" s="160"/>
    </row>
    <row r="966" spans="2:15">
      <c r="B966" s="146">
        <v>41805</v>
      </c>
      <c r="C966" s="221" t="s">
        <v>219</v>
      </c>
      <c r="D966" s="99">
        <v>26505</v>
      </c>
      <c r="E966" s="221" t="s">
        <v>210</v>
      </c>
      <c r="O966" s="160"/>
    </row>
    <row r="967" spans="2:15">
      <c r="B967" s="146">
        <v>41835</v>
      </c>
      <c r="C967" s="221" t="s">
        <v>220</v>
      </c>
      <c r="D967" s="99">
        <v>17149</v>
      </c>
      <c r="E967" s="221" t="s">
        <v>213</v>
      </c>
      <c r="O967" s="160"/>
    </row>
    <row r="968" spans="2:15">
      <c r="B968" s="146">
        <v>41364</v>
      </c>
      <c r="C968" s="221" t="s">
        <v>219</v>
      </c>
      <c r="D968" s="99">
        <v>18197</v>
      </c>
      <c r="E968" s="221" t="s">
        <v>213</v>
      </c>
      <c r="O968" s="160"/>
    </row>
    <row r="969" spans="2:15">
      <c r="B969" s="146">
        <v>41933</v>
      </c>
      <c r="C969" s="221" t="s">
        <v>218</v>
      </c>
      <c r="D969" s="99">
        <v>10043</v>
      </c>
      <c r="E969" s="221" t="s">
        <v>210</v>
      </c>
      <c r="O969" s="160"/>
    </row>
    <row r="970" spans="2:15">
      <c r="B970" s="146">
        <v>41987</v>
      </c>
      <c r="C970" s="221" t="s">
        <v>217</v>
      </c>
      <c r="D970" s="99">
        <v>39740</v>
      </c>
      <c r="E970" s="221" t="s">
        <v>212</v>
      </c>
      <c r="O970" s="160"/>
    </row>
    <row r="971" spans="2:15">
      <c r="B971" s="146">
        <v>41850</v>
      </c>
      <c r="C971" s="221" t="s">
        <v>217</v>
      </c>
      <c r="D971" s="99">
        <v>20454</v>
      </c>
      <c r="E971" s="221" t="s">
        <v>211</v>
      </c>
      <c r="O971" s="160"/>
    </row>
    <row r="972" spans="2:15">
      <c r="B972" s="146">
        <v>41262</v>
      </c>
      <c r="C972" s="221" t="s">
        <v>218</v>
      </c>
      <c r="D972" s="99">
        <v>39435</v>
      </c>
      <c r="E972" s="221" t="s">
        <v>210</v>
      </c>
      <c r="O972" s="160"/>
    </row>
    <row r="973" spans="2:15">
      <c r="B973" s="146">
        <v>41447</v>
      </c>
      <c r="C973" s="221" t="s">
        <v>217</v>
      </c>
      <c r="D973" s="99">
        <v>18617</v>
      </c>
      <c r="E973" s="221" t="s">
        <v>212</v>
      </c>
      <c r="O973" s="160"/>
    </row>
    <row r="974" spans="2:15">
      <c r="B974" s="146">
        <v>41417</v>
      </c>
      <c r="C974" s="221" t="s">
        <v>218</v>
      </c>
      <c r="D974" s="99">
        <v>29044</v>
      </c>
      <c r="E974" s="221" t="s">
        <v>210</v>
      </c>
      <c r="O974" s="160"/>
    </row>
    <row r="975" spans="2:15">
      <c r="B975" s="146">
        <v>41945</v>
      </c>
      <c r="C975" s="221" t="s">
        <v>219</v>
      </c>
      <c r="D975" s="99">
        <v>35725</v>
      </c>
      <c r="E975" s="221" t="s">
        <v>212</v>
      </c>
      <c r="O975" s="160"/>
    </row>
    <row r="976" spans="2:15">
      <c r="B976" s="146">
        <v>41824</v>
      </c>
      <c r="C976" s="221" t="s">
        <v>220</v>
      </c>
      <c r="D976" s="99">
        <v>29166</v>
      </c>
      <c r="E976" s="221" t="s">
        <v>210</v>
      </c>
      <c r="O976" s="160"/>
    </row>
    <row r="977" spans="2:15">
      <c r="B977" s="146">
        <v>41297</v>
      </c>
      <c r="C977" s="221" t="s">
        <v>217</v>
      </c>
      <c r="D977" s="99">
        <v>33335</v>
      </c>
      <c r="E977" s="221" t="s">
        <v>212</v>
      </c>
      <c r="O977" s="160"/>
    </row>
    <row r="978" spans="2:15">
      <c r="B978" s="146">
        <v>41946</v>
      </c>
      <c r="C978" s="221" t="s">
        <v>218</v>
      </c>
      <c r="D978" s="99">
        <v>20841</v>
      </c>
      <c r="E978" s="221" t="s">
        <v>212</v>
      </c>
      <c r="O978" s="160"/>
    </row>
    <row r="979" spans="2:15">
      <c r="B979" s="146">
        <v>41582</v>
      </c>
      <c r="C979" s="221" t="s">
        <v>220</v>
      </c>
      <c r="D979" s="99">
        <v>21891</v>
      </c>
      <c r="E979" s="221" t="s">
        <v>213</v>
      </c>
      <c r="O979" s="160"/>
    </row>
    <row r="980" spans="2:15">
      <c r="B980" s="146">
        <v>41659</v>
      </c>
      <c r="C980" s="221" t="s">
        <v>217</v>
      </c>
      <c r="D980" s="99">
        <v>14842</v>
      </c>
      <c r="E980" s="221" t="s">
        <v>210</v>
      </c>
      <c r="O980" s="160"/>
    </row>
    <row r="981" spans="2:15">
      <c r="B981" s="146">
        <v>41586</v>
      </c>
      <c r="C981" s="221" t="s">
        <v>218</v>
      </c>
      <c r="D981" s="99">
        <v>31944</v>
      </c>
      <c r="E981" s="221" t="s">
        <v>211</v>
      </c>
      <c r="O981" s="160"/>
    </row>
    <row r="982" spans="2:15">
      <c r="B982" s="146">
        <v>41559</v>
      </c>
      <c r="C982" s="221" t="s">
        <v>218</v>
      </c>
      <c r="D982" s="99">
        <v>8487</v>
      </c>
      <c r="E982" s="221" t="s">
        <v>211</v>
      </c>
      <c r="O982" s="160"/>
    </row>
    <row r="983" spans="2:15">
      <c r="B983" s="146">
        <v>41961</v>
      </c>
      <c r="C983" s="221" t="s">
        <v>218</v>
      </c>
      <c r="D983" s="99">
        <v>36648</v>
      </c>
      <c r="E983" s="221" t="s">
        <v>213</v>
      </c>
      <c r="O983" s="160"/>
    </row>
    <row r="984" spans="2:15">
      <c r="B984" s="146">
        <v>41471</v>
      </c>
      <c r="C984" s="221" t="s">
        <v>218</v>
      </c>
      <c r="D984" s="99">
        <v>37137</v>
      </c>
      <c r="E984" s="221" t="s">
        <v>210</v>
      </c>
      <c r="O984" s="160"/>
    </row>
    <row r="985" spans="2:15">
      <c r="B985" s="146">
        <v>41172</v>
      </c>
      <c r="C985" s="221" t="s">
        <v>218</v>
      </c>
      <c r="D985" s="99">
        <v>27664</v>
      </c>
      <c r="E985" s="221" t="s">
        <v>213</v>
      </c>
      <c r="O985" s="160"/>
    </row>
    <row r="986" spans="2:15">
      <c r="B986" s="146">
        <v>41779</v>
      </c>
      <c r="C986" s="221" t="s">
        <v>218</v>
      </c>
      <c r="D986" s="99">
        <v>16605</v>
      </c>
      <c r="E986" s="221" t="s">
        <v>212</v>
      </c>
      <c r="O986" s="160"/>
    </row>
    <row r="987" spans="2:15">
      <c r="B987" s="146">
        <v>41545</v>
      </c>
      <c r="C987" s="221" t="s">
        <v>220</v>
      </c>
      <c r="D987" s="99">
        <v>7175</v>
      </c>
      <c r="E987" s="221" t="s">
        <v>210</v>
      </c>
      <c r="O987" s="160"/>
    </row>
    <row r="988" spans="2:15">
      <c r="B988" s="146">
        <v>41205</v>
      </c>
      <c r="C988" s="221" t="s">
        <v>219</v>
      </c>
      <c r="D988" s="99">
        <v>17007</v>
      </c>
      <c r="E988" s="221" t="s">
        <v>212</v>
      </c>
      <c r="O988" s="160"/>
    </row>
    <row r="989" spans="2:15">
      <c r="B989" s="146">
        <v>41191</v>
      </c>
      <c r="C989" s="221" t="s">
        <v>218</v>
      </c>
      <c r="D989" s="99">
        <v>8427</v>
      </c>
      <c r="E989" s="221" t="s">
        <v>211</v>
      </c>
      <c r="O989" s="160"/>
    </row>
    <row r="990" spans="2:15">
      <c r="B990" s="146">
        <v>41462</v>
      </c>
      <c r="C990" s="221" t="s">
        <v>220</v>
      </c>
      <c r="D990" s="99">
        <v>26924</v>
      </c>
      <c r="E990" s="221" t="s">
        <v>210</v>
      </c>
      <c r="O990" s="160"/>
    </row>
    <row r="991" spans="2:15">
      <c r="B991" s="146">
        <v>41689</v>
      </c>
      <c r="C991" s="221" t="s">
        <v>218</v>
      </c>
      <c r="D991" s="99">
        <v>8087</v>
      </c>
      <c r="E991" s="221" t="s">
        <v>213</v>
      </c>
      <c r="O991" s="160"/>
    </row>
    <row r="992" spans="2:15">
      <c r="B992" s="146">
        <v>41759</v>
      </c>
      <c r="C992" s="221" t="s">
        <v>220</v>
      </c>
      <c r="D992" s="99">
        <v>17371</v>
      </c>
      <c r="E992" s="221" t="s">
        <v>212</v>
      </c>
      <c r="O992" s="160"/>
    </row>
    <row r="993" spans="2:15">
      <c r="B993" s="146">
        <v>41865</v>
      </c>
      <c r="C993" s="221" t="s">
        <v>217</v>
      </c>
      <c r="D993" s="99">
        <v>10400</v>
      </c>
      <c r="E993" s="221" t="s">
        <v>213</v>
      </c>
      <c r="O993" s="160"/>
    </row>
    <row r="994" spans="2:15">
      <c r="B994" s="146">
        <v>41345</v>
      </c>
      <c r="C994" s="221" t="s">
        <v>217</v>
      </c>
      <c r="D994" s="99">
        <v>35897</v>
      </c>
      <c r="E994" s="221" t="s">
        <v>212</v>
      </c>
      <c r="O994" s="160"/>
    </row>
    <row r="995" spans="2:15">
      <c r="B995" s="146">
        <v>41337</v>
      </c>
      <c r="C995" s="221" t="s">
        <v>217</v>
      </c>
      <c r="D995" s="99">
        <v>31309</v>
      </c>
      <c r="E995" s="221" t="s">
        <v>210</v>
      </c>
      <c r="O995" s="160"/>
    </row>
    <row r="996" spans="2:15">
      <c r="B996" s="146">
        <v>41634</v>
      </c>
      <c r="C996" s="221" t="s">
        <v>218</v>
      </c>
      <c r="D996" s="99">
        <v>28597</v>
      </c>
      <c r="E996" s="221" t="s">
        <v>212</v>
      </c>
      <c r="O996" s="160"/>
    </row>
    <row r="997" spans="2:15">
      <c r="B997" s="146">
        <v>41856</v>
      </c>
      <c r="C997" s="221" t="s">
        <v>220</v>
      </c>
      <c r="D997" s="99">
        <v>16238</v>
      </c>
      <c r="E997" s="221" t="s">
        <v>212</v>
      </c>
      <c r="O997" s="160"/>
    </row>
    <row r="998" spans="2:15">
      <c r="B998" s="146">
        <v>41742</v>
      </c>
      <c r="C998" s="221" t="s">
        <v>219</v>
      </c>
      <c r="D998" s="99">
        <v>19150</v>
      </c>
      <c r="E998" s="221" t="s">
        <v>213</v>
      </c>
      <c r="O998" s="160"/>
    </row>
    <row r="999" spans="2:15">
      <c r="B999" s="146">
        <v>41894</v>
      </c>
      <c r="C999" s="221" t="s">
        <v>219</v>
      </c>
      <c r="D999" s="99">
        <v>22347</v>
      </c>
      <c r="E999" s="221" t="s">
        <v>211</v>
      </c>
      <c r="O999" s="160"/>
    </row>
    <row r="1000" spans="2:15">
      <c r="B1000" s="146">
        <v>41213</v>
      </c>
      <c r="C1000" s="221" t="s">
        <v>219</v>
      </c>
      <c r="D1000" s="99">
        <v>35519</v>
      </c>
      <c r="E1000" s="221" t="s">
        <v>212</v>
      </c>
      <c r="O1000" s="160"/>
    </row>
    <row r="1001" spans="2:15">
      <c r="B1001" s="146">
        <v>41381</v>
      </c>
      <c r="C1001" s="221" t="s">
        <v>217</v>
      </c>
      <c r="D1001" s="99">
        <v>18869</v>
      </c>
      <c r="E1001" s="221" t="s">
        <v>212</v>
      </c>
      <c r="O1001" s="160"/>
    </row>
    <row r="1002" spans="2:15">
      <c r="B1002" s="146">
        <v>41916</v>
      </c>
      <c r="C1002" s="221" t="s">
        <v>217</v>
      </c>
      <c r="D1002" s="99">
        <v>39599</v>
      </c>
      <c r="E1002" s="221" t="s">
        <v>213</v>
      </c>
      <c r="O1002" s="160"/>
    </row>
    <row r="1003" spans="2:15">
      <c r="B1003" s="146">
        <v>41557</v>
      </c>
      <c r="C1003" s="221" t="s">
        <v>219</v>
      </c>
      <c r="D1003" s="99">
        <v>7606</v>
      </c>
      <c r="E1003" s="221" t="s">
        <v>210</v>
      </c>
      <c r="O1003" s="160"/>
    </row>
    <row r="1004" spans="2:15">
      <c r="B1004" s="146">
        <v>41433</v>
      </c>
      <c r="C1004" s="221" t="s">
        <v>219</v>
      </c>
      <c r="D1004" s="99">
        <v>5309</v>
      </c>
      <c r="E1004" s="221" t="s">
        <v>212</v>
      </c>
      <c r="O1004" s="160"/>
    </row>
    <row r="1005" spans="2:15">
      <c r="B1005" s="146">
        <v>41818</v>
      </c>
      <c r="C1005" s="221" t="s">
        <v>218</v>
      </c>
      <c r="D1005" s="99">
        <v>35447</v>
      </c>
      <c r="E1005" s="221" t="s">
        <v>213</v>
      </c>
      <c r="O1005" s="160"/>
    </row>
    <row r="1006" spans="2:15">
      <c r="B1006" s="146">
        <v>41724</v>
      </c>
      <c r="C1006" s="221" t="s">
        <v>220</v>
      </c>
      <c r="D1006" s="99">
        <v>13941</v>
      </c>
      <c r="E1006" s="221" t="s">
        <v>210</v>
      </c>
      <c r="O1006" s="160"/>
    </row>
    <row r="1007" spans="2:15">
      <c r="B1007" s="146">
        <v>41283</v>
      </c>
      <c r="C1007" s="221" t="s">
        <v>217</v>
      </c>
      <c r="D1007" s="99">
        <v>24147</v>
      </c>
      <c r="E1007" s="221" t="s">
        <v>210</v>
      </c>
      <c r="O1007" s="160"/>
    </row>
    <row r="1008" spans="2:15">
      <c r="B1008" s="146">
        <v>41633</v>
      </c>
      <c r="C1008" s="221" t="s">
        <v>217</v>
      </c>
      <c r="D1008" s="99">
        <v>9928</v>
      </c>
      <c r="E1008" s="221" t="s">
        <v>211</v>
      </c>
      <c r="O1008" s="160"/>
    </row>
    <row r="1009" spans="2:15">
      <c r="B1009" s="146">
        <v>41462</v>
      </c>
      <c r="C1009" s="221" t="s">
        <v>219</v>
      </c>
      <c r="D1009" s="99">
        <v>39946</v>
      </c>
      <c r="E1009" s="221" t="s">
        <v>212</v>
      </c>
      <c r="O1009" s="160"/>
    </row>
    <row r="1010" spans="2:15">
      <c r="B1010" s="146">
        <v>41212</v>
      </c>
      <c r="C1010" s="221" t="s">
        <v>217</v>
      </c>
      <c r="D1010" s="99">
        <v>26628</v>
      </c>
      <c r="E1010" s="221" t="s">
        <v>210</v>
      </c>
      <c r="O1010" s="160"/>
    </row>
    <row r="1011" spans="2:15">
      <c r="B1011" s="146">
        <v>41536</v>
      </c>
      <c r="C1011" s="221" t="s">
        <v>218</v>
      </c>
      <c r="D1011" s="99">
        <v>26544</v>
      </c>
      <c r="E1011" s="221" t="s">
        <v>213</v>
      </c>
      <c r="O1011" s="160"/>
    </row>
    <row r="1012" spans="2:15">
      <c r="B1012" s="146">
        <v>41759</v>
      </c>
      <c r="C1012" s="221" t="s">
        <v>220</v>
      </c>
      <c r="D1012" s="99">
        <v>7172</v>
      </c>
      <c r="E1012" s="221" t="s">
        <v>210</v>
      </c>
      <c r="O1012" s="160"/>
    </row>
    <row r="1013" spans="2:15">
      <c r="B1013" s="146">
        <v>41440</v>
      </c>
      <c r="C1013" s="221" t="s">
        <v>217</v>
      </c>
      <c r="D1013" s="99">
        <v>21088</v>
      </c>
      <c r="E1013" s="221" t="s">
        <v>213</v>
      </c>
      <c r="O1013" s="160"/>
    </row>
    <row r="1014" spans="2:15">
      <c r="B1014" s="146">
        <v>41962</v>
      </c>
      <c r="C1014" s="221" t="s">
        <v>219</v>
      </c>
      <c r="D1014" s="99">
        <v>23628</v>
      </c>
      <c r="E1014" s="221" t="s">
        <v>211</v>
      </c>
      <c r="O1014" s="160"/>
    </row>
    <row r="1015" spans="2:15">
      <c r="B1015" s="146">
        <v>41799</v>
      </c>
      <c r="C1015" s="221" t="s">
        <v>217</v>
      </c>
      <c r="D1015" s="99">
        <v>8367</v>
      </c>
      <c r="E1015" s="221" t="s">
        <v>211</v>
      </c>
      <c r="O1015" s="160"/>
    </row>
    <row r="1016" spans="2:15">
      <c r="B1016" s="146">
        <v>41728</v>
      </c>
      <c r="C1016" s="221" t="s">
        <v>220</v>
      </c>
      <c r="D1016" s="99">
        <v>38654</v>
      </c>
      <c r="E1016" s="221" t="s">
        <v>212</v>
      </c>
      <c r="O1016" s="160"/>
    </row>
    <row r="1017" spans="2:15">
      <c r="B1017" s="146">
        <v>41969</v>
      </c>
      <c r="C1017" s="221" t="s">
        <v>217</v>
      </c>
      <c r="D1017" s="99">
        <v>20363</v>
      </c>
      <c r="E1017" s="221" t="s">
        <v>211</v>
      </c>
      <c r="O1017" s="160"/>
    </row>
    <row r="1018" spans="2:15">
      <c r="B1018" s="146">
        <v>41836</v>
      </c>
      <c r="C1018" s="221" t="s">
        <v>218</v>
      </c>
      <c r="D1018" s="99">
        <v>24415</v>
      </c>
      <c r="E1018" s="221" t="s">
        <v>210</v>
      </c>
      <c r="O1018" s="160"/>
    </row>
    <row r="1019" spans="2:15">
      <c r="B1019" s="146">
        <v>41703</v>
      </c>
      <c r="C1019" s="221" t="s">
        <v>220</v>
      </c>
      <c r="D1019" s="99">
        <v>5706</v>
      </c>
      <c r="E1019" s="221" t="s">
        <v>212</v>
      </c>
      <c r="O1019" s="160"/>
    </row>
    <row r="1020" spans="2:15">
      <c r="B1020" s="146">
        <v>41266</v>
      </c>
      <c r="C1020" s="221" t="s">
        <v>218</v>
      </c>
      <c r="D1020" s="99">
        <v>11462</v>
      </c>
      <c r="E1020" s="221" t="s">
        <v>211</v>
      </c>
      <c r="O1020" s="160"/>
    </row>
    <row r="1021" spans="2:15">
      <c r="B1021" s="146">
        <v>41560</v>
      </c>
      <c r="C1021" s="221" t="s">
        <v>219</v>
      </c>
      <c r="D1021" s="99">
        <v>16162</v>
      </c>
      <c r="E1021" s="221" t="s">
        <v>210</v>
      </c>
      <c r="O1021" s="160"/>
    </row>
    <row r="1022" spans="2:15">
      <c r="B1022" s="146">
        <v>41921</v>
      </c>
      <c r="C1022" s="221" t="s">
        <v>217</v>
      </c>
      <c r="D1022" s="99">
        <v>11429</v>
      </c>
      <c r="E1022" s="221" t="s">
        <v>213</v>
      </c>
      <c r="O1022" s="160"/>
    </row>
    <row r="1023" spans="2:15">
      <c r="B1023" s="146">
        <v>41659</v>
      </c>
      <c r="C1023" s="221" t="s">
        <v>220</v>
      </c>
      <c r="D1023" s="99">
        <v>29391</v>
      </c>
      <c r="E1023" s="221" t="s">
        <v>210</v>
      </c>
      <c r="O1023" s="160"/>
    </row>
    <row r="1024" spans="2:15">
      <c r="B1024" s="146">
        <v>41189</v>
      </c>
      <c r="C1024" s="221" t="s">
        <v>219</v>
      </c>
      <c r="D1024" s="99">
        <v>11307</v>
      </c>
      <c r="E1024" s="221" t="s">
        <v>212</v>
      </c>
      <c r="O1024" s="160"/>
    </row>
    <row r="1025" spans="2:15">
      <c r="B1025" s="146">
        <v>41807</v>
      </c>
      <c r="C1025" s="221" t="s">
        <v>219</v>
      </c>
      <c r="D1025" s="99">
        <v>32396</v>
      </c>
      <c r="E1025" s="221" t="s">
        <v>211</v>
      </c>
      <c r="O1025" s="160"/>
    </row>
    <row r="1026" spans="2:15">
      <c r="B1026" s="146">
        <v>41330</v>
      </c>
      <c r="C1026" s="221" t="s">
        <v>219</v>
      </c>
      <c r="D1026" s="99">
        <v>31099</v>
      </c>
      <c r="E1026" s="221" t="s">
        <v>210</v>
      </c>
      <c r="O1026" s="160"/>
    </row>
    <row r="1027" spans="2:15">
      <c r="B1027" s="146">
        <v>41756</v>
      </c>
      <c r="C1027" s="221" t="s">
        <v>218</v>
      </c>
      <c r="D1027" s="99">
        <v>12839</v>
      </c>
      <c r="E1027" s="221" t="s">
        <v>211</v>
      </c>
      <c r="O1027" s="160"/>
    </row>
    <row r="1028" spans="2:15">
      <c r="B1028" s="146">
        <v>41586</v>
      </c>
      <c r="C1028" s="221" t="s">
        <v>217</v>
      </c>
      <c r="D1028" s="99">
        <v>35235</v>
      </c>
      <c r="E1028" s="221" t="s">
        <v>211</v>
      </c>
      <c r="O1028" s="160"/>
    </row>
    <row r="1029" spans="2:15">
      <c r="B1029" s="146">
        <v>41716</v>
      </c>
      <c r="C1029" s="221" t="s">
        <v>218</v>
      </c>
      <c r="D1029" s="99">
        <v>37444</v>
      </c>
      <c r="E1029" s="221" t="s">
        <v>210</v>
      </c>
      <c r="O1029" s="160"/>
    </row>
    <row r="1030" spans="2:15">
      <c r="B1030" s="146">
        <v>41245</v>
      </c>
      <c r="C1030" s="221" t="s">
        <v>218</v>
      </c>
      <c r="D1030" s="99">
        <v>39468</v>
      </c>
      <c r="E1030" s="221" t="s">
        <v>211</v>
      </c>
      <c r="O1030" s="160"/>
    </row>
    <row r="1031" spans="2:15">
      <c r="B1031" s="146">
        <v>41648</v>
      </c>
      <c r="C1031" s="221" t="s">
        <v>219</v>
      </c>
      <c r="D1031" s="99">
        <v>23543</v>
      </c>
      <c r="E1031" s="221" t="s">
        <v>210</v>
      </c>
      <c r="O1031" s="160"/>
    </row>
    <row r="1032" spans="2:15">
      <c r="B1032" s="146">
        <v>41282</v>
      </c>
      <c r="C1032" s="221" t="s">
        <v>219</v>
      </c>
      <c r="D1032" s="99">
        <v>15571</v>
      </c>
      <c r="E1032" s="221" t="s">
        <v>211</v>
      </c>
      <c r="O1032" s="160"/>
    </row>
    <row r="1033" spans="2:15">
      <c r="B1033" s="146">
        <v>41637</v>
      </c>
      <c r="C1033" s="221" t="s">
        <v>220</v>
      </c>
      <c r="D1033" s="99">
        <v>11968</v>
      </c>
      <c r="E1033" s="221" t="s">
        <v>212</v>
      </c>
      <c r="O1033" s="160"/>
    </row>
    <row r="1034" spans="2:15">
      <c r="B1034" s="146">
        <v>41480</v>
      </c>
      <c r="C1034" s="221" t="s">
        <v>218</v>
      </c>
      <c r="D1034" s="99">
        <v>7693</v>
      </c>
      <c r="E1034" s="221" t="s">
        <v>213</v>
      </c>
      <c r="O1034" s="160"/>
    </row>
    <row r="1035" spans="2:15">
      <c r="B1035" s="146">
        <v>41356</v>
      </c>
      <c r="C1035" s="221" t="s">
        <v>218</v>
      </c>
      <c r="D1035" s="99">
        <v>10009</v>
      </c>
      <c r="E1035" s="221" t="s">
        <v>211</v>
      </c>
      <c r="O1035" s="160"/>
    </row>
    <row r="1036" spans="2:15">
      <c r="B1036" s="146">
        <v>41210</v>
      </c>
      <c r="C1036" s="221" t="s">
        <v>217</v>
      </c>
      <c r="D1036" s="99">
        <v>17332</v>
      </c>
      <c r="E1036" s="221" t="s">
        <v>213</v>
      </c>
      <c r="O1036" s="160"/>
    </row>
    <row r="1037" spans="2:15">
      <c r="B1037" s="146">
        <v>41162</v>
      </c>
      <c r="C1037" s="221" t="s">
        <v>217</v>
      </c>
      <c r="D1037" s="99">
        <v>20518</v>
      </c>
      <c r="E1037" s="221" t="s">
        <v>212</v>
      </c>
      <c r="O1037" s="160"/>
    </row>
    <row r="1038" spans="2:15">
      <c r="B1038" s="146">
        <v>41392</v>
      </c>
      <c r="C1038" s="221" t="s">
        <v>218</v>
      </c>
      <c r="D1038" s="99">
        <v>9291</v>
      </c>
      <c r="E1038" s="221" t="s">
        <v>210</v>
      </c>
      <c r="O1038" s="160"/>
    </row>
    <row r="1039" spans="2:15">
      <c r="B1039" s="146">
        <v>41707</v>
      </c>
      <c r="C1039" s="221" t="s">
        <v>219</v>
      </c>
      <c r="D1039" s="99">
        <v>14227</v>
      </c>
      <c r="E1039" s="221" t="s">
        <v>213</v>
      </c>
      <c r="O1039" s="160"/>
    </row>
    <row r="1040" spans="2:15">
      <c r="B1040" s="146">
        <v>41964</v>
      </c>
      <c r="C1040" s="221" t="s">
        <v>220</v>
      </c>
      <c r="D1040" s="99">
        <v>23332</v>
      </c>
      <c r="E1040" s="221" t="s">
        <v>212</v>
      </c>
      <c r="O1040" s="160"/>
    </row>
    <row r="1041" spans="2:15">
      <c r="B1041" s="146">
        <v>41849</v>
      </c>
      <c r="C1041" s="221" t="s">
        <v>219</v>
      </c>
      <c r="D1041" s="99">
        <v>32140</v>
      </c>
      <c r="E1041" s="221" t="s">
        <v>212</v>
      </c>
      <c r="O1041" s="160"/>
    </row>
    <row r="1042" spans="2:15">
      <c r="B1042" s="146">
        <v>41658</v>
      </c>
      <c r="C1042" s="221" t="s">
        <v>219</v>
      </c>
      <c r="D1042" s="99">
        <v>17581</v>
      </c>
      <c r="E1042" s="221" t="s">
        <v>213</v>
      </c>
      <c r="O1042" s="160"/>
    </row>
    <row r="1043" spans="2:15">
      <c r="B1043" s="146">
        <v>41270</v>
      </c>
      <c r="C1043" s="221" t="s">
        <v>218</v>
      </c>
      <c r="D1043" s="99">
        <v>12255</v>
      </c>
      <c r="E1043" s="221" t="s">
        <v>210</v>
      </c>
      <c r="O1043" s="160"/>
    </row>
    <row r="1044" spans="2:15">
      <c r="B1044" s="146">
        <v>41443</v>
      </c>
      <c r="C1044" s="221" t="s">
        <v>220</v>
      </c>
      <c r="D1044" s="99">
        <v>38383</v>
      </c>
      <c r="E1044" s="221" t="s">
        <v>212</v>
      </c>
      <c r="O1044" s="160"/>
    </row>
    <row r="1045" spans="2:15">
      <c r="B1045" s="146">
        <v>41355</v>
      </c>
      <c r="C1045" s="221" t="s">
        <v>220</v>
      </c>
      <c r="D1045" s="99">
        <v>34504</v>
      </c>
      <c r="E1045" s="221" t="s">
        <v>212</v>
      </c>
      <c r="O1045" s="160"/>
    </row>
    <row r="1046" spans="2:15">
      <c r="B1046" s="146">
        <v>41427</v>
      </c>
      <c r="C1046" s="221" t="s">
        <v>220</v>
      </c>
      <c r="D1046" s="99">
        <v>25818</v>
      </c>
      <c r="E1046" s="221" t="s">
        <v>211</v>
      </c>
      <c r="O1046" s="160"/>
    </row>
    <row r="1047" spans="2:15">
      <c r="B1047" s="146">
        <v>41542</v>
      </c>
      <c r="C1047" s="221" t="s">
        <v>217</v>
      </c>
      <c r="D1047" s="99">
        <v>25497</v>
      </c>
      <c r="E1047" s="221" t="s">
        <v>211</v>
      </c>
      <c r="O1047" s="160"/>
    </row>
    <row r="1048" spans="2:15">
      <c r="B1048" s="146">
        <v>41676</v>
      </c>
      <c r="C1048" s="221" t="s">
        <v>220</v>
      </c>
      <c r="D1048" s="99">
        <v>6101</v>
      </c>
      <c r="E1048" s="221" t="s">
        <v>210</v>
      </c>
      <c r="O1048" s="160"/>
    </row>
    <row r="1049" spans="2:15">
      <c r="B1049" s="146">
        <v>41920</v>
      </c>
      <c r="C1049" s="221" t="s">
        <v>219</v>
      </c>
      <c r="D1049" s="99">
        <v>35235</v>
      </c>
      <c r="E1049" s="221" t="s">
        <v>213</v>
      </c>
      <c r="O1049" s="160"/>
    </row>
    <row r="1050" spans="2:15">
      <c r="B1050" s="146">
        <v>41279</v>
      </c>
      <c r="C1050" s="221" t="s">
        <v>217</v>
      </c>
      <c r="D1050" s="99">
        <v>13459</v>
      </c>
      <c r="E1050" s="221" t="s">
        <v>210</v>
      </c>
      <c r="O1050" s="160"/>
    </row>
    <row r="1051" spans="2:15">
      <c r="B1051" s="146">
        <v>41827</v>
      </c>
      <c r="C1051" s="221" t="s">
        <v>220</v>
      </c>
      <c r="D1051" s="99">
        <v>11561</v>
      </c>
      <c r="E1051" s="221" t="s">
        <v>211</v>
      </c>
      <c r="O1051" s="160"/>
    </row>
    <row r="1052" spans="2:15">
      <c r="B1052" s="146">
        <v>41870</v>
      </c>
      <c r="C1052" s="221" t="s">
        <v>219</v>
      </c>
      <c r="D1052" s="99">
        <v>29190</v>
      </c>
      <c r="E1052" s="221" t="s">
        <v>213</v>
      </c>
      <c r="O1052" s="160"/>
    </row>
    <row r="1053" spans="2:15">
      <c r="B1053" s="146">
        <v>41196</v>
      </c>
      <c r="C1053" s="221" t="s">
        <v>218</v>
      </c>
      <c r="D1053" s="99">
        <v>21768</v>
      </c>
      <c r="E1053" s="221" t="s">
        <v>210</v>
      </c>
      <c r="O1053" s="160"/>
    </row>
    <row r="1054" spans="2:15">
      <c r="B1054" s="146">
        <v>41820</v>
      </c>
      <c r="C1054" s="221" t="s">
        <v>220</v>
      </c>
      <c r="D1054" s="99">
        <v>25488</v>
      </c>
      <c r="E1054" s="221" t="s">
        <v>210</v>
      </c>
      <c r="O1054" s="160"/>
    </row>
    <row r="1055" spans="2:15">
      <c r="B1055" s="146">
        <v>42017</v>
      </c>
      <c r="C1055" s="221" t="s">
        <v>219</v>
      </c>
      <c r="D1055" s="99">
        <v>38348</v>
      </c>
      <c r="E1055" s="221" t="s">
        <v>212</v>
      </c>
      <c r="O1055" s="160"/>
    </row>
    <row r="1056" spans="2:15">
      <c r="B1056" s="146">
        <v>41300</v>
      </c>
      <c r="C1056" s="221" t="s">
        <v>217</v>
      </c>
      <c r="D1056" s="99">
        <v>32124</v>
      </c>
      <c r="E1056" s="221" t="s">
        <v>211</v>
      </c>
      <c r="O1056" s="160"/>
    </row>
    <row r="1057" spans="2:15">
      <c r="B1057" s="146">
        <v>41291</v>
      </c>
      <c r="C1057" s="221" t="s">
        <v>217</v>
      </c>
      <c r="D1057" s="99">
        <v>31990</v>
      </c>
      <c r="E1057" s="221" t="s">
        <v>212</v>
      </c>
      <c r="O1057" s="160"/>
    </row>
    <row r="1058" spans="2:15">
      <c r="B1058" s="146">
        <v>41989</v>
      </c>
      <c r="C1058" s="221" t="s">
        <v>220</v>
      </c>
      <c r="D1058" s="99">
        <v>26683</v>
      </c>
      <c r="E1058" s="221" t="s">
        <v>211</v>
      </c>
      <c r="O1058" s="160"/>
    </row>
    <row r="1059" spans="2:15">
      <c r="B1059" s="146">
        <v>41763</v>
      </c>
      <c r="C1059" s="221" t="s">
        <v>218</v>
      </c>
      <c r="D1059" s="99">
        <v>6227</v>
      </c>
      <c r="E1059" s="221" t="s">
        <v>210</v>
      </c>
      <c r="O1059" s="160"/>
    </row>
    <row r="1060" spans="2:15">
      <c r="B1060" s="146">
        <v>41425</v>
      </c>
      <c r="C1060" s="221" t="s">
        <v>217</v>
      </c>
      <c r="D1060" s="99">
        <v>17411</v>
      </c>
      <c r="E1060" s="221" t="s">
        <v>212</v>
      </c>
      <c r="O1060" s="160"/>
    </row>
    <row r="1061" spans="2:15">
      <c r="B1061" s="146">
        <v>41928</v>
      </c>
      <c r="C1061" s="221" t="s">
        <v>217</v>
      </c>
      <c r="D1061" s="99">
        <v>20411</v>
      </c>
      <c r="E1061" s="221" t="s">
        <v>212</v>
      </c>
      <c r="O1061" s="160"/>
    </row>
    <row r="1062" spans="2:15">
      <c r="B1062" s="146">
        <v>41886</v>
      </c>
      <c r="C1062" s="221" t="s">
        <v>220</v>
      </c>
      <c r="D1062" s="99">
        <v>26114</v>
      </c>
      <c r="E1062" s="221" t="s">
        <v>210</v>
      </c>
      <c r="O1062" s="160"/>
    </row>
    <row r="1063" spans="2:15">
      <c r="B1063" s="146">
        <v>41736</v>
      </c>
      <c r="C1063" s="221" t="s">
        <v>217</v>
      </c>
      <c r="D1063" s="99">
        <v>38791</v>
      </c>
      <c r="E1063" s="221" t="s">
        <v>213</v>
      </c>
      <c r="O1063" s="160"/>
    </row>
    <row r="1064" spans="2:15">
      <c r="B1064" s="146">
        <v>41503</v>
      </c>
      <c r="C1064" s="221" t="s">
        <v>218</v>
      </c>
      <c r="D1064" s="99">
        <v>28300</v>
      </c>
      <c r="E1064" s="221" t="s">
        <v>210</v>
      </c>
      <c r="O1064" s="160"/>
    </row>
    <row r="1065" spans="2:15">
      <c r="B1065" s="146">
        <v>41765</v>
      </c>
      <c r="C1065" s="221" t="s">
        <v>219</v>
      </c>
      <c r="D1065" s="99">
        <v>21800</v>
      </c>
      <c r="E1065" s="221" t="s">
        <v>210</v>
      </c>
      <c r="O1065" s="160"/>
    </row>
    <row r="1066" spans="2:15">
      <c r="B1066" s="146">
        <v>41564</v>
      </c>
      <c r="C1066" s="221" t="s">
        <v>217</v>
      </c>
      <c r="D1066" s="99">
        <v>34714</v>
      </c>
      <c r="E1066" s="221" t="s">
        <v>212</v>
      </c>
      <c r="O1066" s="160"/>
    </row>
    <row r="1067" spans="2:15">
      <c r="B1067" s="146">
        <v>41900</v>
      </c>
      <c r="C1067" s="221" t="s">
        <v>217</v>
      </c>
      <c r="D1067" s="99">
        <v>6371</v>
      </c>
      <c r="E1067" s="221" t="s">
        <v>211</v>
      </c>
      <c r="O1067" s="160"/>
    </row>
    <row r="1068" spans="2:15">
      <c r="B1068" s="146">
        <v>41571</v>
      </c>
      <c r="C1068" s="221" t="s">
        <v>219</v>
      </c>
      <c r="D1068" s="99">
        <v>21972</v>
      </c>
      <c r="E1068" s="221" t="s">
        <v>213</v>
      </c>
      <c r="O1068" s="160"/>
    </row>
    <row r="1069" spans="2:15">
      <c r="B1069" s="146">
        <v>41459</v>
      </c>
      <c r="C1069" s="221" t="s">
        <v>219</v>
      </c>
      <c r="D1069" s="99">
        <v>21925</v>
      </c>
      <c r="E1069" s="221" t="s">
        <v>211</v>
      </c>
      <c r="O1069" s="160"/>
    </row>
    <row r="1070" spans="2:15">
      <c r="B1070" s="146">
        <v>41630</v>
      </c>
      <c r="C1070" s="221" t="s">
        <v>220</v>
      </c>
      <c r="D1070" s="99">
        <v>20479</v>
      </c>
      <c r="E1070" s="221" t="s">
        <v>212</v>
      </c>
      <c r="O1070" s="160"/>
    </row>
    <row r="1071" spans="2:15">
      <c r="B1071" s="146">
        <v>41372</v>
      </c>
      <c r="C1071" s="221" t="s">
        <v>219</v>
      </c>
      <c r="D1071" s="99">
        <v>7735</v>
      </c>
      <c r="E1071" s="221" t="s">
        <v>210</v>
      </c>
      <c r="O1071" s="160"/>
    </row>
    <row r="1072" spans="2:15">
      <c r="B1072" s="146">
        <v>41785</v>
      </c>
      <c r="C1072" s="221" t="s">
        <v>219</v>
      </c>
      <c r="D1072" s="99">
        <v>17914</v>
      </c>
      <c r="E1072" s="221" t="s">
        <v>213</v>
      </c>
      <c r="O1072" s="160"/>
    </row>
    <row r="1073" spans="2:15">
      <c r="B1073" s="146">
        <v>41513</v>
      </c>
      <c r="C1073" s="221" t="s">
        <v>220</v>
      </c>
      <c r="D1073" s="99">
        <v>9795</v>
      </c>
      <c r="E1073" s="221" t="s">
        <v>210</v>
      </c>
      <c r="O1073" s="160"/>
    </row>
    <row r="1074" spans="2:15">
      <c r="B1074" s="146">
        <v>41639</v>
      </c>
      <c r="C1074" s="221" t="s">
        <v>217</v>
      </c>
      <c r="D1074" s="99">
        <v>8616</v>
      </c>
      <c r="E1074" s="221" t="s">
        <v>210</v>
      </c>
      <c r="O1074" s="160"/>
    </row>
    <row r="1075" spans="2:15">
      <c r="B1075" s="146">
        <v>41315</v>
      </c>
      <c r="C1075" s="221" t="s">
        <v>218</v>
      </c>
      <c r="D1075" s="99">
        <v>35154</v>
      </c>
      <c r="E1075" s="221" t="s">
        <v>212</v>
      </c>
      <c r="O1075" s="160"/>
    </row>
    <row r="1076" spans="2:15">
      <c r="B1076" s="146">
        <v>41304</v>
      </c>
      <c r="C1076" s="221" t="s">
        <v>220</v>
      </c>
      <c r="D1076" s="99">
        <v>16299</v>
      </c>
      <c r="E1076" s="221" t="s">
        <v>211</v>
      </c>
      <c r="O1076" s="160"/>
    </row>
    <row r="1077" spans="2:15">
      <c r="B1077" s="146">
        <v>41327</v>
      </c>
      <c r="C1077" s="221" t="s">
        <v>218</v>
      </c>
      <c r="D1077" s="99">
        <v>27451</v>
      </c>
      <c r="E1077" s="221" t="s">
        <v>210</v>
      </c>
      <c r="O1077" s="160"/>
    </row>
    <row r="1078" spans="2:15">
      <c r="B1078" s="146">
        <v>41873</v>
      </c>
      <c r="C1078" s="221" t="s">
        <v>219</v>
      </c>
      <c r="D1078" s="99">
        <v>20132</v>
      </c>
      <c r="E1078" s="221" t="s">
        <v>210</v>
      </c>
      <c r="O1078" s="160"/>
    </row>
    <row r="1079" spans="2:15">
      <c r="B1079" s="146">
        <v>41474</v>
      </c>
      <c r="C1079" s="221" t="s">
        <v>219</v>
      </c>
      <c r="D1079" s="99">
        <v>36386</v>
      </c>
      <c r="E1079" s="221" t="s">
        <v>210</v>
      </c>
      <c r="O1079" s="160"/>
    </row>
    <row r="1080" spans="2:15">
      <c r="B1080" s="146">
        <v>41371</v>
      </c>
      <c r="C1080" s="221" t="s">
        <v>219</v>
      </c>
      <c r="D1080" s="99">
        <v>17996</v>
      </c>
      <c r="E1080" s="221" t="s">
        <v>213</v>
      </c>
      <c r="O1080" s="160"/>
    </row>
    <row r="1081" spans="2:15">
      <c r="B1081" s="146">
        <v>41772</v>
      </c>
      <c r="C1081" s="221" t="s">
        <v>219</v>
      </c>
      <c r="D1081" s="99">
        <v>36539</v>
      </c>
      <c r="E1081" s="221" t="s">
        <v>210</v>
      </c>
      <c r="O1081" s="160"/>
    </row>
    <row r="1082" spans="2:15">
      <c r="B1082" s="146">
        <v>41368</v>
      </c>
      <c r="C1082" s="221" t="s">
        <v>218</v>
      </c>
      <c r="D1082" s="99">
        <v>36703</v>
      </c>
      <c r="E1082" s="221" t="s">
        <v>213</v>
      </c>
      <c r="O1082" s="160"/>
    </row>
    <row r="1083" spans="2:15">
      <c r="B1083" s="146">
        <v>41570</v>
      </c>
      <c r="C1083" s="221" t="s">
        <v>217</v>
      </c>
      <c r="D1083" s="99">
        <v>25282</v>
      </c>
      <c r="E1083" s="221" t="s">
        <v>210</v>
      </c>
      <c r="O1083" s="160"/>
    </row>
    <row r="1084" spans="2:15">
      <c r="B1084" s="146">
        <v>41988</v>
      </c>
      <c r="C1084" s="221" t="s">
        <v>219</v>
      </c>
      <c r="D1084" s="99">
        <v>12584</v>
      </c>
      <c r="E1084" s="221" t="s">
        <v>213</v>
      </c>
      <c r="O1084" s="160"/>
    </row>
    <row r="1085" spans="2:15">
      <c r="B1085" s="146">
        <v>41805</v>
      </c>
      <c r="C1085" s="221" t="s">
        <v>220</v>
      </c>
      <c r="D1085" s="99">
        <v>9953</v>
      </c>
      <c r="E1085" s="221" t="s">
        <v>212</v>
      </c>
      <c r="O1085" s="160"/>
    </row>
    <row r="1086" spans="2:15">
      <c r="B1086" s="146">
        <v>41979</v>
      </c>
      <c r="C1086" s="221" t="s">
        <v>219</v>
      </c>
      <c r="D1086" s="99">
        <v>28323</v>
      </c>
      <c r="E1086" s="221" t="s">
        <v>213</v>
      </c>
      <c r="O1086" s="160"/>
    </row>
    <row r="1087" spans="2:15">
      <c r="B1087" s="146">
        <v>41643</v>
      </c>
      <c r="C1087" s="221" t="s">
        <v>220</v>
      </c>
      <c r="D1087" s="99">
        <v>35133</v>
      </c>
      <c r="E1087" s="221" t="s">
        <v>212</v>
      </c>
      <c r="O1087" s="160"/>
    </row>
    <row r="1088" spans="2:15">
      <c r="B1088" s="146">
        <v>41535</v>
      </c>
      <c r="C1088" s="221" t="s">
        <v>220</v>
      </c>
      <c r="D1088" s="99">
        <v>39411</v>
      </c>
      <c r="E1088" s="221" t="s">
        <v>210</v>
      </c>
      <c r="O1088" s="160"/>
    </row>
    <row r="1089" spans="2:15">
      <c r="B1089" s="146">
        <v>41602</v>
      </c>
      <c r="C1089" s="221" t="s">
        <v>217</v>
      </c>
      <c r="D1089" s="99">
        <v>30243</v>
      </c>
      <c r="E1089" s="221" t="s">
        <v>211</v>
      </c>
      <c r="O1089" s="160"/>
    </row>
    <row r="1090" spans="2:15">
      <c r="B1090" s="146">
        <v>41261</v>
      </c>
      <c r="C1090" s="221" t="s">
        <v>220</v>
      </c>
      <c r="D1090" s="99">
        <v>5274</v>
      </c>
      <c r="E1090" s="221" t="s">
        <v>211</v>
      </c>
      <c r="O1090" s="160"/>
    </row>
    <row r="1091" spans="2:15">
      <c r="B1091" s="146">
        <v>41629</v>
      </c>
      <c r="C1091" s="221" t="s">
        <v>220</v>
      </c>
      <c r="D1091" s="99">
        <v>27024</v>
      </c>
      <c r="E1091" s="221" t="s">
        <v>210</v>
      </c>
      <c r="O1091" s="160"/>
    </row>
    <row r="1092" spans="2:15">
      <c r="B1092" s="146">
        <v>41247</v>
      </c>
      <c r="C1092" s="221" t="s">
        <v>217</v>
      </c>
      <c r="D1092" s="99">
        <v>10649</v>
      </c>
      <c r="E1092" s="221" t="s">
        <v>210</v>
      </c>
      <c r="O1092" s="160"/>
    </row>
    <row r="1093" spans="2:15">
      <c r="B1093" s="146">
        <v>41305</v>
      </c>
      <c r="C1093" s="221" t="s">
        <v>218</v>
      </c>
      <c r="D1093" s="99">
        <v>15878</v>
      </c>
      <c r="E1093" s="221" t="s">
        <v>213</v>
      </c>
      <c r="O1093" s="160"/>
    </row>
    <row r="1094" spans="2:15">
      <c r="B1094" s="146">
        <v>41125</v>
      </c>
      <c r="C1094" s="221" t="s">
        <v>218</v>
      </c>
      <c r="D1094" s="99">
        <v>38164</v>
      </c>
      <c r="E1094" s="221" t="s">
        <v>212</v>
      </c>
      <c r="O1094" s="160"/>
    </row>
    <row r="1095" spans="2:15">
      <c r="B1095" s="146">
        <v>41483</v>
      </c>
      <c r="C1095" s="221" t="s">
        <v>220</v>
      </c>
      <c r="D1095" s="99">
        <v>6210</v>
      </c>
      <c r="E1095" s="221" t="s">
        <v>212</v>
      </c>
      <c r="O1095" s="160"/>
    </row>
    <row r="1096" spans="2:15">
      <c r="B1096" s="146">
        <v>41648</v>
      </c>
      <c r="C1096" s="221" t="s">
        <v>220</v>
      </c>
      <c r="D1096" s="99">
        <v>15758</v>
      </c>
      <c r="E1096" s="221" t="s">
        <v>211</v>
      </c>
      <c r="O1096" s="160"/>
    </row>
    <row r="1097" spans="2:15">
      <c r="B1097" s="146">
        <v>41834</v>
      </c>
      <c r="C1097" s="221" t="s">
        <v>217</v>
      </c>
      <c r="D1097" s="99">
        <v>36447</v>
      </c>
      <c r="E1097" s="221" t="s">
        <v>210</v>
      </c>
      <c r="O1097" s="160"/>
    </row>
    <row r="1098" spans="2:15">
      <c r="B1098" s="146">
        <v>41549</v>
      </c>
      <c r="C1098" s="221" t="s">
        <v>220</v>
      </c>
      <c r="D1098" s="99">
        <v>32130</v>
      </c>
      <c r="E1098" s="221" t="s">
        <v>213</v>
      </c>
      <c r="O1098" s="160"/>
    </row>
    <row r="1099" spans="2:15">
      <c r="B1099" s="146">
        <v>41443</v>
      </c>
      <c r="C1099" s="221" t="s">
        <v>217</v>
      </c>
      <c r="D1099" s="99">
        <v>8491</v>
      </c>
      <c r="E1099" s="221" t="s">
        <v>210</v>
      </c>
      <c r="O1099" s="160"/>
    </row>
    <row r="1100" spans="2:15">
      <c r="B1100" s="146">
        <v>41998</v>
      </c>
      <c r="C1100" s="221" t="s">
        <v>217</v>
      </c>
      <c r="D1100" s="99">
        <v>15249</v>
      </c>
      <c r="E1100" s="221" t="s">
        <v>213</v>
      </c>
      <c r="O1100" s="160"/>
    </row>
    <row r="1101" spans="2:15">
      <c r="B1101" s="146">
        <v>41360</v>
      </c>
      <c r="C1101" s="221" t="s">
        <v>219</v>
      </c>
      <c r="D1101" s="99">
        <v>14840</v>
      </c>
      <c r="E1101" s="221" t="s">
        <v>210</v>
      </c>
      <c r="O1101" s="160"/>
    </row>
    <row r="1102" spans="2:15">
      <c r="B1102" s="146">
        <v>41341</v>
      </c>
      <c r="C1102" s="221" t="s">
        <v>220</v>
      </c>
      <c r="D1102" s="99">
        <v>11435</v>
      </c>
      <c r="E1102" s="221" t="s">
        <v>213</v>
      </c>
      <c r="O1102" s="160"/>
    </row>
    <row r="1103" spans="2:15">
      <c r="B1103" s="146">
        <v>41423</v>
      </c>
      <c r="C1103" s="221" t="s">
        <v>217</v>
      </c>
      <c r="D1103" s="99">
        <v>24032</v>
      </c>
      <c r="E1103" s="221" t="s">
        <v>213</v>
      </c>
      <c r="O1103" s="160"/>
    </row>
    <row r="1104" spans="2:15">
      <c r="B1104" s="146">
        <v>41462</v>
      </c>
      <c r="C1104" s="221" t="s">
        <v>218</v>
      </c>
      <c r="D1104" s="99">
        <v>10138</v>
      </c>
      <c r="E1104" s="221" t="s">
        <v>212</v>
      </c>
      <c r="O1104" s="160"/>
    </row>
    <row r="1105" spans="2:15">
      <c r="B1105" s="146">
        <v>41993</v>
      </c>
      <c r="C1105" s="221" t="s">
        <v>220</v>
      </c>
      <c r="D1105" s="99">
        <v>35371</v>
      </c>
      <c r="E1105" s="221" t="s">
        <v>213</v>
      </c>
      <c r="O1105" s="160"/>
    </row>
    <row r="1106" spans="2:15">
      <c r="B1106" s="146">
        <v>41615</v>
      </c>
      <c r="C1106" s="221" t="s">
        <v>220</v>
      </c>
      <c r="D1106" s="99">
        <v>20209</v>
      </c>
      <c r="E1106" s="221" t="s">
        <v>211</v>
      </c>
      <c r="O1106" s="160"/>
    </row>
    <row r="1107" spans="2:15">
      <c r="B1107" s="146">
        <v>41350</v>
      </c>
      <c r="C1107" s="221" t="s">
        <v>217</v>
      </c>
      <c r="D1107" s="99">
        <v>11738</v>
      </c>
      <c r="E1107" s="221" t="s">
        <v>211</v>
      </c>
      <c r="O1107" s="160"/>
    </row>
    <row r="1108" spans="2:15">
      <c r="B1108" s="146">
        <v>41541</v>
      </c>
      <c r="C1108" s="221" t="s">
        <v>219</v>
      </c>
      <c r="D1108" s="99">
        <v>29218</v>
      </c>
      <c r="E1108" s="221" t="s">
        <v>211</v>
      </c>
      <c r="O1108" s="160"/>
    </row>
    <row r="1109" spans="2:15">
      <c r="B1109" s="146">
        <v>41299</v>
      </c>
      <c r="C1109" s="221" t="s">
        <v>218</v>
      </c>
      <c r="D1109" s="99">
        <v>37668</v>
      </c>
      <c r="E1109" s="221" t="s">
        <v>210</v>
      </c>
      <c r="O1109" s="160"/>
    </row>
    <row r="1110" spans="2:15">
      <c r="B1110" s="146">
        <v>41768</v>
      </c>
      <c r="C1110" s="221" t="s">
        <v>219</v>
      </c>
      <c r="D1110" s="99">
        <v>28913</v>
      </c>
      <c r="E1110" s="221" t="s">
        <v>211</v>
      </c>
      <c r="O1110" s="160"/>
    </row>
    <row r="1111" spans="2:15">
      <c r="B1111" s="146">
        <v>41568</v>
      </c>
      <c r="C1111" s="221" t="s">
        <v>219</v>
      </c>
      <c r="D1111" s="99">
        <v>11619</v>
      </c>
      <c r="E1111" s="221" t="s">
        <v>210</v>
      </c>
      <c r="O1111" s="160"/>
    </row>
    <row r="1112" spans="2:15">
      <c r="B1112" s="146">
        <v>41608</v>
      </c>
      <c r="C1112" s="221" t="s">
        <v>220</v>
      </c>
      <c r="D1112" s="99">
        <v>22413</v>
      </c>
      <c r="E1112" s="221" t="s">
        <v>212</v>
      </c>
      <c r="O1112" s="160"/>
    </row>
    <row r="1113" spans="2:15">
      <c r="B1113" s="146">
        <v>41970</v>
      </c>
      <c r="C1113" s="221" t="s">
        <v>219</v>
      </c>
      <c r="D1113" s="99">
        <v>11049</v>
      </c>
      <c r="E1113" s="221" t="s">
        <v>212</v>
      </c>
      <c r="O1113" s="160"/>
    </row>
    <row r="1114" spans="2:15">
      <c r="B1114" s="146">
        <v>41992</v>
      </c>
      <c r="C1114" s="221" t="s">
        <v>217</v>
      </c>
      <c r="D1114" s="99">
        <v>12779</v>
      </c>
      <c r="E1114" s="221" t="s">
        <v>211</v>
      </c>
      <c r="O1114" s="160"/>
    </row>
    <row r="1115" spans="2:15">
      <c r="B1115" s="146">
        <v>41891</v>
      </c>
      <c r="C1115" s="221" t="s">
        <v>219</v>
      </c>
      <c r="D1115" s="99">
        <v>9204</v>
      </c>
      <c r="E1115" s="221" t="s">
        <v>212</v>
      </c>
      <c r="O1115" s="160"/>
    </row>
    <row r="1116" spans="2:15">
      <c r="B1116" s="146">
        <v>41637</v>
      </c>
      <c r="C1116" s="221" t="s">
        <v>218</v>
      </c>
      <c r="D1116" s="99">
        <v>33890</v>
      </c>
      <c r="E1116" s="221" t="s">
        <v>212</v>
      </c>
      <c r="O1116" s="160"/>
    </row>
    <row r="1117" spans="2:15">
      <c r="B1117" s="146">
        <v>41645</v>
      </c>
      <c r="C1117" s="221" t="s">
        <v>219</v>
      </c>
      <c r="D1117" s="99">
        <v>16602</v>
      </c>
      <c r="E1117" s="221" t="s">
        <v>211</v>
      </c>
      <c r="O1117" s="160"/>
    </row>
    <row r="1118" spans="2:15">
      <c r="B1118" s="146">
        <v>41885</v>
      </c>
      <c r="C1118" s="221" t="s">
        <v>217</v>
      </c>
      <c r="D1118" s="99">
        <v>10359</v>
      </c>
      <c r="E1118" s="221" t="s">
        <v>213</v>
      </c>
      <c r="O1118" s="160"/>
    </row>
    <row r="1119" spans="2:15">
      <c r="B1119" s="146">
        <v>41631</v>
      </c>
      <c r="C1119" s="221" t="s">
        <v>217</v>
      </c>
      <c r="D1119" s="99">
        <v>30422</v>
      </c>
      <c r="E1119" s="221" t="s">
        <v>210</v>
      </c>
      <c r="O1119" s="160"/>
    </row>
    <row r="1120" spans="2:15">
      <c r="B1120" s="146">
        <v>41168</v>
      </c>
      <c r="C1120" s="221" t="s">
        <v>217</v>
      </c>
      <c r="D1120" s="99">
        <v>36607</v>
      </c>
      <c r="E1120" s="221" t="s">
        <v>210</v>
      </c>
      <c r="O1120" s="160"/>
    </row>
    <row r="1121" spans="2:15">
      <c r="B1121" s="146">
        <v>41431</v>
      </c>
      <c r="C1121" s="221" t="s">
        <v>218</v>
      </c>
      <c r="D1121" s="99">
        <v>8299</v>
      </c>
      <c r="E1121" s="221" t="s">
        <v>210</v>
      </c>
      <c r="O1121" s="160"/>
    </row>
    <row r="1122" spans="2:15">
      <c r="B1122" s="146">
        <v>41945</v>
      </c>
      <c r="C1122" s="221" t="s">
        <v>218</v>
      </c>
      <c r="D1122" s="99">
        <v>5481</v>
      </c>
      <c r="E1122" s="221" t="s">
        <v>211</v>
      </c>
      <c r="O1122" s="160"/>
    </row>
    <row r="1123" spans="2:15">
      <c r="B1123" s="146">
        <v>41713</v>
      </c>
      <c r="C1123" s="221" t="s">
        <v>217</v>
      </c>
      <c r="D1123" s="99">
        <v>30037</v>
      </c>
      <c r="E1123" s="221" t="s">
        <v>212</v>
      </c>
      <c r="O1123" s="160"/>
    </row>
    <row r="1124" spans="2:15">
      <c r="B1124" s="146">
        <v>41338</v>
      </c>
      <c r="C1124" s="221" t="s">
        <v>220</v>
      </c>
      <c r="D1124" s="99">
        <v>16922</v>
      </c>
      <c r="E1124" s="221" t="s">
        <v>212</v>
      </c>
      <c r="O1124" s="160"/>
    </row>
    <row r="1125" spans="2:15">
      <c r="B1125" s="146">
        <v>41423</v>
      </c>
      <c r="C1125" s="221" t="s">
        <v>220</v>
      </c>
      <c r="D1125" s="99">
        <v>28154</v>
      </c>
      <c r="E1125" s="221" t="s">
        <v>210</v>
      </c>
      <c r="O1125" s="160"/>
    </row>
    <row r="1126" spans="2:15">
      <c r="B1126" s="146">
        <v>41432</v>
      </c>
      <c r="C1126" s="221" t="s">
        <v>220</v>
      </c>
      <c r="D1126" s="99">
        <v>36909</v>
      </c>
      <c r="E1126" s="221" t="s">
        <v>211</v>
      </c>
      <c r="O1126" s="160"/>
    </row>
    <row r="1127" spans="2:15">
      <c r="B1127" s="146">
        <v>41721</v>
      </c>
      <c r="C1127" s="221" t="s">
        <v>217</v>
      </c>
      <c r="D1127" s="99">
        <v>25550</v>
      </c>
      <c r="E1127" s="221" t="s">
        <v>210</v>
      </c>
      <c r="O1127" s="160"/>
    </row>
    <row r="1128" spans="2:15">
      <c r="B1128" s="146">
        <v>41998</v>
      </c>
      <c r="C1128" s="221" t="s">
        <v>220</v>
      </c>
      <c r="D1128" s="99">
        <v>22449</v>
      </c>
      <c r="E1128" s="221" t="s">
        <v>213</v>
      </c>
      <c r="O1128" s="160"/>
    </row>
    <row r="1129" spans="2:15">
      <c r="B1129" s="146">
        <v>41774</v>
      </c>
      <c r="C1129" s="221" t="s">
        <v>217</v>
      </c>
      <c r="D1129" s="99">
        <v>19544</v>
      </c>
      <c r="E1129" s="221" t="s">
        <v>212</v>
      </c>
      <c r="O1129" s="160"/>
    </row>
    <row r="1130" spans="2:15">
      <c r="B1130" s="146">
        <v>41960</v>
      </c>
      <c r="C1130" s="221" t="s">
        <v>218</v>
      </c>
      <c r="D1130" s="99">
        <v>18944</v>
      </c>
      <c r="E1130" s="221" t="s">
        <v>213</v>
      </c>
      <c r="O1130" s="160"/>
    </row>
    <row r="1131" spans="2:15">
      <c r="B1131" s="146">
        <v>41960</v>
      </c>
      <c r="C1131" s="221" t="s">
        <v>217</v>
      </c>
      <c r="D1131" s="99">
        <v>14897</v>
      </c>
      <c r="E1131" s="221" t="s">
        <v>211</v>
      </c>
      <c r="O1131" s="160"/>
    </row>
    <row r="1132" spans="2:15">
      <c r="B1132" s="146">
        <v>41583</v>
      </c>
      <c r="C1132" s="221" t="s">
        <v>219</v>
      </c>
      <c r="D1132" s="99">
        <v>24370</v>
      </c>
      <c r="E1132" s="221" t="s">
        <v>212</v>
      </c>
      <c r="O1132" s="160"/>
    </row>
    <row r="1133" spans="2:15">
      <c r="B1133" s="146">
        <v>41588</v>
      </c>
      <c r="C1133" s="221" t="s">
        <v>220</v>
      </c>
      <c r="D1133" s="99">
        <v>5982</v>
      </c>
      <c r="E1133" s="221" t="s">
        <v>210</v>
      </c>
      <c r="O1133" s="160"/>
    </row>
    <row r="1134" spans="2:15">
      <c r="B1134" s="146">
        <v>41686</v>
      </c>
      <c r="C1134" s="221" t="s">
        <v>217</v>
      </c>
      <c r="D1134" s="99">
        <v>31079</v>
      </c>
      <c r="E1134" s="221" t="s">
        <v>210</v>
      </c>
      <c r="O1134" s="160"/>
    </row>
    <row r="1135" spans="2:15">
      <c r="B1135" s="146">
        <v>41354</v>
      </c>
      <c r="C1135" s="221" t="s">
        <v>217</v>
      </c>
      <c r="D1135" s="99">
        <v>17118</v>
      </c>
      <c r="E1135" s="221" t="s">
        <v>212</v>
      </c>
      <c r="O1135" s="160"/>
    </row>
    <row r="1136" spans="2:15">
      <c r="B1136" s="146">
        <v>41825</v>
      </c>
      <c r="C1136" s="221" t="s">
        <v>219</v>
      </c>
      <c r="D1136" s="99">
        <v>27748</v>
      </c>
      <c r="E1136" s="221" t="s">
        <v>212</v>
      </c>
      <c r="O1136" s="160"/>
    </row>
    <row r="1137" spans="2:15">
      <c r="B1137" s="146">
        <v>41641</v>
      </c>
      <c r="C1137" s="221" t="s">
        <v>219</v>
      </c>
      <c r="D1137" s="99">
        <v>30243</v>
      </c>
      <c r="E1137" s="221" t="s">
        <v>211</v>
      </c>
      <c r="O1137" s="160"/>
    </row>
    <row r="1138" spans="2:15">
      <c r="B1138" s="146">
        <v>41378</v>
      </c>
      <c r="C1138" s="221" t="s">
        <v>220</v>
      </c>
      <c r="D1138" s="99">
        <v>17706</v>
      </c>
      <c r="E1138" s="221" t="s">
        <v>210</v>
      </c>
      <c r="O1138" s="160"/>
    </row>
    <row r="1139" spans="2:15">
      <c r="B1139" s="146">
        <v>41953</v>
      </c>
      <c r="C1139" s="221" t="s">
        <v>218</v>
      </c>
      <c r="D1139" s="99">
        <v>11930</v>
      </c>
      <c r="E1139" s="221" t="s">
        <v>210</v>
      </c>
      <c r="O1139" s="160"/>
    </row>
    <row r="1140" spans="2:15">
      <c r="B1140" s="146">
        <v>41375</v>
      </c>
      <c r="C1140" s="221" t="s">
        <v>220</v>
      </c>
      <c r="D1140" s="99">
        <v>18225</v>
      </c>
      <c r="E1140" s="221" t="s">
        <v>210</v>
      </c>
      <c r="O1140" s="160"/>
    </row>
    <row r="1141" spans="2:15">
      <c r="B1141" s="146">
        <v>41648</v>
      </c>
      <c r="C1141" s="221" t="s">
        <v>218</v>
      </c>
      <c r="D1141" s="99">
        <v>31684</v>
      </c>
      <c r="E1141" s="221" t="s">
        <v>210</v>
      </c>
      <c r="O1141" s="160"/>
    </row>
    <row r="1142" spans="2:15">
      <c r="B1142" s="146">
        <v>41127</v>
      </c>
      <c r="C1142" s="221" t="s">
        <v>220</v>
      </c>
      <c r="D1142" s="99">
        <v>39902</v>
      </c>
      <c r="E1142" s="221" t="s">
        <v>213</v>
      </c>
      <c r="O1142" s="160"/>
    </row>
    <row r="1143" spans="2:15">
      <c r="B1143" s="146">
        <v>41716</v>
      </c>
      <c r="C1143" s="221" t="s">
        <v>219</v>
      </c>
      <c r="D1143" s="99">
        <v>35794</v>
      </c>
      <c r="E1143" s="221" t="s">
        <v>211</v>
      </c>
      <c r="O1143" s="160"/>
    </row>
    <row r="1144" spans="2:15">
      <c r="B1144" s="146">
        <v>41570</v>
      </c>
      <c r="C1144" s="221" t="s">
        <v>219</v>
      </c>
      <c r="D1144" s="99">
        <v>18005</v>
      </c>
      <c r="E1144" s="221" t="s">
        <v>211</v>
      </c>
      <c r="O1144" s="160"/>
    </row>
    <row r="1145" spans="2:15">
      <c r="B1145" s="146">
        <v>41676</v>
      </c>
      <c r="C1145" s="221" t="s">
        <v>217</v>
      </c>
      <c r="D1145" s="99">
        <v>31592</v>
      </c>
      <c r="E1145" s="221" t="s">
        <v>212</v>
      </c>
      <c r="O1145" s="160"/>
    </row>
    <row r="1146" spans="2:15">
      <c r="B1146" s="146">
        <v>41337</v>
      </c>
      <c r="C1146" s="221" t="s">
        <v>218</v>
      </c>
      <c r="D1146" s="99">
        <v>11105</v>
      </c>
      <c r="E1146" s="221" t="s">
        <v>210</v>
      </c>
      <c r="O1146" s="160"/>
    </row>
    <row r="1147" spans="2:15">
      <c r="B1147" s="146">
        <v>41402</v>
      </c>
      <c r="C1147" s="221" t="s">
        <v>217</v>
      </c>
      <c r="D1147" s="99">
        <v>7000</v>
      </c>
      <c r="E1147" s="221" t="s">
        <v>210</v>
      </c>
      <c r="O1147" s="160"/>
    </row>
    <row r="1148" spans="2:15">
      <c r="B1148" s="146">
        <v>41855</v>
      </c>
      <c r="C1148" s="221" t="s">
        <v>218</v>
      </c>
      <c r="D1148" s="99">
        <v>11592</v>
      </c>
      <c r="E1148" s="221" t="s">
        <v>213</v>
      </c>
      <c r="O1148" s="160"/>
    </row>
    <row r="1149" spans="2:15">
      <c r="B1149" s="146">
        <v>41686</v>
      </c>
      <c r="C1149" s="221" t="s">
        <v>220</v>
      </c>
      <c r="D1149" s="99">
        <v>14691</v>
      </c>
      <c r="E1149" s="221" t="s">
        <v>211</v>
      </c>
      <c r="O1149" s="160"/>
    </row>
    <row r="1150" spans="2:15">
      <c r="B1150" s="146">
        <v>41896</v>
      </c>
      <c r="C1150" s="221" t="s">
        <v>218</v>
      </c>
      <c r="D1150" s="99">
        <v>13382</v>
      </c>
      <c r="E1150" s="221" t="s">
        <v>210</v>
      </c>
      <c r="O1150" s="160"/>
    </row>
    <row r="1151" spans="2:15">
      <c r="B1151" s="146">
        <v>41492</v>
      </c>
      <c r="C1151" s="221" t="s">
        <v>217</v>
      </c>
      <c r="D1151" s="99">
        <v>10516</v>
      </c>
      <c r="E1151" s="221" t="s">
        <v>213</v>
      </c>
      <c r="O1151" s="160"/>
    </row>
    <row r="1152" spans="2:15">
      <c r="B1152" s="146">
        <v>41129</v>
      </c>
      <c r="C1152" s="221" t="s">
        <v>218</v>
      </c>
      <c r="D1152" s="99">
        <v>10945</v>
      </c>
      <c r="E1152" s="221" t="s">
        <v>212</v>
      </c>
      <c r="O1152" s="160"/>
    </row>
    <row r="1153" spans="2:15">
      <c r="B1153" s="146">
        <v>42003</v>
      </c>
      <c r="C1153" s="221" t="s">
        <v>218</v>
      </c>
      <c r="D1153" s="99">
        <v>26143</v>
      </c>
      <c r="E1153" s="221" t="s">
        <v>212</v>
      </c>
      <c r="O1153" s="160"/>
    </row>
    <row r="1154" spans="2:15">
      <c r="B1154" s="146">
        <v>41514</v>
      </c>
      <c r="C1154" s="221" t="s">
        <v>219</v>
      </c>
      <c r="D1154" s="99">
        <v>20220</v>
      </c>
      <c r="E1154" s="221" t="s">
        <v>212</v>
      </c>
      <c r="O1154" s="160"/>
    </row>
    <row r="1155" spans="2:15">
      <c r="B1155" s="146">
        <v>41555</v>
      </c>
      <c r="C1155" s="221" t="s">
        <v>217</v>
      </c>
      <c r="D1155" s="99">
        <v>9064</v>
      </c>
      <c r="E1155" s="221" t="s">
        <v>212</v>
      </c>
      <c r="O1155" s="160"/>
    </row>
    <row r="1156" spans="2:15">
      <c r="B1156" s="146">
        <v>41343</v>
      </c>
      <c r="C1156" s="221" t="s">
        <v>220</v>
      </c>
      <c r="D1156" s="99">
        <v>25329</v>
      </c>
      <c r="E1156" s="221" t="s">
        <v>210</v>
      </c>
      <c r="O1156" s="160"/>
    </row>
  </sheetData>
  <pageMargins left="0.7" right="0.7" top="0.75" bottom="0.75" header="0.3" footer="0.3"/>
  <pageSetup scale="10" orientation="portrait" r:id="rId1"/>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dimension ref="A1:AA1001"/>
  <sheetViews>
    <sheetView zoomScaleNormal="100" workbookViewId="0"/>
  </sheetViews>
  <sheetFormatPr defaultColWidth="8.77734375" defaultRowHeight="14.4"/>
  <cols>
    <col min="2" max="2" width="71.44140625" customWidth="1"/>
    <col min="4" max="4" width="9.109375" customWidth="1"/>
    <col min="5" max="5" width="14.44140625" customWidth="1"/>
    <col min="6" max="9" width="14.44140625" style="221" customWidth="1"/>
    <col min="10" max="10" width="42.6640625" style="221" bestFit="1" customWidth="1"/>
    <col min="11" max="11" width="1.77734375" style="221" customWidth="1"/>
    <col min="12" max="12" width="14" bestFit="1" customWidth="1"/>
    <col min="13" max="13" width="17.6640625" bestFit="1" customWidth="1"/>
    <col min="14" max="14" width="14.109375" bestFit="1" customWidth="1"/>
    <col min="15" max="15" width="15.44140625" bestFit="1" customWidth="1"/>
    <col min="17" max="17" width="9.109375" style="221"/>
    <col min="20" max="20" width="14.33203125" customWidth="1"/>
    <col min="21" max="21" width="13.77734375" customWidth="1"/>
    <col min="22" max="22" width="14.6640625" customWidth="1"/>
  </cols>
  <sheetData>
    <row r="1" spans="1:27" s="221" customFormat="1"/>
    <row r="2" spans="1:27" s="221" customFormat="1">
      <c r="T2" s="223" t="s">
        <v>712</v>
      </c>
      <c r="U2" s="223" t="s">
        <v>713</v>
      </c>
      <c r="V2" s="223" t="s">
        <v>714</v>
      </c>
    </row>
    <row r="3" spans="1:27">
      <c r="B3" s="223" t="s">
        <v>715</v>
      </c>
      <c r="C3" s="221"/>
      <c r="D3" s="223" t="s">
        <v>694</v>
      </c>
      <c r="E3" s="223" t="s">
        <v>691</v>
      </c>
      <c r="F3" s="223"/>
      <c r="G3" s="223"/>
      <c r="H3" s="223"/>
      <c r="I3" s="223"/>
      <c r="T3" s="283" t="s">
        <v>455</v>
      </c>
      <c r="U3" s="283" t="s">
        <v>455</v>
      </c>
      <c r="V3" s="283" t="s">
        <v>455</v>
      </c>
    </row>
    <row r="4" spans="1:27">
      <c r="B4" s="221" t="s">
        <v>692</v>
      </c>
      <c r="C4" s="221"/>
      <c r="D4" s="283">
        <v>23</v>
      </c>
      <c r="E4" s="283">
        <v>23</v>
      </c>
      <c r="M4" s="278"/>
      <c r="T4" s="283"/>
      <c r="U4" s="283" t="s">
        <v>98</v>
      </c>
      <c r="V4" s="283" t="s">
        <v>98</v>
      </c>
    </row>
    <row r="5" spans="1:27" s="221" customFormat="1">
      <c r="B5" s="221" t="s">
        <v>693</v>
      </c>
      <c r="D5" s="283">
        <v>23</v>
      </c>
      <c r="J5" s="223" t="s">
        <v>685</v>
      </c>
      <c r="K5" s="223"/>
      <c r="L5" s="223" t="s">
        <v>688</v>
      </c>
      <c r="M5" s="278" t="s">
        <v>479</v>
      </c>
      <c r="N5" s="223" t="s">
        <v>480</v>
      </c>
      <c r="O5" s="223" t="s">
        <v>481</v>
      </c>
      <c r="P5" s="223" t="s">
        <v>722</v>
      </c>
      <c r="Q5" s="223" t="s">
        <v>723</v>
      </c>
      <c r="R5" s="223" t="s">
        <v>724</v>
      </c>
      <c r="T5" s="283"/>
      <c r="U5" s="283" t="s">
        <v>99</v>
      </c>
      <c r="V5" s="283" t="s">
        <v>99</v>
      </c>
    </row>
    <row r="6" spans="1:27">
      <c r="B6" s="221" t="s">
        <v>698</v>
      </c>
      <c r="C6" s="221"/>
      <c r="D6" s="283">
        <v>14</v>
      </c>
      <c r="J6" t="s">
        <v>517</v>
      </c>
      <c r="L6" s="279">
        <v>1</v>
      </c>
      <c r="M6" s="221" t="s">
        <v>507</v>
      </c>
      <c r="N6" s="221" t="s">
        <v>98</v>
      </c>
      <c r="O6" s="221" t="s">
        <v>99</v>
      </c>
      <c r="P6">
        <f>MIN(1,COUNTIF(M6:O6,$T$3))</f>
        <v>0</v>
      </c>
      <c r="Q6" s="221">
        <f t="shared" ref="Q6:Q37" si="0">MIN(1,(COUNTIF(M6:O6,$U$3)+COUNTIF(M6:O6,$U$4)+COUNTIF(M6:O6,$U$5)))</f>
        <v>1</v>
      </c>
      <c r="R6">
        <f>SUMPRODUCT(COUNTIF(M6:O6,$V$3:$V$5))</f>
        <v>2</v>
      </c>
    </row>
    <row r="7" spans="1:27">
      <c r="A7" s="221"/>
      <c r="B7" t="s">
        <v>699</v>
      </c>
      <c r="C7" s="221"/>
      <c r="D7" s="280">
        <f>COUNTIF(D4:D6,E4)</f>
        <v>2</v>
      </c>
      <c r="E7" s="221" t="s">
        <v>711</v>
      </c>
      <c r="J7" t="s">
        <v>518</v>
      </c>
      <c r="L7" s="279">
        <f>L6+1</f>
        <v>2</v>
      </c>
      <c r="M7" s="277" t="s">
        <v>443</v>
      </c>
      <c r="N7" s="277" t="s">
        <v>445</v>
      </c>
      <c r="O7" s="221" t="s">
        <v>443</v>
      </c>
      <c r="P7" s="221">
        <f t="shared" ref="P7:P70" si="1">MIN(1,COUNTIF(M7:O7,$T$3))</f>
        <v>0</v>
      </c>
      <c r="Q7" s="221">
        <f t="shared" si="0"/>
        <v>0</v>
      </c>
      <c r="R7" s="221">
        <f t="shared" ref="R7:R70" si="2">SUMPRODUCT(COUNTIF(M7:O7,$V$3:$V$5))</f>
        <v>0</v>
      </c>
      <c r="T7" t="s">
        <v>716</v>
      </c>
      <c r="U7" s="283" t="s">
        <v>717</v>
      </c>
      <c r="AA7" s="281">
        <f>SUM(P6:P101)</f>
        <v>10</v>
      </c>
    </row>
    <row r="8" spans="1:27">
      <c r="A8" s="221"/>
      <c r="B8" s="221" t="s">
        <v>695</v>
      </c>
      <c r="D8" s="281">
        <f>COUNTIF(D4:D6,"&gt;"&amp;E4)</f>
        <v>0</v>
      </c>
      <c r="J8" t="s">
        <v>519</v>
      </c>
      <c r="L8" s="279">
        <f t="shared" ref="L8:L71" si="3">L7+1</f>
        <v>3</v>
      </c>
      <c r="M8" s="277" t="s">
        <v>444</v>
      </c>
      <c r="N8" s="277" t="s">
        <v>457</v>
      </c>
      <c r="O8" s="221" t="s">
        <v>453</v>
      </c>
      <c r="P8" s="221">
        <f t="shared" si="1"/>
        <v>0</v>
      </c>
      <c r="Q8" s="221">
        <f t="shared" si="0"/>
        <v>0</v>
      </c>
      <c r="R8" s="221">
        <f t="shared" si="2"/>
        <v>0</v>
      </c>
      <c r="T8" s="221" t="s">
        <v>718</v>
      </c>
      <c r="U8" s="283" t="s">
        <v>516</v>
      </c>
      <c r="AA8" s="280">
        <f>SUM(Q6:Q101)</f>
        <v>15</v>
      </c>
    </row>
    <row r="9" spans="1:27">
      <c r="A9" s="221"/>
      <c r="B9" s="221" t="s">
        <v>696</v>
      </c>
      <c r="D9" s="280">
        <f>COUNTIF(D4:D6,"&lt;"&amp;E4)</f>
        <v>1</v>
      </c>
      <c r="J9" t="s">
        <v>520</v>
      </c>
      <c r="L9" s="279">
        <f t="shared" si="3"/>
        <v>4</v>
      </c>
      <c r="M9" s="277" t="s">
        <v>445</v>
      </c>
      <c r="N9" s="277" t="s">
        <v>445</v>
      </c>
      <c r="O9" s="221" t="s">
        <v>452</v>
      </c>
      <c r="P9" s="221">
        <f t="shared" si="1"/>
        <v>0</v>
      </c>
      <c r="Q9" s="221">
        <f t="shared" si="0"/>
        <v>0</v>
      </c>
      <c r="R9" s="221">
        <f t="shared" si="2"/>
        <v>0</v>
      </c>
      <c r="T9" s="221" t="s">
        <v>719</v>
      </c>
      <c r="U9" s="283" t="s">
        <v>720</v>
      </c>
      <c r="AA9" s="282">
        <f>SUM(R6:R101)</f>
        <v>18</v>
      </c>
    </row>
    <row r="10" spans="1:27">
      <c r="A10" s="221"/>
      <c r="B10" s="221" t="s">
        <v>697</v>
      </c>
      <c r="D10" s="282">
        <f>COUNTIF(D4:D6,"&lt;="&amp;E4)</f>
        <v>3</v>
      </c>
      <c r="J10" t="s">
        <v>521</v>
      </c>
      <c r="L10" s="279">
        <f t="shared" si="3"/>
        <v>5</v>
      </c>
      <c r="M10" s="277" t="s">
        <v>446</v>
      </c>
      <c r="N10" s="277" t="s">
        <v>455</v>
      </c>
      <c r="O10" s="221" t="s">
        <v>448</v>
      </c>
      <c r="P10" s="221">
        <f t="shared" si="1"/>
        <v>1</v>
      </c>
      <c r="Q10" s="221">
        <f t="shared" si="0"/>
        <v>1</v>
      </c>
      <c r="R10" s="221">
        <f t="shared" si="2"/>
        <v>1</v>
      </c>
    </row>
    <row r="11" spans="1:27">
      <c r="A11" s="221"/>
      <c r="B11" t="s">
        <v>710</v>
      </c>
      <c r="J11" t="s">
        <v>502</v>
      </c>
      <c r="L11" s="279">
        <f t="shared" si="3"/>
        <v>6</v>
      </c>
      <c r="M11" s="277" t="s">
        <v>455</v>
      </c>
      <c r="N11" s="277" t="s">
        <v>443</v>
      </c>
      <c r="O11" s="221" t="s">
        <v>489</v>
      </c>
      <c r="P11" s="221">
        <f t="shared" si="1"/>
        <v>1</v>
      </c>
      <c r="Q11" s="221">
        <f t="shared" si="0"/>
        <v>1</v>
      </c>
      <c r="R11" s="221">
        <f t="shared" si="2"/>
        <v>1</v>
      </c>
      <c r="T11" s="37" t="s">
        <v>721</v>
      </c>
      <c r="AA11" s="221"/>
    </row>
    <row r="12" spans="1:27">
      <c r="A12" s="221"/>
      <c r="B12" s="221"/>
      <c r="C12" s="221"/>
      <c r="J12" s="221" t="s">
        <v>490</v>
      </c>
      <c r="L12" s="279">
        <f t="shared" si="3"/>
        <v>7</v>
      </c>
      <c r="M12" s="277" t="s">
        <v>448</v>
      </c>
      <c r="N12" s="277" t="s">
        <v>483</v>
      </c>
      <c r="O12" s="221" t="s">
        <v>476</v>
      </c>
      <c r="P12" s="221">
        <f t="shared" si="1"/>
        <v>0</v>
      </c>
      <c r="Q12" s="221">
        <f t="shared" si="0"/>
        <v>0</v>
      </c>
      <c r="R12" s="221">
        <f t="shared" si="2"/>
        <v>0</v>
      </c>
      <c r="T12" t="s">
        <v>686</v>
      </c>
      <c r="AA12" s="280">
        <f>COUNTIF(J6:J246,"*united*")</f>
        <v>3</v>
      </c>
    </row>
    <row r="13" spans="1:27">
      <c r="A13" s="221"/>
      <c r="B13" t="s">
        <v>700</v>
      </c>
      <c r="D13" s="223" t="s">
        <v>694</v>
      </c>
      <c r="E13" s="223" t="s">
        <v>701</v>
      </c>
      <c r="F13" s="223"/>
      <c r="G13" s="223"/>
      <c r="H13" s="223"/>
      <c r="I13" s="223"/>
      <c r="J13" t="s">
        <v>522</v>
      </c>
      <c r="L13" s="279">
        <f t="shared" si="3"/>
        <v>8</v>
      </c>
      <c r="M13" s="277" t="s">
        <v>450</v>
      </c>
      <c r="N13" s="277" t="s">
        <v>484</v>
      </c>
      <c r="O13" s="221" t="s">
        <v>448</v>
      </c>
      <c r="P13" s="221">
        <f t="shared" si="1"/>
        <v>0</v>
      </c>
      <c r="Q13" s="221">
        <f t="shared" si="0"/>
        <v>0</v>
      </c>
      <c r="R13" s="221">
        <f t="shared" si="2"/>
        <v>0</v>
      </c>
      <c r="T13" s="221" t="s">
        <v>687</v>
      </c>
      <c r="AA13" s="282">
        <f>COUNTIF(J7:J247,"A*")</f>
        <v>11</v>
      </c>
    </row>
    <row r="14" spans="1:27">
      <c r="A14" s="221"/>
      <c r="B14" t="s">
        <v>702</v>
      </c>
      <c r="D14" s="283">
        <v>23</v>
      </c>
      <c r="E14" s="283">
        <v>2</v>
      </c>
      <c r="J14" t="s">
        <v>523</v>
      </c>
      <c r="L14" s="279">
        <f t="shared" si="3"/>
        <v>9</v>
      </c>
      <c r="M14" s="277" t="s">
        <v>455</v>
      </c>
      <c r="N14" s="277" t="s">
        <v>443</v>
      </c>
      <c r="O14" s="221" t="s">
        <v>515</v>
      </c>
      <c r="P14" s="221">
        <f t="shared" si="1"/>
        <v>1</v>
      </c>
      <c r="Q14" s="221">
        <f t="shared" si="0"/>
        <v>1</v>
      </c>
      <c r="R14" s="221">
        <f t="shared" si="2"/>
        <v>1</v>
      </c>
    </row>
    <row r="15" spans="1:27">
      <c r="A15" s="221"/>
      <c r="B15" t="s">
        <v>703</v>
      </c>
      <c r="D15" s="283">
        <v>12</v>
      </c>
      <c r="E15" s="283">
        <v>7</v>
      </c>
      <c r="J15" t="s">
        <v>471</v>
      </c>
      <c r="L15" s="279">
        <f t="shared" si="3"/>
        <v>10</v>
      </c>
      <c r="M15" s="277" t="s">
        <v>452</v>
      </c>
      <c r="N15" s="277" t="s">
        <v>455</v>
      </c>
      <c r="O15" s="221" t="s">
        <v>453</v>
      </c>
      <c r="P15" s="221">
        <f t="shared" si="1"/>
        <v>1</v>
      </c>
      <c r="Q15" s="221">
        <f t="shared" si="0"/>
        <v>1</v>
      </c>
      <c r="R15" s="221">
        <f t="shared" si="2"/>
        <v>1</v>
      </c>
    </row>
    <row r="16" spans="1:27">
      <c r="B16" s="221"/>
      <c r="D16" s="283">
        <v>14</v>
      </c>
      <c r="E16" s="283">
        <v>23</v>
      </c>
      <c r="J16" t="s">
        <v>524</v>
      </c>
      <c r="L16" s="279">
        <f t="shared" si="3"/>
        <v>11</v>
      </c>
      <c r="M16" s="277" t="s">
        <v>453</v>
      </c>
      <c r="N16" s="277" t="s">
        <v>443</v>
      </c>
      <c r="O16" s="221" t="s">
        <v>450</v>
      </c>
      <c r="P16" s="221">
        <f t="shared" si="1"/>
        <v>0</v>
      </c>
      <c r="Q16" s="221">
        <f t="shared" si="0"/>
        <v>0</v>
      </c>
      <c r="R16" s="221">
        <f t="shared" si="2"/>
        <v>0</v>
      </c>
    </row>
    <row r="17" spans="2:18">
      <c r="B17" s="221" t="s">
        <v>689</v>
      </c>
      <c r="D17" s="221"/>
      <c r="E17" s="283">
        <v>1</v>
      </c>
      <c r="J17" t="s">
        <v>464</v>
      </c>
      <c r="L17" s="279">
        <f t="shared" si="3"/>
        <v>12</v>
      </c>
      <c r="M17" s="277" t="s">
        <v>455</v>
      </c>
      <c r="N17" s="277" t="s">
        <v>451</v>
      </c>
      <c r="O17" s="221" t="s">
        <v>454</v>
      </c>
      <c r="P17" s="221">
        <f t="shared" si="1"/>
        <v>1</v>
      </c>
      <c r="Q17" s="221">
        <f t="shared" si="0"/>
        <v>1</v>
      </c>
      <c r="R17" s="221">
        <f t="shared" si="2"/>
        <v>1</v>
      </c>
    </row>
    <row r="18" spans="2:18">
      <c r="B18" s="221" t="s">
        <v>690</v>
      </c>
      <c r="E18" s="283">
        <v>12</v>
      </c>
      <c r="J18" t="s">
        <v>525</v>
      </c>
      <c r="L18" s="279">
        <f t="shared" si="3"/>
        <v>13</v>
      </c>
      <c r="M18" s="277" t="s">
        <v>452</v>
      </c>
      <c r="N18" s="277" t="s">
        <v>445</v>
      </c>
      <c r="O18" s="221" t="s">
        <v>98</v>
      </c>
      <c r="P18" s="221">
        <f t="shared" si="1"/>
        <v>0</v>
      </c>
      <c r="Q18" s="221">
        <f t="shared" si="0"/>
        <v>1</v>
      </c>
      <c r="R18" s="221">
        <f t="shared" si="2"/>
        <v>1</v>
      </c>
    </row>
    <row r="19" spans="2:18">
      <c r="B19" s="221" t="s">
        <v>705</v>
      </c>
      <c r="D19" s="280">
        <f>COUNTIF(D14:D16,E14:E18)</f>
        <v>0</v>
      </c>
      <c r="E19" t="s">
        <v>704</v>
      </c>
      <c r="J19" t="s">
        <v>526</v>
      </c>
      <c r="L19" s="279">
        <f t="shared" si="3"/>
        <v>14</v>
      </c>
      <c r="M19" s="277" t="s">
        <v>448</v>
      </c>
      <c r="N19" s="277" t="s">
        <v>443</v>
      </c>
      <c r="O19" s="221" t="s">
        <v>467</v>
      </c>
      <c r="P19" s="221">
        <f t="shared" si="1"/>
        <v>0</v>
      </c>
      <c r="Q19" s="221">
        <f t="shared" si="0"/>
        <v>0</v>
      </c>
      <c r="R19" s="221">
        <f t="shared" si="2"/>
        <v>0</v>
      </c>
    </row>
    <row r="20" spans="2:18">
      <c r="B20" t="s">
        <v>706</v>
      </c>
      <c r="D20" s="280">
        <f>SUMPRODUCT(COUNTIF(D14:D16,E14:E18))</f>
        <v>2</v>
      </c>
      <c r="J20" t="s">
        <v>527</v>
      </c>
      <c r="L20" s="279">
        <f t="shared" si="3"/>
        <v>15</v>
      </c>
      <c r="M20" s="277" t="s">
        <v>446</v>
      </c>
      <c r="N20" s="277" t="s">
        <v>450</v>
      </c>
      <c r="O20" s="221" t="s">
        <v>448</v>
      </c>
      <c r="P20" s="221">
        <f t="shared" si="1"/>
        <v>0</v>
      </c>
      <c r="Q20" s="221">
        <f t="shared" si="0"/>
        <v>0</v>
      </c>
      <c r="R20" s="221">
        <f t="shared" si="2"/>
        <v>0</v>
      </c>
    </row>
    <row r="21" spans="2:18" s="221" customFormat="1">
      <c r="B21" s="45" t="s">
        <v>707</v>
      </c>
      <c r="C21"/>
      <c r="D21"/>
      <c r="E21"/>
      <c r="J21" t="s">
        <v>528</v>
      </c>
      <c r="L21" s="279">
        <f t="shared" si="3"/>
        <v>16</v>
      </c>
      <c r="M21" s="277" t="s">
        <v>478</v>
      </c>
      <c r="N21" s="277" t="s">
        <v>485</v>
      </c>
      <c r="O21" s="221" t="s">
        <v>514</v>
      </c>
      <c r="P21" s="221">
        <f t="shared" si="1"/>
        <v>0</v>
      </c>
      <c r="Q21" s="221">
        <f t="shared" si="0"/>
        <v>0</v>
      </c>
      <c r="R21" s="221">
        <f t="shared" si="2"/>
        <v>0</v>
      </c>
    </row>
    <row r="22" spans="2:18">
      <c r="B22" s="221" t="s">
        <v>708</v>
      </c>
      <c r="J22" t="s">
        <v>529</v>
      </c>
      <c r="L22" s="279">
        <f t="shared" si="3"/>
        <v>17</v>
      </c>
      <c r="M22" s="277" t="s">
        <v>448</v>
      </c>
      <c r="N22" s="277" t="s">
        <v>469</v>
      </c>
      <c r="O22" s="221" t="s">
        <v>489</v>
      </c>
      <c r="P22" s="221">
        <f t="shared" si="1"/>
        <v>0</v>
      </c>
      <c r="Q22" s="221">
        <f t="shared" si="0"/>
        <v>0</v>
      </c>
      <c r="R22" s="221">
        <f t="shared" si="2"/>
        <v>0</v>
      </c>
    </row>
    <row r="23" spans="2:18">
      <c r="B23" t="s">
        <v>709</v>
      </c>
      <c r="C23" s="221"/>
      <c r="J23" t="s">
        <v>487</v>
      </c>
      <c r="L23" s="279">
        <f t="shared" si="3"/>
        <v>18</v>
      </c>
      <c r="M23" s="277" t="s">
        <v>443</v>
      </c>
      <c r="N23" s="277" t="s">
        <v>486</v>
      </c>
      <c r="O23" s="221" t="s">
        <v>508</v>
      </c>
      <c r="P23" s="221">
        <f t="shared" si="1"/>
        <v>0</v>
      </c>
      <c r="Q23" s="221">
        <f t="shared" si="0"/>
        <v>0</v>
      </c>
      <c r="R23" s="221">
        <f t="shared" si="2"/>
        <v>0</v>
      </c>
    </row>
    <row r="24" spans="2:18">
      <c r="J24" t="s">
        <v>530</v>
      </c>
      <c r="L24" s="279">
        <f t="shared" si="3"/>
        <v>19</v>
      </c>
      <c r="M24" s="277" t="s">
        <v>454</v>
      </c>
      <c r="N24" s="277" t="s">
        <v>487</v>
      </c>
      <c r="O24" s="221" t="s">
        <v>507</v>
      </c>
      <c r="P24" s="221">
        <f t="shared" si="1"/>
        <v>0</v>
      </c>
      <c r="Q24" s="221">
        <f t="shared" si="0"/>
        <v>0</v>
      </c>
      <c r="R24" s="221">
        <f t="shared" si="2"/>
        <v>0</v>
      </c>
    </row>
    <row r="25" spans="2:18">
      <c r="J25" t="s">
        <v>531</v>
      </c>
      <c r="L25" s="279">
        <f t="shared" si="3"/>
        <v>20</v>
      </c>
      <c r="M25" s="277" t="s">
        <v>448</v>
      </c>
      <c r="N25" s="277" t="s">
        <v>488</v>
      </c>
      <c r="O25" s="221" t="s">
        <v>443</v>
      </c>
      <c r="P25" s="221">
        <f t="shared" si="1"/>
        <v>0</v>
      </c>
      <c r="Q25" s="221">
        <f t="shared" si="0"/>
        <v>0</v>
      </c>
      <c r="R25" s="221">
        <f t="shared" si="2"/>
        <v>0</v>
      </c>
    </row>
    <row r="26" spans="2:18">
      <c r="J26" t="s">
        <v>532</v>
      </c>
      <c r="L26" s="279">
        <f t="shared" si="3"/>
        <v>21</v>
      </c>
      <c r="M26" s="277" t="s">
        <v>443</v>
      </c>
      <c r="N26" s="277" t="s">
        <v>457</v>
      </c>
      <c r="O26" s="221" t="s">
        <v>443</v>
      </c>
      <c r="P26" s="221">
        <f t="shared" si="1"/>
        <v>0</v>
      </c>
      <c r="Q26" s="221">
        <f t="shared" si="0"/>
        <v>0</v>
      </c>
      <c r="R26" s="221">
        <f t="shared" si="2"/>
        <v>0</v>
      </c>
    </row>
    <row r="27" spans="2:18">
      <c r="D27" s="221"/>
      <c r="E27" s="221"/>
      <c r="J27" t="s">
        <v>533</v>
      </c>
      <c r="L27" s="279">
        <f t="shared" si="3"/>
        <v>22</v>
      </c>
      <c r="M27" s="277" t="s">
        <v>443</v>
      </c>
      <c r="N27" s="277" t="s">
        <v>443</v>
      </c>
      <c r="O27" s="221" t="s">
        <v>443</v>
      </c>
      <c r="P27" s="221">
        <f t="shared" si="1"/>
        <v>0</v>
      </c>
      <c r="Q27" s="221">
        <f t="shared" si="0"/>
        <v>0</v>
      </c>
      <c r="R27" s="221">
        <f t="shared" si="2"/>
        <v>0</v>
      </c>
    </row>
    <row r="28" spans="2:18">
      <c r="J28" t="s">
        <v>534</v>
      </c>
      <c r="L28" s="279">
        <f t="shared" si="3"/>
        <v>23</v>
      </c>
      <c r="M28" s="277" t="s">
        <v>455</v>
      </c>
      <c r="N28" s="277" t="s">
        <v>443</v>
      </c>
      <c r="O28" s="221" t="s">
        <v>443</v>
      </c>
      <c r="P28" s="221">
        <f t="shared" si="1"/>
        <v>1</v>
      </c>
      <c r="Q28" s="221">
        <f t="shared" si="0"/>
        <v>1</v>
      </c>
      <c r="R28" s="221">
        <f t="shared" si="2"/>
        <v>1</v>
      </c>
    </row>
    <row r="29" spans="2:18">
      <c r="J29" t="s">
        <v>535</v>
      </c>
      <c r="L29" s="279">
        <f t="shared" si="3"/>
        <v>24</v>
      </c>
      <c r="M29" s="277" t="s">
        <v>448</v>
      </c>
      <c r="N29" s="277" t="s">
        <v>443</v>
      </c>
      <c r="O29" s="221" t="s">
        <v>443</v>
      </c>
      <c r="P29" s="221">
        <f t="shared" si="1"/>
        <v>0</v>
      </c>
      <c r="Q29" s="221">
        <f t="shared" si="0"/>
        <v>0</v>
      </c>
      <c r="R29" s="221">
        <f t="shared" si="2"/>
        <v>0</v>
      </c>
    </row>
    <row r="30" spans="2:18">
      <c r="J30" t="s">
        <v>454</v>
      </c>
      <c r="L30" s="279">
        <f t="shared" si="3"/>
        <v>25</v>
      </c>
      <c r="M30" s="277" t="s">
        <v>456</v>
      </c>
      <c r="N30" s="277" t="s">
        <v>99</v>
      </c>
      <c r="O30" s="221" t="s">
        <v>445</v>
      </c>
      <c r="P30" s="221">
        <f t="shared" si="1"/>
        <v>0</v>
      </c>
      <c r="Q30" s="221">
        <f t="shared" si="0"/>
        <v>1</v>
      </c>
      <c r="R30" s="221">
        <f t="shared" si="2"/>
        <v>1</v>
      </c>
    </row>
    <row r="31" spans="2:18">
      <c r="J31" t="s">
        <v>536</v>
      </c>
      <c r="L31" s="279">
        <f t="shared" si="3"/>
        <v>26</v>
      </c>
      <c r="M31" s="277" t="s">
        <v>457</v>
      </c>
      <c r="N31" s="277" t="s">
        <v>489</v>
      </c>
      <c r="O31" s="221" t="s">
        <v>449</v>
      </c>
      <c r="P31" s="221">
        <f t="shared" si="1"/>
        <v>0</v>
      </c>
      <c r="Q31" s="221">
        <f t="shared" si="0"/>
        <v>0</v>
      </c>
      <c r="R31" s="221">
        <f t="shared" si="2"/>
        <v>0</v>
      </c>
    </row>
    <row r="32" spans="2:18">
      <c r="J32" t="s">
        <v>537</v>
      </c>
      <c r="L32" s="279">
        <f t="shared" si="3"/>
        <v>27</v>
      </c>
      <c r="M32" s="277" t="s">
        <v>458</v>
      </c>
      <c r="N32" s="277" t="s">
        <v>458</v>
      </c>
      <c r="O32" s="221" t="s">
        <v>450</v>
      </c>
      <c r="P32" s="221">
        <f t="shared" si="1"/>
        <v>0</v>
      </c>
      <c r="Q32" s="221">
        <f t="shared" si="0"/>
        <v>0</v>
      </c>
      <c r="R32" s="221">
        <f t="shared" si="2"/>
        <v>0</v>
      </c>
    </row>
    <row r="33" spans="3:18">
      <c r="J33" t="s">
        <v>538</v>
      </c>
      <c r="L33" s="279">
        <f t="shared" si="3"/>
        <v>28</v>
      </c>
      <c r="M33" s="277" t="s">
        <v>459</v>
      </c>
      <c r="N33" s="277" t="s">
        <v>490</v>
      </c>
      <c r="O33" s="221" t="s">
        <v>457</v>
      </c>
      <c r="P33" s="221">
        <f t="shared" si="1"/>
        <v>0</v>
      </c>
      <c r="Q33" s="221">
        <f t="shared" si="0"/>
        <v>0</v>
      </c>
      <c r="R33" s="221">
        <f t="shared" si="2"/>
        <v>0</v>
      </c>
    </row>
    <row r="34" spans="3:18">
      <c r="J34" t="s">
        <v>539</v>
      </c>
      <c r="L34" s="279">
        <f t="shared" si="3"/>
        <v>29</v>
      </c>
      <c r="M34" s="277" t="s">
        <v>452</v>
      </c>
      <c r="N34" s="277" t="s">
        <v>443</v>
      </c>
      <c r="O34" s="221" t="s">
        <v>503</v>
      </c>
      <c r="P34" s="221">
        <f t="shared" si="1"/>
        <v>0</v>
      </c>
      <c r="Q34" s="221">
        <f t="shared" si="0"/>
        <v>0</v>
      </c>
      <c r="R34" s="221">
        <f t="shared" si="2"/>
        <v>0</v>
      </c>
    </row>
    <row r="35" spans="3:18">
      <c r="J35" t="s">
        <v>474</v>
      </c>
      <c r="L35" s="279">
        <f t="shared" si="3"/>
        <v>30</v>
      </c>
      <c r="M35" s="277" t="s">
        <v>458</v>
      </c>
      <c r="N35" s="277" t="s">
        <v>446</v>
      </c>
      <c r="O35" s="221" t="s">
        <v>443</v>
      </c>
      <c r="P35" s="221">
        <f t="shared" si="1"/>
        <v>0</v>
      </c>
      <c r="Q35" s="221">
        <f t="shared" si="0"/>
        <v>0</v>
      </c>
      <c r="R35" s="221">
        <f t="shared" si="2"/>
        <v>0</v>
      </c>
    </row>
    <row r="36" spans="3:18">
      <c r="J36" t="s">
        <v>540</v>
      </c>
      <c r="L36" s="279">
        <f t="shared" si="3"/>
        <v>31</v>
      </c>
      <c r="M36" s="277" t="s">
        <v>460</v>
      </c>
      <c r="N36" s="277" t="s">
        <v>443</v>
      </c>
      <c r="O36" s="221" t="s">
        <v>448</v>
      </c>
      <c r="P36" s="221">
        <f t="shared" si="1"/>
        <v>0</v>
      </c>
      <c r="Q36" s="221">
        <f t="shared" si="0"/>
        <v>0</v>
      </c>
      <c r="R36" s="221">
        <f t="shared" si="2"/>
        <v>0</v>
      </c>
    </row>
    <row r="37" spans="3:18">
      <c r="J37" t="s">
        <v>211</v>
      </c>
      <c r="L37" s="279">
        <f t="shared" si="3"/>
        <v>32</v>
      </c>
      <c r="M37" s="277" t="s">
        <v>455</v>
      </c>
      <c r="N37" s="277" t="s">
        <v>459</v>
      </c>
      <c r="O37" s="221" t="s">
        <v>505</v>
      </c>
      <c r="P37" s="221">
        <f t="shared" si="1"/>
        <v>1</v>
      </c>
      <c r="Q37" s="221">
        <f t="shared" si="0"/>
        <v>1</v>
      </c>
      <c r="R37" s="221">
        <f t="shared" si="2"/>
        <v>1</v>
      </c>
    </row>
    <row r="38" spans="3:18">
      <c r="J38" t="s">
        <v>541</v>
      </c>
      <c r="L38" s="279">
        <f t="shared" si="3"/>
        <v>33</v>
      </c>
      <c r="M38" s="277" t="s">
        <v>452</v>
      </c>
      <c r="N38" s="277" t="s">
        <v>445</v>
      </c>
      <c r="O38" s="221" t="s">
        <v>504</v>
      </c>
      <c r="P38" s="221">
        <f t="shared" si="1"/>
        <v>0</v>
      </c>
      <c r="Q38" s="221">
        <f t="shared" ref="Q38:Q70" si="4">MIN(1,(COUNTIF(M38:O38,$U$3)+COUNTIF(M38:O38,$U$4)+COUNTIF(M38:O38,$U$5)))</f>
        <v>0</v>
      </c>
      <c r="R38" s="221">
        <f t="shared" si="2"/>
        <v>0</v>
      </c>
    </row>
    <row r="39" spans="3:18">
      <c r="J39" t="s">
        <v>542</v>
      </c>
      <c r="L39" s="279">
        <f t="shared" si="3"/>
        <v>34</v>
      </c>
      <c r="M39" s="277" t="s">
        <v>446</v>
      </c>
      <c r="N39" s="277" t="s">
        <v>443</v>
      </c>
      <c r="O39" s="221" t="s">
        <v>493</v>
      </c>
      <c r="P39" s="221">
        <f t="shared" si="1"/>
        <v>0</v>
      </c>
      <c r="Q39" s="221">
        <f t="shared" si="4"/>
        <v>0</v>
      </c>
      <c r="R39" s="221">
        <f t="shared" si="2"/>
        <v>0</v>
      </c>
    </row>
    <row r="40" spans="3:18">
      <c r="C40" s="277"/>
      <c r="J40" t="s">
        <v>543</v>
      </c>
      <c r="L40" s="279">
        <f t="shared" si="3"/>
        <v>35</v>
      </c>
      <c r="M40" s="277" t="s">
        <v>452</v>
      </c>
      <c r="N40" s="277" t="s">
        <v>491</v>
      </c>
      <c r="O40" s="221" t="s">
        <v>452</v>
      </c>
      <c r="P40" s="221">
        <f t="shared" si="1"/>
        <v>0</v>
      </c>
      <c r="Q40" s="221">
        <f t="shared" si="4"/>
        <v>0</v>
      </c>
      <c r="R40" s="221">
        <f t="shared" si="2"/>
        <v>0</v>
      </c>
    </row>
    <row r="41" spans="3:18">
      <c r="C41" s="277"/>
      <c r="J41" t="s">
        <v>544</v>
      </c>
      <c r="L41" s="279">
        <f t="shared" si="3"/>
        <v>36</v>
      </c>
      <c r="M41" s="277" t="s">
        <v>450</v>
      </c>
      <c r="N41" s="277" t="s">
        <v>492</v>
      </c>
      <c r="O41" s="221" t="s">
        <v>443</v>
      </c>
      <c r="P41" s="221">
        <f t="shared" si="1"/>
        <v>0</v>
      </c>
      <c r="Q41" s="221">
        <f t="shared" si="4"/>
        <v>0</v>
      </c>
      <c r="R41" s="221">
        <f t="shared" si="2"/>
        <v>0</v>
      </c>
    </row>
    <row r="42" spans="3:18">
      <c r="C42" s="277"/>
      <c r="J42" t="s">
        <v>545</v>
      </c>
      <c r="L42" s="279">
        <f t="shared" si="3"/>
        <v>37</v>
      </c>
      <c r="M42" s="277" t="s">
        <v>454</v>
      </c>
      <c r="N42" s="277" t="s">
        <v>443</v>
      </c>
      <c r="O42" s="221" t="s">
        <v>453</v>
      </c>
      <c r="P42" s="221">
        <f t="shared" si="1"/>
        <v>0</v>
      </c>
      <c r="Q42" s="221">
        <f t="shared" si="4"/>
        <v>0</v>
      </c>
      <c r="R42" s="221">
        <f t="shared" si="2"/>
        <v>0</v>
      </c>
    </row>
    <row r="43" spans="3:18">
      <c r="C43" s="277"/>
      <c r="J43" t="s">
        <v>546</v>
      </c>
      <c r="L43" s="279">
        <f t="shared" si="3"/>
        <v>38</v>
      </c>
      <c r="M43" s="277" t="s">
        <v>459</v>
      </c>
      <c r="N43" s="277" t="s">
        <v>462</v>
      </c>
      <c r="O43" s="221" t="s">
        <v>489</v>
      </c>
      <c r="P43" s="221">
        <f t="shared" si="1"/>
        <v>0</v>
      </c>
      <c r="Q43" s="221">
        <f t="shared" si="4"/>
        <v>0</v>
      </c>
      <c r="R43" s="221">
        <f t="shared" si="2"/>
        <v>0</v>
      </c>
    </row>
    <row r="44" spans="3:18">
      <c r="C44" s="277"/>
      <c r="J44" t="s">
        <v>547</v>
      </c>
      <c r="L44" s="279">
        <f t="shared" si="3"/>
        <v>39</v>
      </c>
      <c r="M44" s="277" t="s">
        <v>448</v>
      </c>
      <c r="N44" s="277" t="s">
        <v>493</v>
      </c>
      <c r="O44" s="221" t="s">
        <v>452</v>
      </c>
      <c r="P44" s="221">
        <f t="shared" si="1"/>
        <v>0</v>
      </c>
      <c r="Q44" s="221">
        <f t="shared" si="4"/>
        <v>0</v>
      </c>
      <c r="R44" s="221">
        <f t="shared" si="2"/>
        <v>0</v>
      </c>
    </row>
    <row r="45" spans="3:18">
      <c r="C45" s="277"/>
      <c r="J45" t="s">
        <v>509</v>
      </c>
      <c r="L45" s="279">
        <f t="shared" si="3"/>
        <v>40</v>
      </c>
      <c r="M45" s="277" t="s">
        <v>458</v>
      </c>
      <c r="N45" s="277" t="s">
        <v>453</v>
      </c>
      <c r="O45" s="221" t="s">
        <v>459</v>
      </c>
      <c r="P45" s="221">
        <f t="shared" si="1"/>
        <v>0</v>
      </c>
      <c r="Q45" s="221">
        <f t="shared" si="4"/>
        <v>0</v>
      </c>
      <c r="R45" s="221">
        <f t="shared" si="2"/>
        <v>0</v>
      </c>
    </row>
    <row r="46" spans="3:18">
      <c r="C46" s="277"/>
      <c r="J46" t="s">
        <v>548</v>
      </c>
      <c r="L46" s="279">
        <f t="shared" si="3"/>
        <v>41</v>
      </c>
      <c r="M46" s="277" t="s">
        <v>443</v>
      </c>
      <c r="N46" s="277" t="s">
        <v>443</v>
      </c>
      <c r="O46" s="221" t="s">
        <v>509</v>
      </c>
      <c r="P46" s="221">
        <f t="shared" si="1"/>
        <v>0</v>
      </c>
      <c r="Q46" s="221">
        <f t="shared" si="4"/>
        <v>0</v>
      </c>
      <c r="R46" s="221">
        <f t="shared" si="2"/>
        <v>0</v>
      </c>
    </row>
    <row r="47" spans="3:18">
      <c r="C47" s="277"/>
      <c r="J47" t="s">
        <v>443</v>
      </c>
      <c r="L47" s="279">
        <f t="shared" si="3"/>
        <v>42</v>
      </c>
      <c r="M47" s="277" t="s">
        <v>450</v>
      </c>
      <c r="N47" s="277" t="s">
        <v>489</v>
      </c>
      <c r="O47" s="221" t="s">
        <v>211</v>
      </c>
      <c r="P47" s="221">
        <f t="shared" si="1"/>
        <v>0</v>
      </c>
      <c r="Q47" s="221">
        <f t="shared" si="4"/>
        <v>0</v>
      </c>
      <c r="R47" s="221">
        <f t="shared" si="2"/>
        <v>0</v>
      </c>
    </row>
    <row r="48" spans="3:18">
      <c r="C48" s="277"/>
      <c r="J48" t="s">
        <v>445</v>
      </c>
      <c r="L48" s="279">
        <f t="shared" si="3"/>
        <v>43</v>
      </c>
      <c r="M48" s="277" t="s">
        <v>453</v>
      </c>
      <c r="N48" s="277" t="s">
        <v>448</v>
      </c>
      <c r="O48" s="221" t="s">
        <v>453</v>
      </c>
      <c r="P48" s="221">
        <f t="shared" si="1"/>
        <v>0</v>
      </c>
      <c r="Q48" s="221">
        <f t="shared" si="4"/>
        <v>0</v>
      </c>
      <c r="R48" s="221">
        <f t="shared" si="2"/>
        <v>0</v>
      </c>
    </row>
    <row r="49" spans="3:18">
      <c r="C49" s="277"/>
      <c r="J49" t="s">
        <v>549</v>
      </c>
      <c r="L49" s="279">
        <f t="shared" si="3"/>
        <v>44</v>
      </c>
      <c r="M49" s="277" t="s">
        <v>454</v>
      </c>
      <c r="N49" s="277" t="s">
        <v>442</v>
      </c>
      <c r="O49" s="221" t="s">
        <v>211</v>
      </c>
      <c r="P49" s="221">
        <f t="shared" si="1"/>
        <v>0</v>
      </c>
      <c r="Q49" s="221">
        <f t="shared" si="4"/>
        <v>0</v>
      </c>
      <c r="R49" s="221">
        <f t="shared" si="2"/>
        <v>0</v>
      </c>
    </row>
    <row r="50" spans="3:18">
      <c r="C50" s="277"/>
      <c r="J50" t="s">
        <v>444</v>
      </c>
      <c r="L50" s="279">
        <f t="shared" si="3"/>
        <v>45</v>
      </c>
      <c r="M50" s="277" t="s">
        <v>461</v>
      </c>
      <c r="N50" s="277" t="s">
        <v>494</v>
      </c>
      <c r="O50" s="221" t="s">
        <v>443</v>
      </c>
      <c r="P50" s="221">
        <f t="shared" si="1"/>
        <v>0</v>
      </c>
      <c r="Q50" s="221">
        <f t="shared" si="4"/>
        <v>0</v>
      </c>
      <c r="R50" s="221">
        <f t="shared" si="2"/>
        <v>0</v>
      </c>
    </row>
    <row r="51" spans="3:18">
      <c r="C51" s="277"/>
      <c r="J51" t="s">
        <v>550</v>
      </c>
      <c r="L51" s="279">
        <f t="shared" si="3"/>
        <v>46</v>
      </c>
      <c r="M51" s="277" t="s">
        <v>443</v>
      </c>
      <c r="N51" s="277" t="s">
        <v>470</v>
      </c>
      <c r="O51" s="221" t="s">
        <v>465</v>
      </c>
      <c r="P51" s="221">
        <f t="shared" si="1"/>
        <v>0</v>
      </c>
      <c r="Q51" s="221">
        <f t="shared" si="4"/>
        <v>0</v>
      </c>
      <c r="R51" s="221">
        <f t="shared" si="2"/>
        <v>0</v>
      </c>
    </row>
    <row r="52" spans="3:18">
      <c r="C52" s="277"/>
      <c r="J52" t="s">
        <v>551</v>
      </c>
      <c r="L52" s="279">
        <f t="shared" si="3"/>
        <v>47</v>
      </c>
      <c r="M52" s="277" t="s">
        <v>452</v>
      </c>
      <c r="N52" s="277" t="s">
        <v>495</v>
      </c>
      <c r="O52" s="221" t="s">
        <v>448</v>
      </c>
      <c r="P52" s="221">
        <f t="shared" si="1"/>
        <v>0</v>
      </c>
      <c r="Q52" s="221">
        <f t="shared" si="4"/>
        <v>0</v>
      </c>
      <c r="R52" s="221">
        <f t="shared" si="2"/>
        <v>0</v>
      </c>
    </row>
    <row r="53" spans="3:18">
      <c r="C53" s="277"/>
      <c r="J53" t="s">
        <v>552</v>
      </c>
      <c r="L53" s="279">
        <f t="shared" si="3"/>
        <v>48</v>
      </c>
      <c r="M53" s="277" t="s">
        <v>462</v>
      </c>
      <c r="N53" s="277" t="s">
        <v>445</v>
      </c>
      <c r="O53" s="221" t="s">
        <v>453</v>
      </c>
      <c r="P53" s="221">
        <f t="shared" si="1"/>
        <v>0</v>
      </c>
      <c r="Q53" s="221">
        <f t="shared" si="4"/>
        <v>0</v>
      </c>
      <c r="R53" s="221">
        <f t="shared" si="2"/>
        <v>0</v>
      </c>
    </row>
    <row r="54" spans="3:18">
      <c r="C54" s="277"/>
      <c r="J54" t="s">
        <v>459</v>
      </c>
      <c r="L54" s="279">
        <f t="shared" si="3"/>
        <v>49</v>
      </c>
      <c r="M54" s="277" t="s">
        <v>462</v>
      </c>
      <c r="N54" s="277" t="s">
        <v>99</v>
      </c>
      <c r="O54" s="221" t="s">
        <v>99</v>
      </c>
      <c r="P54" s="221">
        <f t="shared" si="1"/>
        <v>0</v>
      </c>
      <c r="Q54" s="221">
        <f t="shared" si="4"/>
        <v>1</v>
      </c>
      <c r="R54" s="221">
        <f t="shared" si="2"/>
        <v>2</v>
      </c>
    </row>
    <row r="55" spans="3:18">
      <c r="C55" s="277"/>
      <c r="J55" t="s">
        <v>98</v>
      </c>
      <c r="L55" s="279">
        <f t="shared" si="3"/>
        <v>50</v>
      </c>
      <c r="M55" s="277" t="s">
        <v>463</v>
      </c>
      <c r="N55" s="277" t="s">
        <v>496</v>
      </c>
      <c r="O55" s="221" t="s">
        <v>453</v>
      </c>
      <c r="P55" s="221">
        <f t="shared" si="1"/>
        <v>0</v>
      </c>
      <c r="Q55" s="221">
        <f t="shared" si="4"/>
        <v>0</v>
      </c>
      <c r="R55" s="221">
        <f t="shared" si="2"/>
        <v>0</v>
      </c>
    </row>
    <row r="56" spans="3:18">
      <c r="C56" s="277"/>
      <c r="J56" t="s">
        <v>553</v>
      </c>
      <c r="L56" s="279">
        <f t="shared" si="3"/>
        <v>51</v>
      </c>
      <c r="M56" s="277" t="s">
        <v>464</v>
      </c>
      <c r="N56" s="277" t="s">
        <v>465</v>
      </c>
      <c r="O56" s="221" t="s">
        <v>450</v>
      </c>
      <c r="P56" s="221">
        <f t="shared" si="1"/>
        <v>0</v>
      </c>
      <c r="Q56" s="221">
        <f t="shared" si="4"/>
        <v>0</v>
      </c>
      <c r="R56" s="221">
        <f t="shared" si="2"/>
        <v>0</v>
      </c>
    </row>
    <row r="57" spans="3:18">
      <c r="C57" s="277"/>
      <c r="J57" t="s">
        <v>554</v>
      </c>
      <c r="L57" s="279">
        <f t="shared" si="3"/>
        <v>52</v>
      </c>
      <c r="M57" s="277" t="s">
        <v>465</v>
      </c>
      <c r="N57" s="277" t="s">
        <v>472</v>
      </c>
      <c r="O57" s="221" t="s">
        <v>511</v>
      </c>
      <c r="P57" s="221">
        <f t="shared" si="1"/>
        <v>0</v>
      </c>
      <c r="Q57" s="221">
        <f t="shared" si="4"/>
        <v>0</v>
      </c>
      <c r="R57" s="221">
        <f t="shared" si="2"/>
        <v>0</v>
      </c>
    </row>
    <row r="58" spans="3:18">
      <c r="C58" s="277"/>
      <c r="J58" t="s">
        <v>555</v>
      </c>
      <c r="L58" s="279">
        <f t="shared" si="3"/>
        <v>53</v>
      </c>
      <c r="M58" s="277" t="s">
        <v>448</v>
      </c>
      <c r="N58" s="277" t="s">
        <v>443</v>
      </c>
      <c r="O58" s="221" t="s">
        <v>212</v>
      </c>
      <c r="P58" s="221">
        <f t="shared" si="1"/>
        <v>0</v>
      </c>
      <c r="Q58" s="221">
        <f t="shared" si="4"/>
        <v>0</v>
      </c>
      <c r="R58" s="221">
        <f t="shared" si="2"/>
        <v>0</v>
      </c>
    </row>
    <row r="59" spans="3:18">
      <c r="C59" s="277"/>
      <c r="J59" t="s">
        <v>475</v>
      </c>
      <c r="L59" s="279">
        <f t="shared" si="3"/>
        <v>54</v>
      </c>
      <c r="M59" s="277" t="s">
        <v>443</v>
      </c>
      <c r="N59" s="277" t="s">
        <v>462</v>
      </c>
      <c r="O59" s="221" t="s">
        <v>491</v>
      </c>
      <c r="P59" s="221">
        <f t="shared" si="1"/>
        <v>0</v>
      </c>
      <c r="Q59" s="221">
        <f t="shared" si="4"/>
        <v>0</v>
      </c>
      <c r="R59" s="221">
        <f t="shared" si="2"/>
        <v>0</v>
      </c>
    </row>
    <row r="60" spans="3:18">
      <c r="C60" s="277"/>
      <c r="J60" t="s">
        <v>556</v>
      </c>
      <c r="L60" s="279">
        <f t="shared" si="3"/>
        <v>55</v>
      </c>
      <c r="M60" s="277" t="s">
        <v>466</v>
      </c>
      <c r="N60" s="277" t="s">
        <v>456</v>
      </c>
      <c r="O60" s="221" t="s">
        <v>453</v>
      </c>
      <c r="P60" s="221">
        <f t="shared" si="1"/>
        <v>0</v>
      </c>
      <c r="Q60" s="221">
        <f t="shared" si="4"/>
        <v>0</v>
      </c>
      <c r="R60" s="221">
        <f t="shared" si="2"/>
        <v>0</v>
      </c>
    </row>
    <row r="61" spans="3:18">
      <c r="C61" s="277"/>
      <c r="J61" t="s">
        <v>482</v>
      </c>
      <c r="L61" s="279">
        <f t="shared" si="3"/>
        <v>56</v>
      </c>
      <c r="M61" s="277" t="s">
        <v>443</v>
      </c>
      <c r="N61" s="277" t="s">
        <v>497</v>
      </c>
      <c r="O61" s="221" t="s">
        <v>98</v>
      </c>
      <c r="P61" s="221">
        <f t="shared" si="1"/>
        <v>0</v>
      </c>
      <c r="Q61" s="221">
        <f t="shared" si="4"/>
        <v>1</v>
      </c>
      <c r="R61" s="221">
        <f t="shared" si="2"/>
        <v>1</v>
      </c>
    </row>
    <row r="62" spans="3:18">
      <c r="C62" s="277"/>
      <c r="J62" t="s">
        <v>557</v>
      </c>
      <c r="L62" s="279">
        <f t="shared" si="3"/>
        <v>57</v>
      </c>
      <c r="M62" s="277" t="s">
        <v>457</v>
      </c>
      <c r="N62" s="277" t="s">
        <v>498</v>
      </c>
      <c r="O62" s="221" t="s">
        <v>473</v>
      </c>
      <c r="P62" s="221">
        <f t="shared" si="1"/>
        <v>0</v>
      </c>
      <c r="Q62" s="221">
        <f t="shared" si="4"/>
        <v>0</v>
      </c>
      <c r="R62" s="221">
        <f t="shared" si="2"/>
        <v>0</v>
      </c>
    </row>
    <row r="63" spans="3:18">
      <c r="C63" s="277"/>
      <c r="J63" t="s">
        <v>473</v>
      </c>
      <c r="L63" s="279">
        <f t="shared" si="3"/>
        <v>58</v>
      </c>
      <c r="M63" s="277" t="s">
        <v>448</v>
      </c>
      <c r="N63" s="277" t="s">
        <v>443</v>
      </c>
      <c r="O63" s="221" t="s">
        <v>494</v>
      </c>
      <c r="P63" s="221">
        <f t="shared" si="1"/>
        <v>0</v>
      </c>
      <c r="Q63" s="221">
        <f t="shared" si="4"/>
        <v>0</v>
      </c>
      <c r="R63" s="221">
        <f t="shared" si="2"/>
        <v>0</v>
      </c>
    </row>
    <row r="64" spans="3:18">
      <c r="C64" s="277"/>
      <c r="J64" t="s">
        <v>558</v>
      </c>
      <c r="L64" s="279">
        <f t="shared" si="3"/>
        <v>59</v>
      </c>
      <c r="M64" s="277" t="s">
        <v>457</v>
      </c>
      <c r="N64" s="277" t="s">
        <v>446</v>
      </c>
      <c r="O64" s="221" t="s">
        <v>512</v>
      </c>
      <c r="P64" s="221">
        <f t="shared" si="1"/>
        <v>0</v>
      </c>
      <c r="Q64" s="221">
        <f t="shared" si="4"/>
        <v>0</v>
      </c>
      <c r="R64" s="221">
        <f t="shared" si="2"/>
        <v>0</v>
      </c>
    </row>
    <row r="65" spans="3:18">
      <c r="C65" s="277"/>
      <c r="J65" t="s">
        <v>559</v>
      </c>
      <c r="L65" s="279">
        <f t="shared" si="3"/>
        <v>60</v>
      </c>
      <c r="M65" s="277" t="s">
        <v>467</v>
      </c>
      <c r="N65" s="277" t="s">
        <v>454</v>
      </c>
      <c r="O65" s="221" t="s">
        <v>443</v>
      </c>
      <c r="P65" s="221">
        <f t="shared" si="1"/>
        <v>0</v>
      </c>
      <c r="Q65" s="221">
        <f t="shared" si="4"/>
        <v>0</v>
      </c>
      <c r="R65" s="221">
        <f t="shared" si="2"/>
        <v>0</v>
      </c>
    </row>
    <row r="66" spans="3:18">
      <c r="C66" s="277"/>
      <c r="J66" t="s">
        <v>560</v>
      </c>
      <c r="L66" s="279">
        <f t="shared" si="3"/>
        <v>61</v>
      </c>
      <c r="M66" s="277" t="s">
        <v>443</v>
      </c>
      <c r="N66" s="277" t="s">
        <v>491</v>
      </c>
      <c r="O66" s="221" t="s">
        <v>448</v>
      </c>
      <c r="P66" s="221">
        <f t="shared" si="1"/>
        <v>0</v>
      </c>
      <c r="Q66" s="221">
        <f t="shared" si="4"/>
        <v>0</v>
      </c>
      <c r="R66" s="221">
        <f t="shared" si="2"/>
        <v>0</v>
      </c>
    </row>
    <row r="67" spans="3:18">
      <c r="C67" s="277"/>
      <c r="J67" t="s">
        <v>485</v>
      </c>
      <c r="L67" s="279">
        <f t="shared" si="3"/>
        <v>62</v>
      </c>
      <c r="M67" s="277" t="s">
        <v>468</v>
      </c>
      <c r="N67" s="277" t="s">
        <v>499</v>
      </c>
      <c r="O67" s="221" t="s">
        <v>443</v>
      </c>
      <c r="P67" s="221">
        <f t="shared" si="1"/>
        <v>0</v>
      </c>
      <c r="Q67" s="221">
        <f t="shared" si="4"/>
        <v>0</v>
      </c>
      <c r="R67" s="221">
        <f t="shared" si="2"/>
        <v>0</v>
      </c>
    </row>
    <row r="68" spans="3:18">
      <c r="C68" s="277"/>
      <c r="J68" t="s">
        <v>561</v>
      </c>
      <c r="L68" s="279">
        <f t="shared" si="3"/>
        <v>63</v>
      </c>
      <c r="M68" s="277" t="s">
        <v>469</v>
      </c>
      <c r="N68" s="277" t="s">
        <v>500</v>
      </c>
      <c r="O68" s="221" t="s">
        <v>448</v>
      </c>
      <c r="P68" s="221">
        <f t="shared" si="1"/>
        <v>0</v>
      </c>
      <c r="Q68" s="221">
        <f t="shared" si="4"/>
        <v>0</v>
      </c>
      <c r="R68" s="221">
        <f t="shared" si="2"/>
        <v>0</v>
      </c>
    </row>
    <row r="69" spans="3:18">
      <c r="C69" s="277"/>
      <c r="J69" t="s">
        <v>562</v>
      </c>
      <c r="L69" s="279">
        <f t="shared" si="3"/>
        <v>64</v>
      </c>
      <c r="M69" s="277" t="s">
        <v>445</v>
      </c>
      <c r="N69" s="277" t="s">
        <v>474</v>
      </c>
      <c r="O69" s="221" t="s">
        <v>454</v>
      </c>
      <c r="P69" s="221">
        <f t="shared" si="1"/>
        <v>0</v>
      </c>
      <c r="Q69" s="221">
        <f t="shared" si="4"/>
        <v>0</v>
      </c>
      <c r="R69" s="221">
        <f t="shared" si="2"/>
        <v>0</v>
      </c>
    </row>
    <row r="70" spans="3:18">
      <c r="C70" s="277"/>
      <c r="J70" t="s">
        <v>563</v>
      </c>
      <c r="L70" s="279">
        <f t="shared" si="3"/>
        <v>65</v>
      </c>
      <c r="M70" s="277" t="s">
        <v>443</v>
      </c>
      <c r="N70" s="277" t="s">
        <v>448</v>
      </c>
      <c r="O70" s="221" t="s">
        <v>462</v>
      </c>
      <c r="P70" s="221">
        <f t="shared" si="1"/>
        <v>0</v>
      </c>
      <c r="Q70" s="221">
        <f t="shared" si="4"/>
        <v>0</v>
      </c>
      <c r="R70" s="221">
        <f t="shared" si="2"/>
        <v>0</v>
      </c>
    </row>
    <row r="71" spans="3:18">
      <c r="C71" s="277"/>
      <c r="J71" t="s">
        <v>564</v>
      </c>
      <c r="L71" s="279">
        <f t="shared" si="3"/>
        <v>66</v>
      </c>
      <c r="M71" s="277" t="s">
        <v>470</v>
      </c>
      <c r="N71" s="277" t="s">
        <v>445</v>
      </c>
      <c r="O71" s="221" t="s">
        <v>452</v>
      </c>
      <c r="P71" s="221">
        <f t="shared" ref="P71:P101" si="5">MIN(1,COUNTIF(M71:O71,$T$3))</f>
        <v>0</v>
      </c>
      <c r="Q71" s="221">
        <f t="shared" ref="Q71:Q101" si="6">MIN(1,(COUNTIF(M71:O71,$U$3)+COUNTIF(M71:O71,$U$4)+COUNTIF(M71:O71,$U$5)))</f>
        <v>0</v>
      </c>
      <c r="R71" s="221">
        <f t="shared" ref="R71:R101" si="7">SUMPRODUCT(COUNTIF(M71:O71,$V$3:$V$5))</f>
        <v>0</v>
      </c>
    </row>
    <row r="72" spans="3:18">
      <c r="C72" s="277"/>
      <c r="J72" t="s">
        <v>565</v>
      </c>
      <c r="L72" s="279">
        <f t="shared" ref="L72:L101" si="8">L71+1</f>
        <v>67</v>
      </c>
      <c r="M72" s="277" t="s">
        <v>454</v>
      </c>
      <c r="N72" s="277" t="s">
        <v>456</v>
      </c>
      <c r="O72" s="221" t="s">
        <v>499</v>
      </c>
      <c r="P72" s="221">
        <f t="shared" si="5"/>
        <v>0</v>
      </c>
      <c r="Q72" s="221">
        <f t="shared" si="6"/>
        <v>0</v>
      </c>
      <c r="R72" s="221">
        <f t="shared" si="7"/>
        <v>0</v>
      </c>
    </row>
    <row r="73" spans="3:18">
      <c r="J73" t="s">
        <v>99</v>
      </c>
      <c r="L73" s="279">
        <f t="shared" si="8"/>
        <v>68</v>
      </c>
      <c r="M73" s="277" t="s">
        <v>443</v>
      </c>
      <c r="N73" s="277" t="s">
        <v>448</v>
      </c>
      <c r="O73" s="221" t="s">
        <v>455</v>
      </c>
      <c r="P73" s="221">
        <f t="shared" si="5"/>
        <v>1</v>
      </c>
      <c r="Q73" s="221">
        <f t="shared" si="6"/>
        <v>1</v>
      </c>
      <c r="R73" s="221">
        <f t="shared" si="7"/>
        <v>1</v>
      </c>
    </row>
    <row r="74" spans="3:18">
      <c r="J74" t="s">
        <v>566</v>
      </c>
      <c r="L74" s="279">
        <f t="shared" si="8"/>
        <v>69</v>
      </c>
      <c r="M74" s="277" t="s">
        <v>457</v>
      </c>
      <c r="N74" s="277" t="s">
        <v>462</v>
      </c>
      <c r="O74" s="221" t="s">
        <v>442</v>
      </c>
      <c r="P74" s="221">
        <f t="shared" si="5"/>
        <v>0</v>
      </c>
      <c r="Q74" s="221">
        <f t="shared" si="6"/>
        <v>0</v>
      </c>
      <c r="R74" s="221">
        <f t="shared" si="7"/>
        <v>0</v>
      </c>
    </row>
    <row r="75" spans="3:18">
      <c r="J75" t="s">
        <v>507</v>
      </c>
      <c r="L75" s="279">
        <f t="shared" si="8"/>
        <v>70</v>
      </c>
      <c r="M75" s="277" t="s">
        <v>454</v>
      </c>
      <c r="N75" s="277" t="s">
        <v>454</v>
      </c>
      <c r="O75" s="221" t="s">
        <v>500</v>
      </c>
      <c r="P75" s="221">
        <f t="shared" si="5"/>
        <v>0</v>
      </c>
      <c r="Q75" s="221">
        <f t="shared" si="6"/>
        <v>0</v>
      </c>
      <c r="R75" s="221">
        <f t="shared" si="7"/>
        <v>0</v>
      </c>
    </row>
    <row r="76" spans="3:18">
      <c r="J76" t="s">
        <v>567</v>
      </c>
      <c r="L76" s="279">
        <f t="shared" si="8"/>
        <v>71</v>
      </c>
      <c r="M76" s="277" t="s">
        <v>448</v>
      </c>
      <c r="N76" s="277" t="s">
        <v>501</v>
      </c>
      <c r="O76" s="221" t="s">
        <v>443</v>
      </c>
      <c r="P76" s="221">
        <f t="shared" si="5"/>
        <v>0</v>
      </c>
      <c r="Q76" s="221">
        <f t="shared" si="6"/>
        <v>0</v>
      </c>
      <c r="R76" s="221">
        <f t="shared" si="7"/>
        <v>0</v>
      </c>
    </row>
    <row r="77" spans="3:18">
      <c r="J77" t="s">
        <v>486</v>
      </c>
      <c r="L77" s="279">
        <f t="shared" si="8"/>
        <v>72</v>
      </c>
      <c r="M77" s="277" t="s">
        <v>471</v>
      </c>
      <c r="N77" s="277" t="s">
        <v>443</v>
      </c>
      <c r="O77" s="221" t="s">
        <v>499</v>
      </c>
      <c r="P77" s="221">
        <f t="shared" si="5"/>
        <v>0</v>
      </c>
      <c r="Q77" s="221">
        <f t="shared" si="6"/>
        <v>0</v>
      </c>
      <c r="R77" s="221">
        <f t="shared" si="7"/>
        <v>0</v>
      </c>
    </row>
    <row r="78" spans="3:18">
      <c r="J78" t="s">
        <v>568</v>
      </c>
      <c r="L78" s="279">
        <f t="shared" si="8"/>
        <v>73</v>
      </c>
      <c r="M78" s="277" t="s">
        <v>452</v>
      </c>
      <c r="N78" s="277" t="s">
        <v>456</v>
      </c>
      <c r="O78" s="221" t="s">
        <v>443</v>
      </c>
      <c r="P78" s="221">
        <f t="shared" si="5"/>
        <v>0</v>
      </c>
      <c r="Q78" s="221">
        <f t="shared" si="6"/>
        <v>0</v>
      </c>
      <c r="R78" s="221">
        <f t="shared" si="7"/>
        <v>0</v>
      </c>
    </row>
    <row r="79" spans="3:18">
      <c r="J79" t="s">
        <v>569</v>
      </c>
      <c r="L79" s="279">
        <f t="shared" si="8"/>
        <v>74</v>
      </c>
      <c r="M79" s="277" t="s">
        <v>472</v>
      </c>
      <c r="N79" s="277" t="s">
        <v>443</v>
      </c>
      <c r="O79" s="221" t="s">
        <v>449</v>
      </c>
      <c r="P79" s="221">
        <f t="shared" si="5"/>
        <v>0</v>
      </c>
      <c r="Q79" s="221">
        <f t="shared" si="6"/>
        <v>0</v>
      </c>
      <c r="R79" s="221">
        <f t="shared" si="7"/>
        <v>0</v>
      </c>
    </row>
    <row r="80" spans="3:18">
      <c r="J80" t="s">
        <v>570</v>
      </c>
      <c r="L80" s="279">
        <f t="shared" si="8"/>
        <v>75</v>
      </c>
      <c r="M80" s="277" t="s">
        <v>473</v>
      </c>
      <c r="N80" s="277" t="s">
        <v>446</v>
      </c>
      <c r="O80" s="221" t="s">
        <v>448</v>
      </c>
      <c r="P80" s="221">
        <f t="shared" si="5"/>
        <v>0</v>
      </c>
      <c r="Q80" s="221">
        <f t="shared" si="6"/>
        <v>0</v>
      </c>
      <c r="R80" s="221">
        <f t="shared" si="7"/>
        <v>0</v>
      </c>
    </row>
    <row r="81" spans="3:18">
      <c r="C81" s="221"/>
      <c r="J81" t="s">
        <v>571</v>
      </c>
      <c r="L81" s="279">
        <f t="shared" si="8"/>
        <v>76</v>
      </c>
      <c r="M81" s="277" t="s">
        <v>457</v>
      </c>
      <c r="N81" s="277" t="s">
        <v>476</v>
      </c>
      <c r="O81" s="221" t="s">
        <v>443</v>
      </c>
      <c r="P81" s="221">
        <f t="shared" si="5"/>
        <v>0</v>
      </c>
      <c r="Q81" s="221">
        <f t="shared" si="6"/>
        <v>0</v>
      </c>
      <c r="R81" s="221">
        <f t="shared" si="7"/>
        <v>0</v>
      </c>
    </row>
    <row r="82" spans="3:18">
      <c r="C82" s="277"/>
      <c r="J82" t="s">
        <v>572</v>
      </c>
      <c r="L82" s="279">
        <f t="shared" si="8"/>
        <v>77</v>
      </c>
      <c r="M82" s="277" t="s">
        <v>443</v>
      </c>
      <c r="N82" s="277" t="s">
        <v>478</v>
      </c>
      <c r="O82" s="221" t="s">
        <v>442</v>
      </c>
      <c r="P82" s="221">
        <f t="shared" si="5"/>
        <v>0</v>
      </c>
      <c r="Q82" s="221">
        <f t="shared" si="6"/>
        <v>0</v>
      </c>
      <c r="R82" s="221">
        <f t="shared" si="7"/>
        <v>0</v>
      </c>
    </row>
    <row r="83" spans="3:18">
      <c r="C83" s="277"/>
      <c r="J83" t="s">
        <v>573</v>
      </c>
      <c r="L83" s="279">
        <f t="shared" si="8"/>
        <v>78</v>
      </c>
      <c r="M83" s="277" t="s">
        <v>452</v>
      </c>
      <c r="N83" s="277" t="s">
        <v>443</v>
      </c>
      <c r="O83" s="221" t="s">
        <v>478</v>
      </c>
      <c r="P83" s="221">
        <f t="shared" si="5"/>
        <v>0</v>
      </c>
      <c r="Q83" s="221">
        <f t="shared" si="6"/>
        <v>0</v>
      </c>
      <c r="R83" s="221">
        <f t="shared" si="7"/>
        <v>0</v>
      </c>
    </row>
    <row r="84" spans="3:18">
      <c r="C84" s="277"/>
      <c r="J84" t="s">
        <v>574</v>
      </c>
      <c r="L84" s="279">
        <f t="shared" si="8"/>
        <v>79</v>
      </c>
      <c r="M84" s="277" t="s">
        <v>474</v>
      </c>
      <c r="N84" s="277" t="s">
        <v>483</v>
      </c>
      <c r="O84" s="221" t="s">
        <v>457</v>
      </c>
      <c r="P84" s="221">
        <f t="shared" si="5"/>
        <v>0</v>
      </c>
      <c r="Q84" s="221">
        <f t="shared" si="6"/>
        <v>0</v>
      </c>
      <c r="R84" s="221">
        <f t="shared" si="7"/>
        <v>0</v>
      </c>
    </row>
    <row r="85" spans="3:18">
      <c r="C85" s="277"/>
      <c r="J85" t="s">
        <v>575</v>
      </c>
      <c r="L85" s="279">
        <f t="shared" si="8"/>
        <v>80</v>
      </c>
      <c r="M85" s="277" t="s">
        <v>452</v>
      </c>
      <c r="N85" s="277" t="s">
        <v>469</v>
      </c>
      <c r="O85" s="221" t="s">
        <v>513</v>
      </c>
      <c r="P85" s="221">
        <f t="shared" si="5"/>
        <v>0</v>
      </c>
      <c r="Q85" s="221">
        <f t="shared" si="6"/>
        <v>0</v>
      </c>
      <c r="R85" s="221">
        <f t="shared" si="7"/>
        <v>0</v>
      </c>
    </row>
    <row r="86" spans="3:18">
      <c r="C86" s="277"/>
      <c r="J86" t="s">
        <v>576</v>
      </c>
      <c r="L86" s="279">
        <f t="shared" si="8"/>
        <v>81</v>
      </c>
      <c r="M86" s="277" t="s">
        <v>443</v>
      </c>
      <c r="N86" s="277" t="s">
        <v>443</v>
      </c>
      <c r="O86" s="221" t="s">
        <v>443</v>
      </c>
      <c r="P86" s="221">
        <f t="shared" si="5"/>
        <v>0</v>
      </c>
      <c r="Q86" s="221">
        <f t="shared" si="6"/>
        <v>0</v>
      </c>
      <c r="R86" s="221">
        <f t="shared" si="7"/>
        <v>0</v>
      </c>
    </row>
    <row r="87" spans="3:18">
      <c r="C87" s="277"/>
      <c r="J87" t="s">
        <v>447</v>
      </c>
      <c r="L87" s="279">
        <f t="shared" si="8"/>
        <v>82</v>
      </c>
      <c r="M87" s="277" t="s">
        <v>475</v>
      </c>
      <c r="N87" s="277" t="s">
        <v>443</v>
      </c>
      <c r="O87" s="221" t="s">
        <v>443</v>
      </c>
      <c r="P87" s="221">
        <f t="shared" si="5"/>
        <v>0</v>
      </c>
      <c r="Q87" s="221">
        <f t="shared" si="6"/>
        <v>0</v>
      </c>
      <c r="R87" s="221">
        <f t="shared" si="7"/>
        <v>0</v>
      </c>
    </row>
    <row r="88" spans="3:18">
      <c r="C88" s="277"/>
      <c r="J88" t="s">
        <v>577</v>
      </c>
      <c r="L88" s="279">
        <f t="shared" si="8"/>
        <v>83</v>
      </c>
      <c r="M88" s="277" t="s">
        <v>212</v>
      </c>
      <c r="N88" s="277" t="s">
        <v>443</v>
      </c>
      <c r="O88" s="221" t="s">
        <v>504</v>
      </c>
      <c r="P88" s="221">
        <f t="shared" si="5"/>
        <v>0</v>
      </c>
      <c r="Q88" s="221">
        <f t="shared" si="6"/>
        <v>0</v>
      </c>
      <c r="R88" s="221">
        <f t="shared" si="7"/>
        <v>0</v>
      </c>
    </row>
    <row r="89" spans="3:18">
      <c r="C89" s="277"/>
      <c r="J89" t="s">
        <v>499</v>
      </c>
      <c r="L89" s="279">
        <f t="shared" si="8"/>
        <v>84</v>
      </c>
      <c r="M89" s="277" t="s">
        <v>447</v>
      </c>
      <c r="N89" s="277" t="s">
        <v>443</v>
      </c>
      <c r="O89" s="221" t="s">
        <v>450</v>
      </c>
      <c r="P89" s="221">
        <f t="shared" si="5"/>
        <v>0</v>
      </c>
      <c r="Q89" s="221">
        <f t="shared" si="6"/>
        <v>0</v>
      </c>
      <c r="R89" s="221">
        <f t="shared" si="7"/>
        <v>0</v>
      </c>
    </row>
    <row r="90" spans="3:18">
      <c r="C90" s="277"/>
      <c r="J90" t="s">
        <v>578</v>
      </c>
      <c r="L90" s="279">
        <f t="shared" si="8"/>
        <v>85</v>
      </c>
      <c r="M90" s="277" t="s">
        <v>454</v>
      </c>
      <c r="N90" s="277" t="s">
        <v>212</v>
      </c>
      <c r="O90" s="221" t="s">
        <v>443</v>
      </c>
      <c r="P90" s="221">
        <f t="shared" si="5"/>
        <v>0</v>
      </c>
      <c r="Q90" s="221">
        <f t="shared" si="6"/>
        <v>0</v>
      </c>
      <c r="R90" s="221">
        <f t="shared" si="7"/>
        <v>0</v>
      </c>
    </row>
    <row r="91" spans="3:18">
      <c r="C91" s="277"/>
      <c r="J91" t="s">
        <v>579</v>
      </c>
      <c r="L91" s="279">
        <f t="shared" si="8"/>
        <v>86</v>
      </c>
      <c r="M91" s="277" t="s">
        <v>476</v>
      </c>
      <c r="N91" s="277" t="s">
        <v>454</v>
      </c>
      <c r="O91" s="221" t="s">
        <v>478</v>
      </c>
      <c r="P91" s="221">
        <f t="shared" si="5"/>
        <v>0</v>
      </c>
      <c r="Q91" s="221">
        <f t="shared" si="6"/>
        <v>0</v>
      </c>
      <c r="R91" s="221">
        <f t="shared" si="7"/>
        <v>0</v>
      </c>
    </row>
    <row r="92" spans="3:18">
      <c r="C92" s="277"/>
      <c r="J92" t="s">
        <v>580</v>
      </c>
      <c r="L92" s="279">
        <f t="shared" si="8"/>
        <v>87</v>
      </c>
      <c r="M92" s="277" t="s">
        <v>443</v>
      </c>
      <c r="N92" s="277" t="s">
        <v>451</v>
      </c>
      <c r="O92" s="221" t="s">
        <v>506</v>
      </c>
      <c r="P92" s="221">
        <f t="shared" si="5"/>
        <v>0</v>
      </c>
      <c r="Q92" s="221">
        <f t="shared" si="6"/>
        <v>0</v>
      </c>
      <c r="R92" s="221">
        <f t="shared" si="7"/>
        <v>0</v>
      </c>
    </row>
    <row r="93" spans="3:18">
      <c r="C93" s="277"/>
      <c r="J93" t="s">
        <v>581</v>
      </c>
      <c r="L93" s="279">
        <f t="shared" si="8"/>
        <v>88</v>
      </c>
      <c r="M93" s="277" t="s">
        <v>448</v>
      </c>
      <c r="N93" s="277" t="s">
        <v>212</v>
      </c>
      <c r="O93" s="221" t="s">
        <v>455</v>
      </c>
      <c r="P93" s="221">
        <f t="shared" si="5"/>
        <v>1</v>
      </c>
      <c r="Q93" s="221">
        <f t="shared" si="6"/>
        <v>1</v>
      </c>
      <c r="R93" s="221">
        <f t="shared" si="7"/>
        <v>1</v>
      </c>
    </row>
    <row r="94" spans="3:18">
      <c r="C94" s="277"/>
      <c r="J94" t="s">
        <v>582</v>
      </c>
      <c r="L94" s="279">
        <f t="shared" si="8"/>
        <v>89</v>
      </c>
      <c r="M94" s="277" t="s">
        <v>477</v>
      </c>
      <c r="N94" s="277" t="s">
        <v>453</v>
      </c>
      <c r="O94" s="221" t="s">
        <v>443</v>
      </c>
      <c r="P94" s="221">
        <f t="shared" si="5"/>
        <v>0</v>
      </c>
      <c r="Q94" s="221">
        <f t="shared" si="6"/>
        <v>0</v>
      </c>
      <c r="R94" s="221">
        <f t="shared" si="7"/>
        <v>0</v>
      </c>
    </row>
    <row r="95" spans="3:18">
      <c r="C95" s="277"/>
      <c r="J95" t="s">
        <v>583</v>
      </c>
      <c r="L95" s="279">
        <f t="shared" si="8"/>
        <v>90</v>
      </c>
      <c r="M95" s="277" t="s">
        <v>443</v>
      </c>
      <c r="N95" s="277" t="s">
        <v>466</v>
      </c>
      <c r="O95" s="221" t="s">
        <v>470</v>
      </c>
      <c r="P95" s="221">
        <f t="shared" si="5"/>
        <v>0</v>
      </c>
      <c r="Q95" s="221">
        <f t="shared" si="6"/>
        <v>0</v>
      </c>
      <c r="R95" s="221">
        <f t="shared" si="7"/>
        <v>0</v>
      </c>
    </row>
    <row r="96" spans="3:18">
      <c r="C96" s="277"/>
      <c r="J96" t="s">
        <v>449</v>
      </c>
      <c r="L96" s="279">
        <f t="shared" si="8"/>
        <v>91</v>
      </c>
      <c r="M96" s="277" t="s">
        <v>448</v>
      </c>
      <c r="N96" s="277" t="s">
        <v>457</v>
      </c>
      <c r="O96" s="221" t="s">
        <v>510</v>
      </c>
      <c r="P96" s="221">
        <f t="shared" si="5"/>
        <v>0</v>
      </c>
      <c r="Q96" s="221">
        <f t="shared" si="6"/>
        <v>0</v>
      </c>
      <c r="R96" s="221">
        <f t="shared" si="7"/>
        <v>0</v>
      </c>
    </row>
    <row r="97" spans="3:18">
      <c r="C97" s="277"/>
      <c r="J97" t="s">
        <v>476</v>
      </c>
      <c r="L97" s="279">
        <f t="shared" si="8"/>
        <v>92</v>
      </c>
      <c r="M97" s="277" t="s">
        <v>443</v>
      </c>
      <c r="N97" s="277" t="s">
        <v>502</v>
      </c>
      <c r="O97" s="221" t="s">
        <v>443</v>
      </c>
      <c r="P97" s="221">
        <f t="shared" si="5"/>
        <v>0</v>
      </c>
      <c r="Q97" s="221">
        <f t="shared" si="6"/>
        <v>0</v>
      </c>
      <c r="R97" s="221">
        <f t="shared" si="7"/>
        <v>0</v>
      </c>
    </row>
    <row r="98" spans="3:18">
      <c r="C98" s="277"/>
      <c r="J98" t="s">
        <v>584</v>
      </c>
      <c r="L98" s="279">
        <f t="shared" si="8"/>
        <v>93</v>
      </c>
      <c r="M98" s="277" t="s">
        <v>99</v>
      </c>
      <c r="N98" s="277" t="s">
        <v>455</v>
      </c>
      <c r="O98" s="221" t="s">
        <v>458</v>
      </c>
      <c r="P98" s="221">
        <f t="shared" si="5"/>
        <v>1</v>
      </c>
      <c r="Q98" s="221">
        <f t="shared" si="6"/>
        <v>1</v>
      </c>
      <c r="R98" s="221">
        <f t="shared" si="7"/>
        <v>2</v>
      </c>
    </row>
    <row r="99" spans="3:18">
      <c r="C99" s="277"/>
      <c r="J99" t="s">
        <v>461</v>
      </c>
      <c r="L99" s="279">
        <f t="shared" si="8"/>
        <v>94</v>
      </c>
      <c r="M99" s="277" t="s">
        <v>458</v>
      </c>
      <c r="N99" s="277" t="s">
        <v>450</v>
      </c>
      <c r="O99" s="221" t="s">
        <v>448</v>
      </c>
      <c r="P99" s="221">
        <f t="shared" si="5"/>
        <v>0</v>
      </c>
      <c r="Q99" s="221">
        <f t="shared" si="6"/>
        <v>0</v>
      </c>
      <c r="R99" s="221">
        <f t="shared" si="7"/>
        <v>0</v>
      </c>
    </row>
    <row r="100" spans="3:18">
      <c r="C100" s="277"/>
      <c r="J100" t="s">
        <v>448</v>
      </c>
      <c r="L100" s="279">
        <f t="shared" si="8"/>
        <v>95</v>
      </c>
      <c r="M100" s="277" t="s">
        <v>457</v>
      </c>
      <c r="N100" s="277" t="s">
        <v>443</v>
      </c>
      <c r="O100" s="221" t="s">
        <v>458</v>
      </c>
      <c r="P100" s="221">
        <f t="shared" si="5"/>
        <v>0</v>
      </c>
      <c r="Q100" s="221">
        <f t="shared" si="6"/>
        <v>0</v>
      </c>
      <c r="R100" s="221">
        <f t="shared" si="7"/>
        <v>0</v>
      </c>
    </row>
    <row r="101" spans="3:18">
      <c r="C101" s="277"/>
      <c r="J101" t="s">
        <v>492</v>
      </c>
      <c r="L101" s="279">
        <f t="shared" si="8"/>
        <v>96</v>
      </c>
      <c r="M101" s="277" t="s">
        <v>443</v>
      </c>
      <c r="N101" s="277" t="s">
        <v>443</v>
      </c>
      <c r="O101" s="221" t="s">
        <v>443</v>
      </c>
      <c r="P101" s="221">
        <f t="shared" si="5"/>
        <v>0</v>
      </c>
      <c r="Q101" s="221">
        <f t="shared" si="6"/>
        <v>0</v>
      </c>
      <c r="R101" s="221">
        <f t="shared" si="7"/>
        <v>0</v>
      </c>
    </row>
    <row r="102" spans="3:18">
      <c r="C102" s="277"/>
      <c r="J102" t="s">
        <v>478</v>
      </c>
      <c r="N102" s="277"/>
      <c r="O102" s="221"/>
    </row>
    <row r="103" spans="3:18">
      <c r="C103" s="277"/>
      <c r="J103" t="s">
        <v>585</v>
      </c>
      <c r="O103" s="221"/>
    </row>
    <row r="104" spans="3:18">
      <c r="C104" s="277"/>
      <c r="J104" t="s">
        <v>586</v>
      </c>
      <c r="O104" s="221"/>
    </row>
    <row r="105" spans="3:18">
      <c r="C105" s="277"/>
      <c r="J105" t="s">
        <v>587</v>
      </c>
      <c r="O105" s="221"/>
    </row>
    <row r="106" spans="3:18">
      <c r="C106" s="277"/>
      <c r="J106" t="s">
        <v>463</v>
      </c>
      <c r="O106" s="221"/>
    </row>
    <row r="107" spans="3:18">
      <c r="C107" s="277"/>
      <c r="J107" t="s">
        <v>510</v>
      </c>
      <c r="O107" s="221"/>
    </row>
    <row r="108" spans="3:18">
      <c r="C108" s="277"/>
      <c r="J108" t="s">
        <v>588</v>
      </c>
      <c r="O108" s="221"/>
    </row>
    <row r="109" spans="3:18">
      <c r="C109" s="277"/>
      <c r="J109" t="s">
        <v>589</v>
      </c>
      <c r="O109" s="221"/>
    </row>
    <row r="110" spans="3:18">
      <c r="C110" s="277"/>
      <c r="J110" t="s">
        <v>590</v>
      </c>
      <c r="O110" s="221"/>
    </row>
    <row r="111" spans="3:18">
      <c r="C111" s="277"/>
      <c r="J111" t="s">
        <v>511</v>
      </c>
      <c r="O111" s="221"/>
    </row>
    <row r="112" spans="3:18">
      <c r="C112" s="277"/>
      <c r="J112" t="s">
        <v>591</v>
      </c>
      <c r="O112" s="221"/>
    </row>
    <row r="113" spans="3:15">
      <c r="C113" s="277"/>
      <c r="J113" t="s">
        <v>462</v>
      </c>
      <c r="O113" s="221"/>
    </row>
    <row r="114" spans="3:15">
      <c r="C114" s="277"/>
      <c r="J114" t="s">
        <v>592</v>
      </c>
      <c r="O114" s="221"/>
    </row>
    <row r="115" spans="3:15">
      <c r="C115" s="277"/>
      <c r="J115" t="s">
        <v>494</v>
      </c>
      <c r="O115" s="221"/>
    </row>
    <row r="116" spans="3:15">
      <c r="C116" s="277"/>
      <c r="J116" t="s">
        <v>466</v>
      </c>
      <c r="O116" s="221"/>
    </row>
    <row r="117" spans="3:15">
      <c r="C117" s="277"/>
      <c r="J117" t="s">
        <v>593</v>
      </c>
      <c r="O117" s="221"/>
    </row>
    <row r="118" spans="3:15">
      <c r="C118" s="221"/>
      <c r="J118" t="s">
        <v>515</v>
      </c>
      <c r="O118" s="221"/>
    </row>
    <row r="119" spans="3:15">
      <c r="C119" s="277"/>
      <c r="J119" t="s">
        <v>594</v>
      </c>
      <c r="O119" s="221"/>
    </row>
    <row r="120" spans="3:15">
      <c r="C120" s="277"/>
      <c r="J120" t="s">
        <v>595</v>
      </c>
      <c r="O120" s="221"/>
    </row>
    <row r="121" spans="3:15">
      <c r="C121" s="277"/>
      <c r="J121" t="s">
        <v>451</v>
      </c>
      <c r="O121" s="221"/>
    </row>
    <row r="122" spans="3:15">
      <c r="C122" s="277"/>
      <c r="J122" t="s">
        <v>596</v>
      </c>
      <c r="O122" s="221"/>
    </row>
    <row r="123" spans="3:15">
      <c r="C123" s="277"/>
      <c r="J123" t="s">
        <v>597</v>
      </c>
      <c r="O123" s="221"/>
    </row>
    <row r="124" spans="3:15">
      <c r="C124" s="277"/>
      <c r="J124" t="s">
        <v>469</v>
      </c>
      <c r="O124" s="221"/>
    </row>
    <row r="125" spans="3:15">
      <c r="C125" s="277"/>
      <c r="J125" t="s">
        <v>598</v>
      </c>
      <c r="O125" s="221"/>
    </row>
    <row r="126" spans="3:15">
      <c r="C126" s="277"/>
      <c r="J126" t="s">
        <v>599</v>
      </c>
      <c r="O126" s="221"/>
    </row>
    <row r="127" spans="3:15">
      <c r="C127" s="277"/>
      <c r="J127" t="s">
        <v>600</v>
      </c>
      <c r="O127" s="221"/>
    </row>
    <row r="128" spans="3:15">
      <c r="C128" s="277"/>
      <c r="J128" t="s">
        <v>601</v>
      </c>
      <c r="O128" s="221"/>
    </row>
    <row r="129" spans="3:15">
      <c r="C129" s="277"/>
      <c r="J129" t="s">
        <v>602</v>
      </c>
      <c r="O129" s="221"/>
    </row>
    <row r="130" spans="3:15">
      <c r="C130" s="277"/>
      <c r="J130" t="s">
        <v>603</v>
      </c>
      <c r="O130" s="221"/>
    </row>
    <row r="131" spans="3:15">
      <c r="C131" s="277"/>
      <c r="J131" t="s">
        <v>604</v>
      </c>
      <c r="O131" s="221"/>
    </row>
    <row r="132" spans="3:15">
      <c r="C132" s="277"/>
      <c r="J132" t="s">
        <v>605</v>
      </c>
      <c r="O132" s="221"/>
    </row>
    <row r="133" spans="3:15">
      <c r="C133" s="277"/>
      <c r="J133" t="s">
        <v>606</v>
      </c>
      <c r="O133" s="221"/>
    </row>
    <row r="134" spans="3:15">
      <c r="C134" s="277"/>
      <c r="J134" t="s">
        <v>607</v>
      </c>
      <c r="O134" s="221"/>
    </row>
    <row r="135" spans="3:15">
      <c r="C135" s="277"/>
      <c r="J135" t="s">
        <v>514</v>
      </c>
      <c r="O135" s="221"/>
    </row>
    <row r="136" spans="3:15">
      <c r="C136" s="277"/>
      <c r="J136" t="s">
        <v>488</v>
      </c>
      <c r="O136" s="221"/>
    </row>
    <row r="137" spans="3:15">
      <c r="C137" s="277"/>
      <c r="J137" t="s">
        <v>498</v>
      </c>
      <c r="O137" s="221"/>
    </row>
    <row r="138" spans="3:15">
      <c r="C138" s="277"/>
      <c r="J138" t="s">
        <v>608</v>
      </c>
      <c r="O138" s="221"/>
    </row>
    <row r="139" spans="3:15">
      <c r="C139" s="277"/>
      <c r="J139" t="s">
        <v>609</v>
      </c>
      <c r="O139" s="221"/>
    </row>
    <row r="140" spans="3:15">
      <c r="C140" s="277"/>
      <c r="J140" t="s">
        <v>610</v>
      </c>
      <c r="O140" s="221"/>
    </row>
    <row r="141" spans="3:15">
      <c r="C141" s="277"/>
      <c r="J141" t="s">
        <v>611</v>
      </c>
      <c r="O141" s="221"/>
    </row>
    <row r="142" spans="3:15">
      <c r="C142" s="221"/>
      <c r="J142" t="s">
        <v>612</v>
      </c>
      <c r="O142" s="221"/>
    </row>
    <row r="143" spans="3:15">
      <c r="C143" s="221"/>
      <c r="J143" t="s">
        <v>613</v>
      </c>
      <c r="O143" s="221"/>
    </row>
    <row r="144" spans="3:15">
      <c r="C144" s="221"/>
      <c r="J144" t="s">
        <v>614</v>
      </c>
      <c r="O144" s="221"/>
    </row>
    <row r="145" spans="3:15">
      <c r="C145" s="221"/>
      <c r="J145" t="s">
        <v>615</v>
      </c>
      <c r="O145" s="221"/>
    </row>
    <row r="146" spans="3:15">
      <c r="C146" s="221"/>
      <c r="J146" t="s">
        <v>616</v>
      </c>
      <c r="O146" s="221"/>
    </row>
    <row r="147" spans="3:15">
      <c r="C147" s="221"/>
      <c r="J147" t="s">
        <v>617</v>
      </c>
      <c r="O147" s="221"/>
    </row>
    <row r="148" spans="3:15">
      <c r="C148" s="221"/>
      <c r="J148" t="s">
        <v>618</v>
      </c>
      <c r="O148" s="221"/>
    </row>
    <row r="149" spans="3:15">
      <c r="C149" s="221"/>
      <c r="J149" t="s">
        <v>619</v>
      </c>
      <c r="O149" s="221"/>
    </row>
    <row r="150" spans="3:15">
      <c r="C150" s="221"/>
      <c r="J150" t="s">
        <v>620</v>
      </c>
      <c r="O150" s="221"/>
    </row>
    <row r="151" spans="3:15">
      <c r="C151" s="221"/>
      <c r="J151" t="s">
        <v>621</v>
      </c>
      <c r="O151" s="221"/>
    </row>
    <row r="152" spans="3:15">
      <c r="C152" s="221"/>
      <c r="J152" t="s">
        <v>622</v>
      </c>
      <c r="O152" s="221"/>
    </row>
    <row r="153" spans="3:15">
      <c r="C153" s="221"/>
      <c r="J153" t="s">
        <v>623</v>
      </c>
      <c r="O153" s="221"/>
    </row>
    <row r="154" spans="3:15">
      <c r="C154" s="221"/>
      <c r="J154" t="s">
        <v>468</v>
      </c>
      <c r="O154" s="221"/>
    </row>
    <row r="155" spans="3:15">
      <c r="C155" s="221"/>
      <c r="J155" t="s">
        <v>212</v>
      </c>
      <c r="O155" s="221"/>
    </row>
    <row r="156" spans="3:15">
      <c r="J156" t="s">
        <v>503</v>
      </c>
      <c r="O156" s="221"/>
    </row>
    <row r="157" spans="3:15">
      <c r="J157" t="s">
        <v>624</v>
      </c>
      <c r="O157" s="221"/>
    </row>
    <row r="158" spans="3:15">
      <c r="J158" t="s">
        <v>625</v>
      </c>
      <c r="O158" s="221"/>
    </row>
    <row r="159" spans="3:15">
      <c r="J159" t="s">
        <v>626</v>
      </c>
      <c r="O159" s="221"/>
    </row>
    <row r="160" spans="3:15">
      <c r="J160" t="s">
        <v>627</v>
      </c>
      <c r="O160" s="221"/>
    </row>
    <row r="161" spans="10:15">
      <c r="J161" t="s">
        <v>628</v>
      </c>
      <c r="O161" s="221"/>
    </row>
    <row r="162" spans="10:15">
      <c r="J162" t="s">
        <v>506</v>
      </c>
      <c r="O162" s="221"/>
    </row>
    <row r="163" spans="10:15">
      <c r="J163" t="s">
        <v>512</v>
      </c>
      <c r="O163" s="221"/>
    </row>
    <row r="164" spans="10:15">
      <c r="J164" t="s">
        <v>629</v>
      </c>
      <c r="O164" s="221"/>
    </row>
    <row r="165" spans="10:15">
      <c r="J165" t="s">
        <v>465</v>
      </c>
      <c r="O165" s="221"/>
    </row>
    <row r="166" spans="10:15">
      <c r="J166" t="s">
        <v>497</v>
      </c>
      <c r="O166" s="221"/>
    </row>
    <row r="167" spans="10:15">
      <c r="J167" t="s">
        <v>630</v>
      </c>
      <c r="O167" s="221"/>
    </row>
    <row r="168" spans="10:15">
      <c r="J168" t="s">
        <v>631</v>
      </c>
      <c r="O168" s="221"/>
    </row>
    <row r="169" spans="10:15">
      <c r="J169" t="s">
        <v>632</v>
      </c>
      <c r="O169" s="221"/>
    </row>
    <row r="170" spans="10:15">
      <c r="J170" t="s">
        <v>633</v>
      </c>
      <c r="O170" s="221"/>
    </row>
    <row r="171" spans="10:15">
      <c r="J171" t="s">
        <v>460</v>
      </c>
      <c r="O171" s="221"/>
    </row>
    <row r="172" spans="10:15">
      <c r="J172" t="s">
        <v>489</v>
      </c>
      <c r="O172" s="221"/>
    </row>
    <row r="173" spans="10:15">
      <c r="J173" t="s">
        <v>634</v>
      </c>
      <c r="O173" s="221"/>
    </row>
    <row r="174" spans="10:15">
      <c r="J174" t="s">
        <v>635</v>
      </c>
      <c r="O174" s="221"/>
    </row>
    <row r="175" spans="10:15">
      <c r="J175" t="s">
        <v>450</v>
      </c>
      <c r="O175" s="221"/>
    </row>
    <row r="176" spans="10:15">
      <c r="J176" t="s">
        <v>470</v>
      </c>
      <c r="O176" s="221"/>
    </row>
    <row r="177" spans="10:15">
      <c r="J177" t="s">
        <v>453</v>
      </c>
      <c r="O177" s="221"/>
    </row>
    <row r="178" spans="10:15">
      <c r="J178" t="s">
        <v>636</v>
      </c>
      <c r="O178" s="221"/>
    </row>
    <row r="179" spans="10:15">
      <c r="J179" t="s">
        <v>637</v>
      </c>
      <c r="O179" s="221"/>
    </row>
    <row r="180" spans="10:15">
      <c r="J180" t="s">
        <v>638</v>
      </c>
      <c r="O180" s="221"/>
    </row>
    <row r="181" spans="10:15">
      <c r="J181" t="s">
        <v>639</v>
      </c>
      <c r="O181" s="221"/>
    </row>
    <row r="182" spans="10:15">
      <c r="J182" t="s">
        <v>446</v>
      </c>
      <c r="O182" s="221"/>
    </row>
    <row r="183" spans="10:15">
      <c r="J183" t="s">
        <v>640</v>
      </c>
      <c r="O183" s="221"/>
    </row>
    <row r="184" spans="10:15">
      <c r="J184" t="s">
        <v>641</v>
      </c>
      <c r="O184" s="221"/>
    </row>
    <row r="185" spans="10:15">
      <c r="J185" t="s">
        <v>642</v>
      </c>
      <c r="O185" s="221"/>
    </row>
    <row r="186" spans="10:15">
      <c r="J186" t="s">
        <v>643</v>
      </c>
      <c r="O186" s="221"/>
    </row>
    <row r="187" spans="10:15">
      <c r="J187" t="s">
        <v>644</v>
      </c>
      <c r="O187" s="221"/>
    </row>
    <row r="188" spans="10:15">
      <c r="J188" t="s">
        <v>493</v>
      </c>
      <c r="O188" s="221"/>
    </row>
    <row r="189" spans="10:15">
      <c r="J189" t="s">
        <v>452</v>
      </c>
      <c r="O189" s="221"/>
    </row>
    <row r="190" spans="10:15">
      <c r="J190" t="s">
        <v>645</v>
      </c>
      <c r="O190" s="221"/>
    </row>
    <row r="191" spans="10:15">
      <c r="J191" t="s">
        <v>496</v>
      </c>
      <c r="O191" s="221"/>
    </row>
    <row r="192" spans="10:15">
      <c r="J192" t="s">
        <v>646</v>
      </c>
      <c r="O192" s="221"/>
    </row>
    <row r="193" spans="10:15">
      <c r="J193" t="s">
        <v>647</v>
      </c>
      <c r="O193" s="221"/>
    </row>
    <row r="194" spans="10:15">
      <c r="J194" t="s">
        <v>648</v>
      </c>
      <c r="O194" s="221"/>
    </row>
    <row r="195" spans="10:15">
      <c r="J195" t="s">
        <v>458</v>
      </c>
      <c r="O195" s="221"/>
    </row>
    <row r="196" spans="10:15">
      <c r="J196" t="s">
        <v>649</v>
      </c>
      <c r="O196" s="221"/>
    </row>
    <row r="197" spans="10:15">
      <c r="J197" t="s">
        <v>650</v>
      </c>
      <c r="O197" s="221"/>
    </row>
    <row r="198" spans="10:15">
      <c r="J198" t="s">
        <v>513</v>
      </c>
      <c r="O198" s="221"/>
    </row>
    <row r="199" spans="10:15">
      <c r="J199" t="s">
        <v>651</v>
      </c>
      <c r="O199" s="221"/>
    </row>
    <row r="200" spans="10:15">
      <c r="J200" t="s">
        <v>652</v>
      </c>
      <c r="O200" s="221"/>
    </row>
    <row r="201" spans="10:15">
      <c r="J201" t="s">
        <v>505</v>
      </c>
      <c r="O201" s="221"/>
    </row>
    <row r="202" spans="10:15">
      <c r="J202" t="s">
        <v>653</v>
      </c>
      <c r="O202" s="221"/>
    </row>
    <row r="203" spans="10:15">
      <c r="J203" t="s">
        <v>654</v>
      </c>
      <c r="O203" s="221"/>
    </row>
    <row r="204" spans="10:15">
      <c r="J204" t="s">
        <v>495</v>
      </c>
      <c r="O204" s="221"/>
    </row>
    <row r="205" spans="10:15">
      <c r="J205" t="s">
        <v>655</v>
      </c>
      <c r="O205" s="221"/>
    </row>
    <row r="206" spans="10:15">
      <c r="J206" t="s">
        <v>656</v>
      </c>
      <c r="O206" s="221"/>
    </row>
    <row r="207" spans="10:15">
      <c r="J207" t="s">
        <v>508</v>
      </c>
      <c r="O207" s="221"/>
    </row>
    <row r="208" spans="10:15">
      <c r="J208" t="s">
        <v>500</v>
      </c>
      <c r="O208" s="221"/>
    </row>
    <row r="209" spans="10:15">
      <c r="J209" t="s">
        <v>657</v>
      </c>
      <c r="O209" s="221"/>
    </row>
    <row r="210" spans="10:15">
      <c r="J210" t="s">
        <v>658</v>
      </c>
      <c r="O210" s="221"/>
    </row>
    <row r="211" spans="10:15">
      <c r="J211" t="s">
        <v>659</v>
      </c>
      <c r="O211" s="221"/>
    </row>
    <row r="212" spans="10:15">
      <c r="J212" t="s">
        <v>660</v>
      </c>
      <c r="O212" s="221"/>
    </row>
    <row r="213" spans="10:15">
      <c r="J213" t="s">
        <v>661</v>
      </c>
      <c r="O213" s="221"/>
    </row>
    <row r="214" spans="10:15">
      <c r="J214" t="s">
        <v>442</v>
      </c>
      <c r="O214" s="221"/>
    </row>
    <row r="215" spans="10:15">
      <c r="J215" t="s">
        <v>662</v>
      </c>
      <c r="O215" s="221"/>
    </row>
    <row r="216" spans="10:15">
      <c r="J216" t="s">
        <v>663</v>
      </c>
      <c r="O216" s="221"/>
    </row>
    <row r="217" spans="10:15">
      <c r="J217" t="s">
        <v>664</v>
      </c>
      <c r="O217" s="221"/>
    </row>
    <row r="218" spans="10:15">
      <c r="J218" t="s">
        <v>665</v>
      </c>
      <c r="O218" s="221"/>
    </row>
    <row r="219" spans="10:15">
      <c r="J219" t="s">
        <v>484</v>
      </c>
      <c r="O219" s="221"/>
    </row>
    <row r="220" spans="10:15">
      <c r="J220" t="s">
        <v>666</v>
      </c>
      <c r="O220" s="221"/>
    </row>
    <row r="221" spans="10:15">
      <c r="J221" t="s">
        <v>667</v>
      </c>
      <c r="O221" s="221"/>
    </row>
    <row r="222" spans="10:15">
      <c r="J222" t="s">
        <v>668</v>
      </c>
      <c r="O222" s="221"/>
    </row>
    <row r="223" spans="10:15">
      <c r="J223" t="s">
        <v>669</v>
      </c>
      <c r="O223" s="221"/>
    </row>
    <row r="224" spans="10:15">
      <c r="J224" t="s">
        <v>670</v>
      </c>
      <c r="O224" s="221"/>
    </row>
    <row r="225" spans="10:15">
      <c r="J225" t="s">
        <v>504</v>
      </c>
      <c r="O225" s="221"/>
    </row>
    <row r="226" spans="10:15">
      <c r="J226" t="s">
        <v>457</v>
      </c>
      <c r="O226" s="221"/>
    </row>
    <row r="227" spans="10:15">
      <c r="J227" t="s">
        <v>501</v>
      </c>
      <c r="O227" s="221"/>
    </row>
    <row r="228" spans="10:15">
      <c r="J228" t="s">
        <v>671</v>
      </c>
      <c r="O228" s="221"/>
    </row>
    <row r="229" spans="10:15">
      <c r="J229" t="s">
        <v>455</v>
      </c>
      <c r="O229" s="221"/>
    </row>
    <row r="230" spans="10:15">
      <c r="J230" t="s">
        <v>672</v>
      </c>
      <c r="O230" s="221"/>
    </row>
    <row r="231" spans="10:15">
      <c r="J231" t="s">
        <v>477</v>
      </c>
      <c r="O231" s="221"/>
    </row>
    <row r="232" spans="10:15">
      <c r="J232" t="s">
        <v>673</v>
      </c>
      <c r="O232" s="221"/>
    </row>
    <row r="233" spans="10:15">
      <c r="J233" t="s">
        <v>674</v>
      </c>
      <c r="O233" s="221"/>
    </row>
    <row r="234" spans="10:15">
      <c r="J234" t="s">
        <v>467</v>
      </c>
      <c r="O234" s="221"/>
    </row>
    <row r="235" spans="10:15">
      <c r="J235" t="s">
        <v>675</v>
      </c>
      <c r="O235" s="221"/>
    </row>
    <row r="236" spans="10:15">
      <c r="J236" t="s">
        <v>676</v>
      </c>
      <c r="O236" s="221"/>
    </row>
    <row r="237" spans="10:15">
      <c r="J237" t="s">
        <v>483</v>
      </c>
      <c r="O237" s="221"/>
    </row>
    <row r="238" spans="10:15">
      <c r="J238" t="s">
        <v>677</v>
      </c>
      <c r="O238" s="221"/>
    </row>
    <row r="239" spans="10:15">
      <c r="J239" t="s">
        <v>678</v>
      </c>
      <c r="O239" s="221"/>
    </row>
    <row r="240" spans="10:15">
      <c r="J240" t="s">
        <v>679</v>
      </c>
      <c r="O240" s="221"/>
    </row>
    <row r="241" spans="10:15">
      <c r="J241" t="s">
        <v>680</v>
      </c>
      <c r="O241" s="221"/>
    </row>
    <row r="242" spans="10:15">
      <c r="J242" t="s">
        <v>681</v>
      </c>
      <c r="O242" s="221"/>
    </row>
    <row r="243" spans="10:15">
      <c r="J243" t="s">
        <v>682</v>
      </c>
      <c r="O243" s="221"/>
    </row>
    <row r="244" spans="10:15">
      <c r="J244" t="s">
        <v>472</v>
      </c>
      <c r="O244" s="221"/>
    </row>
    <row r="245" spans="10:15">
      <c r="J245" t="s">
        <v>683</v>
      </c>
      <c r="O245" s="221"/>
    </row>
    <row r="246" spans="10:15">
      <c r="J246" t="s">
        <v>684</v>
      </c>
      <c r="O246" s="221"/>
    </row>
    <row r="247" spans="10:15">
      <c r="O247" s="221"/>
    </row>
    <row r="248" spans="10:15">
      <c r="O248" s="221"/>
    </row>
    <row r="249" spans="10:15">
      <c r="O249" s="221"/>
    </row>
    <row r="250" spans="10:15">
      <c r="O250" s="221"/>
    </row>
    <row r="251" spans="10:15">
      <c r="O251" s="221"/>
    </row>
    <row r="252" spans="10:15">
      <c r="O252" s="221"/>
    </row>
    <row r="253" spans="10:15">
      <c r="O253" s="221"/>
    </row>
    <row r="254" spans="10:15">
      <c r="O254" s="221"/>
    </row>
    <row r="255" spans="10:15">
      <c r="O255" s="221"/>
    </row>
    <row r="256" spans="10:15">
      <c r="O256" s="221"/>
    </row>
    <row r="257" spans="15:15">
      <c r="O257" s="221"/>
    </row>
    <row r="258" spans="15:15">
      <c r="O258" s="221"/>
    </row>
    <row r="259" spans="15:15">
      <c r="O259" s="221"/>
    </row>
    <row r="260" spans="15:15">
      <c r="O260" s="221"/>
    </row>
    <row r="261" spans="15:15">
      <c r="O261" s="221"/>
    </row>
    <row r="262" spans="15:15">
      <c r="O262" s="221"/>
    </row>
    <row r="263" spans="15:15">
      <c r="O263" s="221"/>
    </row>
    <row r="264" spans="15:15">
      <c r="O264" s="221"/>
    </row>
    <row r="265" spans="15:15">
      <c r="O265" s="221"/>
    </row>
    <row r="266" spans="15:15">
      <c r="O266" s="221"/>
    </row>
    <row r="267" spans="15:15">
      <c r="O267" s="221"/>
    </row>
    <row r="268" spans="15:15">
      <c r="O268" s="221"/>
    </row>
    <row r="269" spans="15:15">
      <c r="O269" s="221"/>
    </row>
    <row r="270" spans="15:15">
      <c r="O270" s="221"/>
    </row>
    <row r="271" spans="15:15">
      <c r="O271" s="221"/>
    </row>
    <row r="272" spans="15:15">
      <c r="O272" s="221"/>
    </row>
    <row r="273" spans="15:15">
      <c r="O273" s="221"/>
    </row>
    <row r="274" spans="15:15">
      <c r="O274" s="221"/>
    </row>
    <row r="275" spans="15:15">
      <c r="O275" s="221"/>
    </row>
    <row r="276" spans="15:15">
      <c r="O276" s="221"/>
    </row>
    <row r="277" spans="15:15">
      <c r="O277" s="221"/>
    </row>
    <row r="278" spans="15:15">
      <c r="O278" s="221"/>
    </row>
    <row r="279" spans="15:15">
      <c r="O279" s="221"/>
    </row>
    <row r="280" spans="15:15">
      <c r="O280" s="221"/>
    </row>
    <row r="281" spans="15:15">
      <c r="O281" s="221"/>
    </row>
    <row r="282" spans="15:15">
      <c r="O282" s="221"/>
    </row>
    <row r="283" spans="15:15">
      <c r="O283" s="221"/>
    </row>
    <row r="284" spans="15:15">
      <c r="O284" s="221"/>
    </row>
    <row r="285" spans="15:15">
      <c r="O285" s="221"/>
    </row>
    <row r="286" spans="15:15">
      <c r="O286" s="221"/>
    </row>
    <row r="287" spans="15:15">
      <c r="O287" s="221"/>
    </row>
    <row r="288" spans="15:15">
      <c r="O288" s="221"/>
    </row>
    <row r="289" spans="15:15">
      <c r="O289" s="221"/>
    </row>
    <row r="290" spans="15:15">
      <c r="O290" s="221"/>
    </row>
    <row r="291" spans="15:15">
      <c r="O291" s="221"/>
    </row>
    <row r="292" spans="15:15">
      <c r="O292" s="221"/>
    </row>
    <row r="293" spans="15:15">
      <c r="O293" s="221"/>
    </row>
    <row r="294" spans="15:15">
      <c r="O294" s="221"/>
    </row>
    <row r="295" spans="15:15">
      <c r="O295" s="221"/>
    </row>
    <row r="296" spans="15:15">
      <c r="O296" s="221"/>
    </row>
    <row r="297" spans="15:15">
      <c r="O297" s="221"/>
    </row>
    <row r="298" spans="15:15">
      <c r="O298" s="221"/>
    </row>
    <row r="299" spans="15:15">
      <c r="O299" s="221"/>
    </row>
    <row r="300" spans="15:15">
      <c r="O300" s="221"/>
    </row>
    <row r="301" spans="15:15">
      <c r="O301" s="221"/>
    </row>
    <row r="302" spans="15:15">
      <c r="O302" s="221"/>
    </row>
    <row r="303" spans="15:15">
      <c r="O303" s="221"/>
    </row>
    <row r="304" spans="15:15">
      <c r="O304" s="221"/>
    </row>
    <row r="305" spans="15:15">
      <c r="O305" s="221"/>
    </row>
    <row r="306" spans="15:15">
      <c r="O306" s="221"/>
    </row>
    <row r="307" spans="15:15">
      <c r="O307" s="221"/>
    </row>
    <row r="308" spans="15:15">
      <c r="O308" s="221"/>
    </row>
    <row r="309" spans="15:15">
      <c r="O309" s="221"/>
    </row>
    <row r="310" spans="15:15">
      <c r="O310" s="221"/>
    </row>
    <row r="311" spans="15:15">
      <c r="O311" s="221"/>
    </row>
    <row r="312" spans="15:15">
      <c r="O312" s="221"/>
    </row>
    <row r="313" spans="15:15">
      <c r="O313" s="221"/>
    </row>
    <row r="314" spans="15:15">
      <c r="O314" s="221"/>
    </row>
    <row r="315" spans="15:15">
      <c r="O315" s="221"/>
    </row>
    <row r="316" spans="15:15">
      <c r="O316" s="221"/>
    </row>
    <row r="317" spans="15:15">
      <c r="O317" s="221"/>
    </row>
    <row r="318" spans="15:15">
      <c r="O318" s="221"/>
    </row>
    <row r="319" spans="15:15">
      <c r="O319" s="221"/>
    </row>
    <row r="320" spans="15:15">
      <c r="O320" s="221"/>
    </row>
    <row r="321" spans="15:15">
      <c r="O321" s="221"/>
    </row>
    <row r="322" spans="15:15">
      <c r="O322" s="221"/>
    </row>
    <row r="323" spans="15:15">
      <c r="O323" s="221"/>
    </row>
    <row r="324" spans="15:15">
      <c r="O324" s="221"/>
    </row>
    <row r="325" spans="15:15">
      <c r="O325" s="221"/>
    </row>
    <row r="326" spans="15:15">
      <c r="O326" s="221"/>
    </row>
    <row r="327" spans="15:15">
      <c r="O327" s="221"/>
    </row>
    <row r="328" spans="15:15">
      <c r="O328" s="221"/>
    </row>
    <row r="329" spans="15:15">
      <c r="O329" s="221"/>
    </row>
    <row r="330" spans="15:15">
      <c r="O330" s="221"/>
    </row>
    <row r="331" spans="15:15">
      <c r="O331" s="221"/>
    </row>
    <row r="332" spans="15:15">
      <c r="O332" s="221"/>
    </row>
    <row r="333" spans="15:15">
      <c r="O333" s="221"/>
    </row>
    <row r="334" spans="15:15">
      <c r="O334" s="221"/>
    </row>
    <row r="335" spans="15:15">
      <c r="O335" s="221"/>
    </row>
    <row r="336" spans="15:15">
      <c r="O336" s="221"/>
    </row>
    <row r="337" spans="15:15">
      <c r="O337" s="221"/>
    </row>
    <row r="338" spans="15:15">
      <c r="O338" s="221"/>
    </row>
    <row r="339" spans="15:15">
      <c r="O339" s="221"/>
    </row>
    <row r="340" spans="15:15">
      <c r="O340" s="221"/>
    </row>
    <row r="341" spans="15:15">
      <c r="O341" s="221"/>
    </row>
    <row r="342" spans="15:15">
      <c r="O342" s="221"/>
    </row>
    <row r="343" spans="15:15">
      <c r="O343" s="221"/>
    </row>
    <row r="344" spans="15:15">
      <c r="O344" s="221"/>
    </row>
    <row r="345" spans="15:15">
      <c r="O345" s="221"/>
    </row>
    <row r="346" spans="15:15">
      <c r="O346" s="221"/>
    </row>
    <row r="347" spans="15:15">
      <c r="O347" s="221"/>
    </row>
    <row r="348" spans="15:15">
      <c r="O348" s="221"/>
    </row>
    <row r="349" spans="15:15">
      <c r="O349" s="221"/>
    </row>
    <row r="350" spans="15:15">
      <c r="O350" s="221"/>
    </row>
    <row r="351" spans="15:15">
      <c r="O351" s="221"/>
    </row>
    <row r="352" spans="15:15">
      <c r="O352" s="221"/>
    </row>
    <row r="353" spans="15:15">
      <c r="O353" s="221"/>
    </row>
    <row r="354" spans="15:15">
      <c r="O354" s="221"/>
    </row>
    <row r="355" spans="15:15">
      <c r="O355" s="221"/>
    </row>
    <row r="356" spans="15:15">
      <c r="O356" s="221"/>
    </row>
    <row r="357" spans="15:15">
      <c r="O357" s="221"/>
    </row>
    <row r="358" spans="15:15">
      <c r="O358" s="221"/>
    </row>
    <row r="359" spans="15:15">
      <c r="O359" s="221"/>
    </row>
    <row r="360" spans="15:15">
      <c r="O360" s="221"/>
    </row>
    <row r="361" spans="15:15">
      <c r="O361" s="221"/>
    </row>
    <row r="362" spans="15:15">
      <c r="O362" s="221"/>
    </row>
    <row r="363" spans="15:15">
      <c r="O363" s="221"/>
    </row>
    <row r="364" spans="15:15">
      <c r="O364" s="221"/>
    </row>
    <row r="365" spans="15:15">
      <c r="O365" s="221"/>
    </row>
    <row r="366" spans="15:15">
      <c r="O366" s="221"/>
    </row>
    <row r="367" spans="15:15">
      <c r="O367" s="221"/>
    </row>
    <row r="368" spans="15:15">
      <c r="O368" s="221"/>
    </row>
    <row r="369" spans="15:15">
      <c r="O369" s="221"/>
    </row>
    <row r="370" spans="15:15">
      <c r="O370" s="221"/>
    </row>
    <row r="371" spans="15:15">
      <c r="O371" s="221"/>
    </row>
    <row r="372" spans="15:15">
      <c r="O372" s="221"/>
    </row>
    <row r="373" spans="15:15">
      <c r="O373" s="221"/>
    </row>
    <row r="374" spans="15:15">
      <c r="O374" s="221"/>
    </row>
    <row r="375" spans="15:15">
      <c r="O375" s="221"/>
    </row>
    <row r="376" spans="15:15">
      <c r="O376" s="221"/>
    </row>
    <row r="377" spans="15:15">
      <c r="O377" s="221"/>
    </row>
    <row r="378" spans="15:15">
      <c r="O378" s="221"/>
    </row>
    <row r="379" spans="15:15">
      <c r="O379" s="221"/>
    </row>
    <row r="380" spans="15:15">
      <c r="O380" s="221"/>
    </row>
    <row r="381" spans="15:15">
      <c r="O381" s="221"/>
    </row>
    <row r="382" spans="15:15">
      <c r="O382" s="221"/>
    </row>
    <row r="383" spans="15:15">
      <c r="O383" s="221"/>
    </row>
    <row r="384" spans="15:15">
      <c r="O384" s="221"/>
    </row>
    <row r="385" spans="15:15">
      <c r="O385" s="221"/>
    </row>
    <row r="386" spans="15:15">
      <c r="O386" s="221"/>
    </row>
    <row r="387" spans="15:15">
      <c r="O387" s="221"/>
    </row>
    <row r="388" spans="15:15">
      <c r="O388" s="221"/>
    </row>
    <row r="389" spans="15:15">
      <c r="O389" s="221"/>
    </row>
    <row r="390" spans="15:15">
      <c r="O390" s="221"/>
    </row>
    <row r="391" spans="15:15">
      <c r="O391" s="221"/>
    </row>
    <row r="392" spans="15:15">
      <c r="O392" s="221"/>
    </row>
    <row r="393" spans="15:15">
      <c r="O393" s="221"/>
    </row>
    <row r="394" spans="15:15">
      <c r="O394" s="221"/>
    </row>
    <row r="395" spans="15:15">
      <c r="O395" s="221"/>
    </row>
    <row r="396" spans="15:15">
      <c r="O396" s="221"/>
    </row>
    <row r="397" spans="15:15">
      <c r="O397" s="221"/>
    </row>
    <row r="398" spans="15:15">
      <c r="O398" s="221"/>
    </row>
    <row r="399" spans="15:15">
      <c r="O399" s="221"/>
    </row>
    <row r="400" spans="15:15">
      <c r="O400" s="221"/>
    </row>
    <row r="401" spans="15:15">
      <c r="O401" s="221"/>
    </row>
    <row r="402" spans="15:15">
      <c r="O402" s="221"/>
    </row>
    <row r="403" spans="15:15">
      <c r="O403" s="221"/>
    </row>
    <row r="404" spans="15:15">
      <c r="O404" s="221"/>
    </row>
    <row r="405" spans="15:15">
      <c r="O405" s="221"/>
    </row>
    <row r="406" spans="15:15">
      <c r="O406" s="221"/>
    </row>
    <row r="407" spans="15:15">
      <c r="O407" s="221"/>
    </row>
    <row r="408" spans="15:15">
      <c r="O408" s="221"/>
    </row>
    <row r="409" spans="15:15">
      <c r="O409" s="221"/>
    </row>
    <row r="410" spans="15:15">
      <c r="O410" s="221"/>
    </row>
    <row r="411" spans="15:15">
      <c r="O411" s="221"/>
    </row>
    <row r="412" spans="15:15">
      <c r="O412" s="221"/>
    </row>
    <row r="413" spans="15:15">
      <c r="O413" s="221"/>
    </row>
    <row r="414" spans="15:15">
      <c r="O414" s="221"/>
    </row>
    <row r="415" spans="15:15">
      <c r="O415" s="221"/>
    </row>
    <row r="416" spans="15:15">
      <c r="O416" s="221"/>
    </row>
    <row r="417" spans="15:15">
      <c r="O417" s="221"/>
    </row>
    <row r="418" spans="15:15">
      <c r="O418" s="221"/>
    </row>
    <row r="419" spans="15:15">
      <c r="O419" s="221"/>
    </row>
    <row r="420" spans="15:15">
      <c r="O420" s="221"/>
    </row>
    <row r="421" spans="15:15">
      <c r="O421" s="221"/>
    </row>
    <row r="422" spans="15:15">
      <c r="O422" s="221"/>
    </row>
    <row r="423" spans="15:15">
      <c r="O423" s="221"/>
    </row>
    <row r="424" spans="15:15">
      <c r="O424" s="221"/>
    </row>
    <row r="425" spans="15:15">
      <c r="O425" s="221"/>
    </row>
    <row r="426" spans="15:15">
      <c r="O426" s="221"/>
    </row>
    <row r="427" spans="15:15">
      <c r="O427" s="221"/>
    </row>
    <row r="428" spans="15:15">
      <c r="O428" s="221"/>
    </row>
    <row r="429" spans="15:15">
      <c r="O429" s="221"/>
    </row>
    <row r="430" spans="15:15">
      <c r="O430" s="221"/>
    </row>
    <row r="431" spans="15:15">
      <c r="O431" s="221"/>
    </row>
    <row r="432" spans="15:15">
      <c r="O432" s="221"/>
    </row>
    <row r="433" spans="15:15">
      <c r="O433" s="221"/>
    </row>
    <row r="434" spans="15:15">
      <c r="O434" s="221"/>
    </row>
    <row r="435" spans="15:15">
      <c r="O435" s="221"/>
    </row>
    <row r="436" spans="15:15">
      <c r="O436" s="221"/>
    </row>
    <row r="437" spans="15:15">
      <c r="O437" s="221"/>
    </row>
    <row r="438" spans="15:15">
      <c r="O438" s="221"/>
    </row>
    <row r="439" spans="15:15">
      <c r="O439" s="221"/>
    </row>
    <row r="440" spans="15:15">
      <c r="O440" s="221"/>
    </row>
    <row r="441" spans="15:15">
      <c r="O441" s="221"/>
    </row>
    <row r="442" spans="15:15">
      <c r="O442" s="221"/>
    </row>
    <row r="443" spans="15:15">
      <c r="O443" s="221"/>
    </row>
    <row r="444" spans="15:15">
      <c r="O444" s="221"/>
    </row>
    <row r="445" spans="15:15">
      <c r="O445" s="221"/>
    </row>
    <row r="446" spans="15:15">
      <c r="O446" s="221"/>
    </row>
    <row r="447" spans="15:15">
      <c r="O447" s="221"/>
    </row>
    <row r="448" spans="15:15">
      <c r="O448" s="221"/>
    </row>
    <row r="449" spans="15:15">
      <c r="O449" s="221"/>
    </row>
    <row r="450" spans="15:15">
      <c r="O450" s="221"/>
    </row>
    <row r="451" spans="15:15">
      <c r="O451" s="221"/>
    </row>
    <row r="452" spans="15:15">
      <c r="O452" s="221"/>
    </row>
    <row r="453" spans="15:15">
      <c r="O453" s="221"/>
    </row>
    <row r="454" spans="15:15">
      <c r="O454" s="221"/>
    </row>
    <row r="455" spans="15:15">
      <c r="O455" s="221"/>
    </row>
    <row r="456" spans="15:15">
      <c r="O456" s="221"/>
    </row>
    <row r="457" spans="15:15">
      <c r="O457" s="221"/>
    </row>
    <row r="458" spans="15:15">
      <c r="O458" s="221"/>
    </row>
    <row r="459" spans="15:15">
      <c r="O459" s="221"/>
    </row>
    <row r="460" spans="15:15">
      <c r="O460" s="221"/>
    </row>
    <row r="461" spans="15:15">
      <c r="O461" s="221"/>
    </row>
    <row r="462" spans="15:15">
      <c r="O462" s="221"/>
    </row>
    <row r="463" spans="15:15">
      <c r="O463" s="221"/>
    </row>
    <row r="464" spans="15:15">
      <c r="O464" s="221"/>
    </row>
    <row r="465" spans="15:15">
      <c r="O465" s="221"/>
    </row>
    <row r="466" spans="15:15">
      <c r="O466" s="221"/>
    </row>
    <row r="467" spans="15:15">
      <c r="O467" s="221"/>
    </row>
    <row r="468" spans="15:15">
      <c r="O468" s="221"/>
    </row>
    <row r="469" spans="15:15">
      <c r="O469" s="221"/>
    </row>
    <row r="470" spans="15:15">
      <c r="O470" s="221"/>
    </row>
    <row r="471" spans="15:15">
      <c r="O471" s="221"/>
    </row>
    <row r="472" spans="15:15">
      <c r="O472" s="221"/>
    </row>
    <row r="473" spans="15:15">
      <c r="O473" s="221"/>
    </row>
    <row r="474" spans="15:15">
      <c r="O474" s="221"/>
    </row>
    <row r="475" spans="15:15">
      <c r="O475" s="221"/>
    </row>
    <row r="476" spans="15:15">
      <c r="O476" s="221"/>
    </row>
    <row r="477" spans="15:15">
      <c r="O477" s="221"/>
    </row>
    <row r="478" spans="15:15">
      <c r="O478" s="221"/>
    </row>
    <row r="479" spans="15:15">
      <c r="O479" s="221"/>
    </row>
    <row r="480" spans="15:15">
      <c r="O480" s="221"/>
    </row>
    <row r="481" spans="15:15">
      <c r="O481" s="221"/>
    </row>
    <row r="482" spans="15:15">
      <c r="O482" s="221"/>
    </row>
    <row r="483" spans="15:15">
      <c r="O483" s="221"/>
    </row>
    <row r="484" spans="15:15">
      <c r="O484" s="221"/>
    </row>
    <row r="485" spans="15:15">
      <c r="O485" s="221"/>
    </row>
    <row r="486" spans="15:15">
      <c r="O486" s="221"/>
    </row>
    <row r="487" spans="15:15">
      <c r="O487" s="221"/>
    </row>
    <row r="488" spans="15:15">
      <c r="O488" s="221"/>
    </row>
    <row r="489" spans="15:15">
      <c r="O489" s="221"/>
    </row>
    <row r="490" spans="15:15">
      <c r="O490" s="221"/>
    </row>
    <row r="491" spans="15:15">
      <c r="O491" s="221"/>
    </row>
    <row r="492" spans="15:15">
      <c r="O492" s="221"/>
    </row>
    <row r="493" spans="15:15">
      <c r="O493" s="221"/>
    </row>
    <row r="494" spans="15:15">
      <c r="O494" s="221"/>
    </row>
    <row r="495" spans="15:15">
      <c r="O495" s="221"/>
    </row>
    <row r="496" spans="15:15">
      <c r="O496" s="221"/>
    </row>
    <row r="497" spans="15:15">
      <c r="O497" s="221"/>
    </row>
    <row r="498" spans="15:15">
      <c r="O498" s="221"/>
    </row>
    <row r="499" spans="15:15">
      <c r="O499" s="221"/>
    </row>
    <row r="500" spans="15:15">
      <c r="O500" s="221"/>
    </row>
    <row r="501" spans="15:15">
      <c r="O501" s="221"/>
    </row>
    <row r="502" spans="15:15">
      <c r="O502" s="221"/>
    </row>
    <row r="503" spans="15:15">
      <c r="O503" s="221"/>
    </row>
    <row r="504" spans="15:15">
      <c r="O504" s="221"/>
    </row>
    <row r="505" spans="15:15">
      <c r="O505" s="221"/>
    </row>
    <row r="506" spans="15:15">
      <c r="O506" s="221"/>
    </row>
    <row r="507" spans="15:15">
      <c r="O507" s="221"/>
    </row>
    <row r="508" spans="15:15">
      <c r="O508" s="221"/>
    </row>
    <row r="509" spans="15:15">
      <c r="O509" s="221"/>
    </row>
    <row r="510" spans="15:15">
      <c r="O510" s="221"/>
    </row>
    <row r="511" spans="15:15">
      <c r="O511" s="221"/>
    </row>
    <row r="512" spans="15:15">
      <c r="O512" s="221"/>
    </row>
    <row r="513" spans="15:15">
      <c r="O513" s="221"/>
    </row>
    <row r="514" spans="15:15">
      <c r="O514" s="221"/>
    </row>
    <row r="515" spans="15:15">
      <c r="O515" s="221"/>
    </row>
    <row r="516" spans="15:15">
      <c r="O516" s="221"/>
    </row>
    <row r="517" spans="15:15">
      <c r="O517" s="221"/>
    </row>
    <row r="518" spans="15:15">
      <c r="O518" s="221"/>
    </row>
    <row r="519" spans="15:15">
      <c r="O519" s="221"/>
    </row>
    <row r="520" spans="15:15">
      <c r="O520" s="221"/>
    </row>
    <row r="521" spans="15:15">
      <c r="O521" s="221"/>
    </row>
    <row r="522" spans="15:15">
      <c r="O522" s="221"/>
    </row>
    <row r="523" spans="15:15">
      <c r="O523" s="221"/>
    </row>
    <row r="524" spans="15:15">
      <c r="O524" s="221"/>
    </row>
    <row r="525" spans="15:15">
      <c r="O525" s="221"/>
    </row>
    <row r="526" spans="15:15">
      <c r="O526" s="221"/>
    </row>
    <row r="527" spans="15:15">
      <c r="O527" s="221"/>
    </row>
    <row r="528" spans="15:15">
      <c r="O528" s="221"/>
    </row>
    <row r="529" spans="15:15">
      <c r="O529" s="221"/>
    </row>
    <row r="530" spans="15:15">
      <c r="O530" s="221"/>
    </row>
    <row r="531" spans="15:15">
      <c r="O531" s="221"/>
    </row>
    <row r="532" spans="15:15">
      <c r="O532" s="221"/>
    </row>
    <row r="533" spans="15:15">
      <c r="O533" s="221"/>
    </row>
    <row r="534" spans="15:15">
      <c r="O534" s="221"/>
    </row>
    <row r="535" spans="15:15">
      <c r="O535" s="221"/>
    </row>
    <row r="536" spans="15:15">
      <c r="O536" s="221"/>
    </row>
    <row r="537" spans="15:15">
      <c r="O537" s="221"/>
    </row>
    <row r="538" spans="15:15">
      <c r="O538" s="221"/>
    </row>
    <row r="539" spans="15:15">
      <c r="O539" s="221"/>
    </row>
    <row r="540" spans="15:15">
      <c r="O540" s="221"/>
    </row>
    <row r="541" spans="15:15">
      <c r="O541" s="221"/>
    </row>
    <row r="542" spans="15:15">
      <c r="O542" s="221"/>
    </row>
    <row r="543" spans="15:15">
      <c r="O543" s="221"/>
    </row>
    <row r="544" spans="15:15">
      <c r="O544" s="221"/>
    </row>
    <row r="545" spans="15:15">
      <c r="O545" s="221"/>
    </row>
    <row r="546" spans="15:15">
      <c r="O546" s="221"/>
    </row>
    <row r="547" spans="15:15">
      <c r="O547" s="221"/>
    </row>
    <row r="548" spans="15:15">
      <c r="O548" s="221"/>
    </row>
    <row r="549" spans="15:15">
      <c r="O549" s="221"/>
    </row>
    <row r="550" spans="15:15">
      <c r="O550" s="221"/>
    </row>
    <row r="551" spans="15:15">
      <c r="O551" s="221"/>
    </row>
    <row r="552" spans="15:15">
      <c r="O552" s="221"/>
    </row>
    <row r="553" spans="15:15">
      <c r="O553" s="221"/>
    </row>
    <row r="554" spans="15:15">
      <c r="O554" s="221"/>
    </row>
    <row r="555" spans="15:15">
      <c r="O555" s="221"/>
    </row>
    <row r="556" spans="15:15">
      <c r="O556" s="221"/>
    </row>
    <row r="557" spans="15:15">
      <c r="O557" s="221"/>
    </row>
    <row r="558" spans="15:15">
      <c r="O558" s="221"/>
    </row>
    <row r="559" spans="15:15">
      <c r="O559" s="221"/>
    </row>
    <row r="560" spans="15:15">
      <c r="O560" s="221"/>
    </row>
    <row r="561" spans="15:15">
      <c r="O561" s="221"/>
    </row>
    <row r="562" spans="15:15">
      <c r="O562" s="221"/>
    </row>
    <row r="563" spans="15:15">
      <c r="O563" s="221"/>
    </row>
    <row r="564" spans="15:15">
      <c r="O564" s="221"/>
    </row>
    <row r="565" spans="15:15">
      <c r="O565" s="221"/>
    </row>
    <row r="566" spans="15:15">
      <c r="O566" s="221"/>
    </row>
    <row r="567" spans="15:15">
      <c r="O567" s="221"/>
    </row>
    <row r="568" spans="15:15">
      <c r="O568" s="221"/>
    </row>
    <row r="569" spans="15:15">
      <c r="O569" s="221"/>
    </row>
    <row r="570" spans="15:15">
      <c r="O570" s="221"/>
    </row>
    <row r="571" spans="15:15">
      <c r="O571" s="221"/>
    </row>
    <row r="572" spans="15:15">
      <c r="O572" s="221"/>
    </row>
    <row r="573" spans="15:15">
      <c r="O573" s="221"/>
    </row>
    <row r="574" spans="15:15">
      <c r="O574" s="221"/>
    </row>
    <row r="575" spans="15:15">
      <c r="O575" s="221"/>
    </row>
    <row r="576" spans="15:15">
      <c r="O576" s="221"/>
    </row>
    <row r="577" spans="15:15">
      <c r="O577" s="221"/>
    </row>
    <row r="578" spans="15:15">
      <c r="O578" s="221"/>
    </row>
    <row r="579" spans="15:15">
      <c r="O579" s="221"/>
    </row>
    <row r="580" spans="15:15">
      <c r="O580" s="221"/>
    </row>
    <row r="581" spans="15:15">
      <c r="O581" s="221"/>
    </row>
    <row r="582" spans="15:15">
      <c r="O582" s="221"/>
    </row>
    <row r="583" spans="15:15">
      <c r="O583" s="221"/>
    </row>
    <row r="584" spans="15:15">
      <c r="O584" s="221"/>
    </row>
    <row r="585" spans="15:15">
      <c r="O585" s="221"/>
    </row>
    <row r="586" spans="15:15">
      <c r="O586" s="221"/>
    </row>
    <row r="587" spans="15:15">
      <c r="O587" s="221"/>
    </row>
    <row r="588" spans="15:15">
      <c r="O588" s="221"/>
    </row>
    <row r="589" spans="15:15">
      <c r="O589" s="221"/>
    </row>
    <row r="590" spans="15:15">
      <c r="O590" s="221"/>
    </row>
    <row r="591" spans="15:15">
      <c r="O591" s="221"/>
    </row>
    <row r="592" spans="15:15">
      <c r="O592" s="221"/>
    </row>
    <row r="593" spans="15:15">
      <c r="O593" s="221"/>
    </row>
    <row r="594" spans="15:15">
      <c r="O594" s="221"/>
    </row>
    <row r="595" spans="15:15">
      <c r="O595" s="221"/>
    </row>
    <row r="596" spans="15:15">
      <c r="O596" s="221"/>
    </row>
    <row r="597" spans="15:15">
      <c r="O597" s="221"/>
    </row>
    <row r="598" spans="15:15">
      <c r="O598" s="221"/>
    </row>
    <row r="599" spans="15:15">
      <c r="O599" s="221"/>
    </row>
    <row r="600" spans="15:15">
      <c r="O600" s="221"/>
    </row>
    <row r="601" spans="15:15">
      <c r="O601" s="221"/>
    </row>
    <row r="602" spans="15:15">
      <c r="O602" s="221"/>
    </row>
    <row r="603" spans="15:15">
      <c r="O603" s="221"/>
    </row>
    <row r="604" spans="15:15">
      <c r="O604" s="221"/>
    </row>
    <row r="605" spans="15:15">
      <c r="O605" s="221"/>
    </row>
    <row r="606" spans="15:15">
      <c r="O606" s="221"/>
    </row>
    <row r="607" spans="15:15">
      <c r="O607" s="221"/>
    </row>
    <row r="608" spans="15:15">
      <c r="O608" s="221"/>
    </row>
    <row r="609" spans="15:15">
      <c r="O609" s="221"/>
    </row>
    <row r="610" spans="15:15">
      <c r="O610" s="221"/>
    </row>
    <row r="611" spans="15:15">
      <c r="O611" s="221"/>
    </row>
    <row r="612" spans="15:15">
      <c r="O612" s="221"/>
    </row>
    <row r="613" spans="15:15">
      <c r="O613" s="221"/>
    </row>
    <row r="614" spans="15:15">
      <c r="O614" s="221"/>
    </row>
    <row r="615" spans="15:15">
      <c r="O615" s="221"/>
    </row>
    <row r="616" spans="15:15">
      <c r="O616" s="221"/>
    </row>
    <row r="617" spans="15:15">
      <c r="O617" s="221"/>
    </row>
    <row r="618" spans="15:15">
      <c r="O618" s="221"/>
    </row>
    <row r="619" spans="15:15">
      <c r="O619" s="221"/>
    </row>
    <row r="620" spans="15:15">
      <c r="O620" s="221"/>
    </row>
    <row r="621" spans="15:15">
      <c r="O621" s="221"/>
    </row>
    <row r="622" spans="15:15">
      <c r="O622" s="221"/>
    </row>
    <row r="623" spans="15:15">
      <c r="O623" s="221"/>
    </row>
    <row r="624" spans="15:15">
      <c r="O624" s="221"/>
    </row>
    <row r="625" spans="15:15">
      <c r="O625" s="221"/>
    </row>
    <row r="626" spans="15:15">
      <c r="O626" s="221"/>
    </row>
    <row r="627" spans="15:15">
      <c r="O627" s="221"/>
    </row>
    <row r="628" spans="15:15">
      <c r="O628" s="221"/>
    </row>
    <row r="629" spans="15:15">
      <c r="O629" s="221"/>
    </row>
    <row r="630" spans="15:15">
      <c r="O630" s="221"/>
    </row>
    <row r="631" spans="15:15">
      <c r="O631" s="221"/>
    </row>
    <row r="632" spans="15:15">
      <c r="O632" s="221"/>
    </row>
    <row r="633" spans="15:15">
      <c r="O633" s="221"/>
    </row>
    <row r="634" spans="15:15">
      <c r="O634" s="221"/>
    </row>
    <row r="635" spans="15:15">
      <c r="O635" s="221"/>
    </row>
    <row r="636" spans="15:15">
      <c r="O636" s="221"/>
    </row>
    <row r="637" spans="15:15">
      <c r="O637" s="221"/>
    </row>
    <row r="638" spans="15:15">
      <c r="O638" s="221"/>
    </row>
    <row r="639" spans="15:15">
      <c r="O639" s="221"/>
    </row>
    <row r="640" spans="15:15">
      <c r="O640" s="221"/>
    </row>
    <row r="641" spans="15:15">
      <c r="O641" s="221"/>
    </row>
    <row r="642" spans="15:15">
      <c r="O642" s="221"/>
    </row>
    <row r="643" spans="15:15">
      <c r="O643" s="221"/>
    </row>
    <row r="644" spans="15:15">
      <c r="O644" s="221"/>
    </row>
    <row r="645" spans="15:15">
      <c r="O645" s="221"/>
    </row>
    <row r="646" spans="15:15">
      <c r="O646" s="221"/>
    </row>
    <row r="647" spans="15:15">
      <c r="O647" s="221"/>
    </row>
    <row r="648" spans="15:15">
      <c r="O648" s="221"/>
    </row>
    <row r="649" spans="15:15">
      <c r="O649" s="221"/>
    </row>
    <row r="650" spans="15:15">
      <c r="O650" s="221"/>
    </row>
    <row r="651" spans="15:15">
      <c r="O651" s="221"/>
    </row>
    <row r="652" spans="15:15">
      <c r="O652" s="221"/>
    </row>
    <row r="653" spans="15:15">
      <c r="O653" s="221"/>
    </row>
    <row r="654" spans="15:15">
      <c r="O654" s="221"/>
    </row>
    <row r="655" spans="15:15">
      <c r="O655" s="221"/>
    </row>
    <row r="656" spans="15:15">
      <c r="O656" s="221"/>
    </row>
    <row r="657" spans="15:15">
      <c r="O657" s="221"/>
    </row>
    <row r="658" spans="15:15">
      <c r="O658" s="221"/>
    </row>
    <row r="659" spans="15:15">
      <c r="O659" s="221"/>
    </row>
    <row r="660" spans="15:15">
      <c r="O660" s="221"/>
    </row>
    <row r="661" spans="15:15">
      <c r="O661" s="221"/>
    </row>
    <row r="662" spans="15:15">
      <c r="O662" s="221"/>
    </row>
    <row r="663" spans="15:15">
      <c r="O663" s="221"/>
    </row>
    <row r="664" spans="15:15">
      <c r="O664" s="221"/>
    </row>
    <row r="665" spans="15:15">
      <c r="O665" s="221"/>
    </row>
    <row r="666" spans="15:15">
      <c r="O666" s="221"/>
    </row>
    <row r="667" spans="15:15">
      <c r="O667" s="221"/>
    </row>
    <row r="668" spans="15:15">
      <c r="O668" s="221"/>
    </row>
    <row r="669" spans="15:15">
      <c r="O669" s="221"/>
    </row>
    <row r="670" spans="15:15">
      <c r="O670" s="221"/>
    </row>
    <row r="671" spans="15:15">
      <c r="O671" s="221"/>
    </row>
    <row r="672" spans="15:15">
      <c r="O672" s="221"/>
    </row>
    <row r="673" spans="15:15">
      <c r="O673" s="221"/>
    </row>
    <row r="674" spans="15:15">
      <c r="O674" s="221"/>
    </row>
    <row r="675" spans="15:15">
      <c r="O675" s="221"/>
    </row>
    <row r="676" spans="15:15">
      <c r="O676" s="221"/>
    </row>
    <row r="677" spans="15:15">
      <c r="O677" s="221"/>
    </row>
    <row r="678" spans="15:15">
      <c r="O678" s="221"/>
    </row>
    <row r="679" spans="15:15">
      <c r="O679" s="221"/>
    </row>
    <row r="680" spans="15:15">
      <c r="O680" s="221"/>
    </row>
    <row r="681" spans="15:15">
      <c r="O681" s="221"/>
    </row>
    <row r="682" spans="15:15">
      <c r="O682" s="221"/>
    </row>
    <row r="683" spans="15:15">
      <c r="O683" s="221"/>
    </row>
    <row r="684" spans="15:15">
      <c r="O684" s="221"/>
    </row>
    <row r="685" spans="15:15">
      <c r="O685" s="221"/>
    </row>
    <row r="686" spans="15:15">
      <c r="O686" s="221"/>
    </row>
    <row r="687" spans="15:15">
      <c r="O687" s="221"/>
    </row>
    <row r="688" spans="15:15">
      <c r="O688" s="221"/>
    </row>
    <row r="689" spans="15:15">
      <c r="O689" s="221"/>
    </row>
    <row r="690" spans="15:15">
      <c r="O690" s="221"/>
    </row>
    <row r="691" spans="15:15">
      <c r="O691" s="221"/>
    </row>
    <row r="692" spans="15:15">
      <c r="O692" s="221"/>
    </row>
    <row r="693" spans="15:15">
      <c r="O693" s="221"/>
    </row>
    <row r="694" spans="15:15">
      <c r="O694" s="221"/>
    </row>
    <row r="695" spans="15:15">
      <c r="O695" s="221"/>
    </row>
    <row r="696" spans="15:15">
      <c r="O696" s="221"/>
    </row>
    <row r="697" spans="15:15">
      <c r="O697" s="221"/>
    </row>
    <row r="698" spans="15:15">
      <c r="O698" s="221"/>
    </row>
    <row r="699" spans="15:15">
      <c r="O699" s="221"/>
    </row>
    <row r="700" spans="15:15">
      <c r="O700" s="221"/>
    </row>
    <row r="701" spans="15:15">
      <c r="O701" s="221"/>
    </row>
    <row r="702" spans="15:15">
      <c r="O702" s="221"/>
    </row>
    <row r="703" spans="15:15">
      <c r="O703" s="221"/>
    </row>
    <row r="704" spans="15:15">
      <c r="O704" s="221"/>
    </row>
    <row r="705" spans="15:15">
      <c r="O705" s="221"/>
    </row>
    <row r="706" spans="15:15">
      <c r="O706" s="221"/>
    </row>
    <row r="707" spans="15:15">
      <c r="O707" s="221"/>
    </row>
    <row r="708" spans="15:15">
      <c r="O708" s="221"/>
    </row>
    <row r="709" spans="15:15">
      <c r="O709" s="221"/>
    </row>
    <row r="710" spans="15:15">
      <c r="O710" s="221"/>
    </row>
    <row r="711" spans="15:15">
      <c r="O711" s="221"/>
    </row>
    <row r="712" spans="15:15">
      <c r="O712" s="221"/>
    </row>
    <row r="713" spans="15:15">
      <c r="O713" s="221"/>
    </row>
    <row r="714" spans="15:15">
      <c r="O714" s="221"/>
    </row>
    <row r="715" spans="15:15">
      <c r="O715" s="221"/>
    </row>
    <row r="716" spans="15:15">
      <c r="O716" s="221"/>
    </row>
    <row r="717" spans="15:15">
      <c r="O717" s="221"/>
    </row>
    <row r="718" spans="15:15">
      <c r="O718" s="221"/>
    </row>
    <row r="719" spans="15:15">
      <c r="O719" s="221"/>
    </row>
    <row r="720" spans="15:15">
      <c r="O720" s="221"/>
    </row>
    <row r="721" spans="15:15">
      <c r="O721" s="221"/>
    </row>
    <row r="722" spans="15:15">
      <c r="O722" s="221"/>
    </row>
    <row r="723" spans="15:15">
      <c r="O723" s="221"/>
    </row>
    <row r="724" spans="15:15">
      <c r="O724" s="221"/>
    </row>
    <row r="725" spans="15:15">
      <c r="O725" s="221"/>
    </row>
    <row r="726" spans="15:15">
      <c r="O726" s="221"/>
    </row>
    <row r="727" spans="15:15">
      <c r="O727" s="221"/>
    </row>
    <row r="728" spans="15:15">
      <c r="O728" s="221"/>
    </row>
    <row r="729" spans="15:15">
      <c r="O729" s="221"/>
    </row>
    <row r="730" spans="15:15">
      <c r="O730" s="221"/>
    </row>
    <row r="731" spans="15:15">
      <c r="O731" s="221"/>
    </row>
    <row r="732" spans="15:15">
      <c r="O732" s="221"/>
    </row>
    <row r="733" spans="15:15">
      <c r="O733" s="221"/>
    </row>
    <row r="734" spans="15:15">
      <c r="O734" s="221"/>
    </row>
    <row r="735" spans="15:15">
      <c r="O735" s="221"/>
    </row>
    <row r="736" spans="15:15">
      <c r="O736" s="221"/>
    </row>
    <row r="737" spans="15:15">
      <c r="O737" s="221"/>
    </row>
    <row r="738" spans="15:15">
      <c r="O738" s="221"/>
    </row>
    <row r="739" spans="15:15">
      <c r="O739" s="221"/>
    </row>
    <row r="740" spans="15:15">
      <c r="O740" s="221"/>
    </row>
    <row r="741" spans="15:15">
      <c r="O741" s="221"/>
    </row>
    <row r="742" spans="15:15">
      <c r="O742" s="221"/>
    </row>
    <row r="743" spans="15:15">
      <c r="O743" s="221"/>
    </row>
    <row r="744" spans="15:15">
      <c r="O744" s="221"/>
    </row>
    <row r="745" spans="15:15">
      <c r="O745" s="221"/>
    </row>
    <row r="746" spans="15:15">
      <c r="O746" s="221"/>
    </row>
    <row r="747" spans="15:15">
      <c r="O747" s="221"/>
    </row>
    <row r="748" spans="15:15">
      <c r="O748" s="221"/>
    </row>
    <row r="749" spans="15:15">
      <c r="O749" s="221"/>
    </row>
    <row r="750" spans="15:15">
      <c r="O750" s="221"/>
    </row>
    <row r="751" spans="15:15">
      <c r="O751" s="221"/>
    </row>
    <row r="752" spans="15:15">
      <c r="O752" s="221"/>
    </row>
    <row r="753" spans="15:15">
      <c r="O753" s="221"/>
    </row>
    <row r="754" spans="15:15">
      <c r="O754" s="221"/>
    </row>
    <row r="755" spans="15:15">
      <c r="O755" s="221"/>
    </row>
    <row r="756" spans="15:15">
      <c r="O756" s="221"/>
    </row>
    <row r="757" spans="15:15">
      <c r="O757" s="221"/>
    </row>
    <row r="758" spans="15:15">
      <c r="O758" s="221"/>
    </row>
    <row r="759" spans="15:15">
      <c r="O759" s="221"/>
    </row>
    <row r="760" spans="15:15">
      <c r="O760" s="221"/>
    </row>
    <row r="761" spans="15:15">
      <c r="O761" s="221"/>
    </row>
    <row r="762" spans="15:15">
      <c r="O762" s="221"/>
    </row>
    <row r="763" spans="15:15">
      <c r="O763" s="221"/>
    </row>
    <row r="764" spans="15:15">
      <c r="O764" s="221"/>
    </row>
    <row r="765" spans="15:15">
      <c r="O765" s="221"/>
    </row>
    <row r="766" spans="15:15">
      <c r="O766" s="221"/>
    </row>
    <row r="767" spans="15:15">
      <c r="O767" s="221"/>
    </row>
    <row r="768" spans="15:15">
      <c r="O768" s="221"/>
    </row>
    <row r="769" spans="15:15">
      <c r="O769" s="221"/>
    </row>
    <row r="770" spans="15:15">
      <c r="O770" s="221"/>
    </row>
    <row r="771" spans="15:15">
      <c r="O771" s="221"/>
    </row>
    <row r="772" spans="15:15">
      <c r="O772" s="221"/>
    </row>
    <row r="773" spans="15:15">
      <c r="O773" s="221"/>
    </row>
    <row r="774" spans="15:15">
      <c r="O774" s="221"/>
    </row>
    <row r="775" spans="15:15">
      <c r="O775" s="221"/>
    </row>
    <row r="776" spans="15:15">
      <c r="O776" s="221"/>
    </row>
    <row r="777" spans="15:15">
      <c r="O777" s="221"/>
    </row>
    <row r="778" spans="15:15">
      <c r="O778" s="221"/>
    </row>
    <row r="779" spans="15:15">
      <c r="O779" s="221"/>
    </row>
    <row r="780" spans="15:15">
      <c r="O780" s="221"/>
    </row>
    <row r="781" spans="15:15">
      <c r="O781" s="221"/>
    </row>
    <row r="782" spans="15:15">
      <c r="O782" s="221"/>
    </row>
    <row r="783" spans="15:15">
      <c r="O783" s="221"/>
    </row>
    <row r="784" spans="15:15">
      <c r="O784" s="221"/>
    </row>
    <row r="785" spans="15:15">
      <c r="O785" s="221"/>
    </row>
    <row r="786" spans="15:15">
      <c r="O786" s="221"/>
    </row>
    <row r="787" spans="15:15">
      <c r="O787" s="221"/>
    </row>
    <row r="788" spans="15:15">
      <c r="O788" s="221"/>
    </row>
    <row r="789" spans="15:15">
      <c r="O789" s="221"/>
    </row>
    <row r="790" spans="15:15">
      <c r="O790" s="221"/>
    </row>
    <row r="791" spans="15:15">
      <c r="O791" s="221"/>
    </row>
    <row r="792" spans="15:15">
      <c r="O792" s="221"/>
    </row>
    <row r="793" spans="15:15">
      <c r="O793" s="221"/>
    </row>
    <row r="794" spans="15:15">
      <c r="O794" s="221"/>
    </row>
    <row r="795" spans="15:15">
      <c r="O795" s="221"/>
    </row>
    <row r="796" spans="15:15">
      <c r="O796" s="221"/>
    </row>
    <row r="797" spans="15:15">
      <c r="O797" s="221"/>
    </row>
    <row r="798" spans="15:15">
      <c r="O798" s="221"/>
    </row>
    <row r="799" spans="15:15">
      <c r="O799" s="221"/>
    </row>
    <row r="800" spans="15:15">
      <c r="O800" s="221"/>
    </row>
    <row r="801" spans="15:15">
      <c r="O801" s="221"/>
    </row>
    <row r="802" spans="15:15">
      <c r="O802" s="221"/>
    </row>
    <row r="803" spans="15:15">
      <c r="O803" s="221"/>
    </row>
    <row r="804" spans="15:15">
      <c r="O804" s="221"/>
    </row>
    <row r="805" spans="15:15">
      <c r="O805" s="221"/>
    </row>
    <row r="806" spans="15:15">
      <c r="O806" s="221"/>
    </row>
    <row r="807" spans="15:15">
      <c r="O807" s="221"/>
    </row>
    <row r="808" spans="15:15">
      <c r="O808" s="221"/>
    </row>
    <row r="809" spans="15:15">
      <c r="O809" s="221"/>
    </row>
    <row r="810" spans="15:15">
      <c r="O810" s="221"/>
    </row>
    <row r="811" spans="15:15">
      <c r="O811" s="221"/>
    </row>
    <row r="812" spans="15:15">
      <c r="O812" s="221"/>
    </row>
    <row r="813" spans="15:15">
      <c r="O813" s="221"/>
    </row>
    <row r="814" spans="15:15">
      <c r="O814" s="221"/>
    </row>
    <row r="815" spans="15:15">
      <c r="O815" s="221"/>
    </row>
    <row r="816" spans="15:15">
      <c r="O816" s="221"/>
    </row>
    <row r="817" spans="15:15">
      <c r="O817" s="221"/>
    </row>
    <row r="818" spans="15:15">
      <c r="O818" s="221"/>
    </row>
    <row r="819" spans="15:15">
      <c r="O819" s="221"/>
    </row>
    <row r="820" spans="15:15">
      <c r="O820" s="221"/>
    </row>
    <row r="821" spans="15:15">
      <c r="O821" s="221"/>
    </row>
    <row r="822" spans="15:15">
      <c r="O822" s="221"/>
    </row>
    <row r="823" spans="15:15">
      <c r="O823" s="221"/>
    </row>
    <row r="824" spans="15:15">
      <c r="O824" s="221"/>
    </row>
    <row r="825" spans="15:15">
      <c r="O825" s="221"/>
    </row>
    <row r="826" spans="15:15">
      <c r="O826" s="221"/>
    </row>
    <row r="827" spans="15:15">
      <c r="O827" s="221"/>
    </row>
    <row r="828" spans="15:15">
      <c r="O828" s="221"/>
    </row>
    <row r="829" spans="15:15">
      <c r="O829" s="221"/>
    </row>
    <row r="830" spans="15:15">
      <c r="O830" s="221"/>
    </row>
    <row r="831" spans="15:15">
      <c r="O831" s="221"/>
    </row>
    <row r="832" spans="15:15">
      <c r="O832" s="221"/>
    </row>
    <row r="833" spans="15:15">
      <c r="O833" s="221"/>
    </row>
    <row r="834" spans="15:15">
      <c r="O834" s="221"/>
    </row>
    <row r="835" spans="15:15">
      <c r="O835" s="221"/>
    </row>
    <row r="836" spans="15:15">
      <c r="O836" s="221"/>
    </row>
    <row r="837" spans="15:15">
      <c r="O837" s="221"/>
    </row>
    <row r="838" spans="15:15">
      <c r="O838" s="221"/>
    </row>
    <row r="839" spans="15:15">
      <c r="O839" s="221"/>
    </row>
    <row r="840" spans="15:15">
      <c r="O840" s="221"/>
    </row>
    <row r="841" spans="15:15">
      <c r="O841" s="221"/>
    </row>
    <row r="842" spans="15:15">
      <c r="O842" s="221"/>
    </row>
    <row r="843" spans="15:15">
      <c r="O843" s="221"/>
    </row>
    <row r="844" spans="15:15">
      <c r="O844" s="221"/>
    </row>
    <row r="845" spans="15:15">
      <c r="O845" s="221"/>
    </row>
    <row r="846" spans="15:15">
      <c r="O846" s="221"/>
    </row>
    <row r="847" spans="15:15">
      <c r="O847" s="221"/>
    </row>
    <row r="848" spans="15:15">
      <c r="O848" s="221"/>
    </row>
    <row r="849" spans="15:15">
      <c r="O849" s="221"/>
    </row>
    <row r="850" spans="15:15">
      <c r="O850" s="221"/>
    </row>
    <row r="851" spans="15:15">
      <c r="O851" s="221"/>
    </row>
    <row r="852" spans="15:15">
      <c r="O852" s="221"/>
    </row>
    <row r="853" spans="15:15">
      <c r="O853" s="221"/>
    </row>
    <row r="854" spans="15:15">
      <c r="O854" s="221"/>
    </row>
    <row r="855" spans="15:15">
      <c r="O855" s="221"/>
    </row>
    <row r="856" spans="15:15">
      <c r="O856" s="221"/>
    </row>
    <row r="857" spans="15:15">
      <c r="O857" s="221"/>
    </row>
    <row r="858" spans="15:15">
      <c r="O858" s="221"/>
    </row>
    <row r="859" spans="15:15">
      <c r="O859" s="221"/>
    </row>
    <row r="860" spans="15:15">
      <c r="O860" s="221"/>
    </row>
    <row r="861" spans="15:15">
      <c r="O861" s="221"/>
    </row>
    <row r="862" spans="15:15">
      <c r="O862" s="221"/>
    </row>
    <row r="863" spans="15:15">
      <c r="O863" s="221"/>
    </row>
    <row r="864" spans="15:15">
      <c r="O864" s="221"/>
    </row>
    <row r="865" spans="15:15">
      <c r="O865" s="221"/>
    </row>
    <row r="866" spans="15:15">
      <c r="O866" s="221"/>
    </row>
    <row r="867" spans="15:15">
      <c r="O867" s="221"/>
    </row>
    <row r="868" spans="15:15">
      <c r="O868" s="221"/>
    </row>
    <row r="869" spans="15:15">
      <c r="O869" s="221"/>
    </row>
    <row r="870" spans="15:15">
      <c r="O870" s="221"/>
    </row>
    <row r="871" spans="15:15">
      <c r="O871" s="221"/>
    </row>
    <row r="872" spans="15:15">
      <c r="O872" s="221"/>
    </row>
    <row r="873" spans="15:15">
      <c r="O873" s="221"/>
    </row>
    <row r="874" spans="15:15">
      <c r="O874" s="221"/>
    </row>
    <row r="875" spans="15:15">
      <c r="O875" s="221"/>
    </row>
    <row r="876" spans="15:15">
      <c r="O876" s="221"/>
    </row>
    <row r="877" spans="15:15">
      <c r="O877" s="221"/>
    </row>
    <row r="878" spans="15:15">
      <c r="O878" s="221"/>
    </row>
    <row r="879" spans="15:15">
      <c r="O879" s="221"/>
    </row>
    <row r="880" spans="15:15">
      <c r="O880" s="221"/>
    </row>
    <row r="881" spans="15:15">
      <c r="O881" s="221"/>
    </row>
    <row r="882" spans="15:15">
      <c r="O882" s="221"/>
    </row>
    <row r="883" spans="15:15">
      <c r="O883" s="221"/>
    </row>
    <row r="884" spans="15:15">
      <c r="O884" s="221"/>
    </row>
    <row r="885" spans="15:15">
      <c r="O885" s="221"/>
    </row>
    <row r="886" spans="15:15">
      <c r="O886" s="221"/>
    </row>
    <row r="887" spans="15:15">
      <c r="O887" s="221"/>
    </row>
    <row r="888" spans="15:15">
      <c r="O888" s="221"/>
    </row>
    <row r="889" spans="15:15">
      <c r="O889" s="221"/>
    </row>
    <row r="890" spans="15:15">
      <c r="O890" s="221"/>
    </row>
    <row r="891" spans="15:15">
      <c r="O891" s="221"/>
    </row>
    <row r="892" spans="15:15">
      <c r="O892" s="221"/>
    </row>
    <row r="893" spans="15:15">
      <c r="O893" s="221"/>
    </row>
    <row r="894" spans="15:15">
      <c r="O894" s="221"/>
    </row>
    <row r="895" spans="15:15">
      <c r="O895" s="221"/>
    </row>
    <row r="896" spans="15:15">
      <c r="O896" s="221"/>
    </row>
    <row r="897" spans="15:15">
      <c r="O897" s="221"/>
    </row>
    <row r="898" spans="15:15">
      <c r="O898" s="221"/>
    </row>
    <row r="899" spans="15:15">
      <c r="O899" s="221"/>
    </row>
    <row r="900" spans="15:15">
      <c r="O900" s="221"/>
    </row>
    <row r="901" spans="15:15">
      <c r="O901" s="221"/>
    </row>
    <row r="902" spans="15:15">
      <c r="O902" s="221"/>
    </row>
    <row r="903" spans="15:15">
      <c r="O903" s="221"/>
    </row>
    <row r="904" spans="15:15">
      <c r="O904" s="221"/>
    </row>
    <row r="905" spans="15:15">
      <c r="O905" s="221"/>
    </row>
    <row r="906" spans="15:15">
      <c r="O906" s="221"/>
    </row>
    <row r="907" spans="15:15">
      <c r="O907" s="221"/>
    </row>
    <row r="908" spans="15:15">
      <c r="O908" s="221"/>
    </row>
    <row r="909" spans="15:15">
      <c r="O909" s="221"/>
    </row>
    <row r="910" spans="15:15">
      <c r="O910" s="221"/>
    </row>
    <row r="911" spans="15:15">
      <c r="O911" s="221"/>
    </row>
    <row r="912" spans="15:15">
      <c r="O912" s="221"/>
    </row>
    <row r="913" spans="15:15">
      <c r="O913" s="221"/>
    </row>
    <row r="914" spans="15:15">
      <c r="O914" s="221"/>
    </row>
    <row r="915" spans="15:15">
      <c r="O915" s="221"/>
    </row>
    <row r="916" spans="15:15">
      <c r="O916" s="221"/>
    </row>
    <row r="917" spans="15:15">
      <c r="O917" s="221"/>
    </row>
    <row r="918" spans="15:15">
      <c r="O918" s="221"/>
    </row>
    <row r="919" spans="15:15">
      <c r="O919" s="221"/>
    </row>
    <row r="920" spans="15:15">
      <c r="O920" s="221"/>
    </row>
    <row r="921" spans="15:15">
      <c r="O921" s="221"/>
    </row>
    <row r="922" spans="15:15">
      <c r="O922" s="221"/>
    </row>
    <row r="923" spans="15:15">
      <c r="O923" s="221"/>
    </row>
    <row r="924" spans="15:15">
      <c r="O924" s="221"/>
    </row>
    <row r="925" spans="15:15">
      <c r="O925" s="221"/>
    </row>
    <row r="926" spans="15:15">
      <c r="O926" s="221"/>
    </row>
    <row r="927" spans="15:15">
      <c r="O927" s="221"/>
    </row>
    <row r="928" spans="15:15">
      <c r="O928" s="221"/>
    </row>
    <row r="929" spans="15:15">
      <c r="O929" s="221"/>
    </row>
    <row r="930" spans="15:15">
      <c r="O930" s="221"/>
    </row>
    <row r="931" spans="15:15">
      <c r="O931" s="221"/>
    </row>
    <row r="932" spans="15:15">
      <c r="O932" s="221"/>
    </row>
    <row r="933" spans="15:15">
      <c r="O933" s="221"/>
    </row>
    <row r="934" spans="15:15">
      <c r="O934" s="221"/>
    </row>
    <row r="935" spans="15:15">
      <c r="O935" s="221"/>
    </row>
    <row r="936" spans="15:15">
      <c r="O936" s="221"/>
    </row>
    <row r="937" spans="15:15">
      <c r="O937" s="221"/>
    </row>
    <row r="938" spans="15:15">
      <c r="O938" s="221"/>
    </row>
    <row r="939" spans="15:15">
      <c r="O939" s="221"/>
    </row>
    <row r="940" spans="15:15">
      <c r="O940" s="221"/>
    </row>
    <row r="941" spans="15:15">
      <c r="O941" s="221"/>
    </row>
    <row r="942" spans="15:15">
      <c r="O942" s="221"/>
    </row>
    <row r="943" spans="15:15">
      <c r="O943" s="221"/>
    </row>
    <row r="944" spans="15:15">
      <c r="O944" s="221"/>
    </row>
    <row r="945" spans="15:15">
      <c r="O945" s="221"/>
    </row>
    <row r="946" spans="15:15">
      <c r="O946" s="221"/>
    </row>
    <row r="947" spans="15:15">
      <c r="O947" s="221"/>
    </row>
    <row r="948" spans="15:15">
      <c r="O948" s="221"/>
    </row>
    <row r="949" spans="15:15">
      <c r="O949" s="221"/>
    </row>
    <row r="950" spans="15:15">
      <c r="O950" s="221"/>
    </row>
    <row r="951" spans="15:15">
      <c r="O951" s="221"/>
    </row>
    <row r="952" spans="15:15">
      <c r="O952" s="221"/>
    </row>
    <row r="953" spans="15:15">
      <c r="O953" s="221"/>
    </row>
    <row r="954" spans="15:15">
      <c r="O954" s="221"/>
    </row>
    <row r="955" spans="15:15">
      <c r="O955" s="221"/>
    </row>
    <row r="956" spans="15:15">
      <c r="O956" s="221"/>
    </row>
    <row r="957" spans="15:15">
      <c r="O957" s="221"/>
    </row>
    <row r="958" spans="15:15">
      <c r="O958" s="221"/>
    </row>
    <row r="959" spans="15:15">
      <c r="O959" s="221"/>
    </row>
    <row r="960" spans="15:15">
      <c r="O960" s="221"/>
    </row>
    <row r="961" spans="15:15">
      <c r="O961" s="221"/>
    </row>
    <row r="962" spans="15:15">
      <c r="O962" s="221"/>
    </row>
    <row r="963" spans="15:15">
      <c r="O963" s="221"/>
    </row>
    <row r="964" spans="15:15">
      <c r="O964" s="221"/>
    </row>
    <row r="965" spans="15:15">
      <c r="O965" s="221"/>
    </row>
    <row r="966" spans="15:15">
      <c r="O966" s="221"/>
    </row>
    <row r="967" spans="15:15">
      <c r="O967" s="221"/>
    </row>
    <row r="968" spans="15:15">
      <c r="O968" s="221"/>
    </row>
    <row r="969" spans="15:15">
      <c r="O969" s="221"/>
    </row>
    <row r="970" spans="15:15">
      <c r="O970" s="221"/>
    </row>
    <row r="971" spans="15:15">
      <c r="O971" s="221"/>
    </row>
    <row r="972" spans="15:15">
      <c r="O972" s="221"/>
    </row>
    <row r="973" spans="15:15">
      <c r="O973" s="221"/>
    </row>
    <row r="974" spans="15:15">
      <c r="O974" s="221"/>
    </row>
    <row r="975" spans="15:15">
      <c r="O975" s="221"/>
    </row>
    <row r="976" spans="15:15">
      <c r="O976" s="221"/>
    </row>
    <row r="977" spans="15:15">
      <c r="O977" s="221"/>
    </row>
    <row r="978" spans="15:15">
      <c r="O978" s="221"/>
    </row>
    <row r="979" spans="15:15">
      <c r="O979" s="221"/>
    </row>
    <row r="980" spans="15:15">
      <c r="O980" s="221"/>
    </row>
    <row r="981" spans="15:15">
      <c r="O981" s="221"/>
    </row>
    <row r="982" spans="15:15">
      <c r="O982" s="221"/>
    </row>
    <row r="983" spans="15:15">
      <c r="O983" s="221"/>
    </row>
    <row r="984" spans="15:15">
      <c r="O984" s="221"/>
    </row>
    <row r="985" spans="15:15">
      <c r="O985" s="221"/>
    </row>
    <row r="986" spans="15:15">
      <c r="O986" s="221"/>
    </row>
    <row r="987" spans="15:15">
      <c r="O987" s="221"/>
    </row>
    <row r="988" spans="15:15">
      <c r="O988" s="221"/>
    </row>
    <row r="989" spans="15:15">
      <c r="O989" s="221"/>
    </row>
    <row r="990" spans="15:15">
      <c r="O990" s="221"/>
    </row>
    <row r="991" spans="15:15">
      <c r="O991" s="221"/>
    </row>
    <row r="992" spans="15:15">
      <c r="O992" s="221"/>
    </row>
    <row r="993" spans="15:15">
      <c r="O993" s="221"/>
    </row>
    <row r="994" spans="15:15">
      <c r="O994" s="221"/>
    </row>
    <row r="995" spans="15:15">
      <c r="O995" s="221"/>
    </row>
    <row r="996" spans="15:15">
      <c r="O996" s="221"/>
    </row>
    <row r="997" spans="15:15">
      <c r="O997" s="221"/>
    </row>
    <row r="998" spans="15:15">
      <c r="O998" s="221"/>
    </row>
    <row r="999" spans="15:15">
      <c r="O999" s="221"/>
    </row>
    <row r="1000" spans="15:15">
      <c r="O1000" s="221"/>
    </row>
    <row r="1001" spans="15:15">
      <c r="O1001" s="221"/>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3">
    <pageSetUpPr fitToPage="1"/>
  </sheetPr>
  <dimension ref="A1:F36"/>
  <sheetViews>
    <sheetView zoomScaleNormal="100" workbookViewId="0"/>
  </sheetViews>
  <sheetFormatPr defaultColWidth="8.77734375" defaultRowHeight="14.4"/>
  <cols>
    <col min="1" max="1" width="23.33203125" customWidth="1"/>
    <col min="2" max="2" width="16.6640625" bestFit="1" customWidth="1"/>
    <col min="5" max="5" width="10.44140625" customWidth="1"/>
    <col min="6" max="6" width="11.33203125" customWidth="1"/>
    <col min="9" max="9" width="9.6640625" customWidth="1"/>
    <col min="10" max="10" width="38.77734375" customWidth="1"/>
    <col min="11" max="11" width="45.77734375" bestFit="1" customWidth="1"/>
  </cols>
  <sheetData>
    <row r="1" spans="1:5">
      <c r="A1" s="1" t="s">
        <v>287</v>
      </c>
    </row>
    <row r="2" spans="1:5">
      <c r="A2" s="45" t="s">
        <v>267</v>
      </c>
      <c r="B2">
        <f>LEN(C2)</f>
        <v>6</v>
      </c>
      <c r="C2" s="68">
        <v>123456</v>
      </c>
    </row>
    <row r="3" spans="1:5">
      <c r="A3" s="45" t="s">
        <v>268</v>
      </c>
      <c r="B3" t="str">
        <f>LEFT(C3,D3)</f>
        <v>hel</v>
      </c>
      <c r="C3" s="68" t="s">
        <v>269</v>
      </c>
      <c r="D3" s="68">
        <v>3</v>
      </c>
      <c r="E3" s="68"/>
    </row>
    <row r="4" spans="1:5">
      <c r="A4" s="45" t="s">
        <v>270</v>
      </c>
      <c r="B4" t="str">
        <f>RIGHT(C4,D4)</f>
        <v>llo</v>
      </c>
      <c r="C4" s="68" t="s">
        <v>269</v>
      </c>
      <c r="D4" s="68">
        <v>3</v>
      </c>
      <c r="E4" s="68"/>
    </row>
    <row r="5" spans="1:5">
      <c r="A5" s="45" t="s">
        <v>271</v>
      </c>
      <c r="B5" t="str">
        <f>MID(C5,D5,E5)</f>
        <v>ell</v>
      </c>
      <c r="C5" s="68" t="s">
        <v>269</v>
      </c>
      <c r="D5" s="68">
        <v>2</v>
      </c>
      <c r="E5" s="68">
        <v>3</v>
      </c>
    </row>
    <row r="6" spans="1:5">
      <c r="A6" s="45" t="s">
        <v>272</v>
      </c>
      <c r="B6" t="str">
        <f>PROPER(C6)</f>
        <v>Hello There</v>
      </c>
      <c r="C6" s="68" t="s">
        <v>288</v>
      </c>
    </row>
    <row r="7" spans="1:5">
      <c r="A7" s="45" t="s">
        <v>273</v>
      </c>
      <c r="B7" t="str">
        <f>UPPER(C7)</f>
        <v>HELLO</v>
      </c>
      <c r="C7" s="68" t="s">
        <v>269</v>
      </c>
    </row>
    <row r="8" spans="1:5">
      <c r="A8" s="45" t="s">
        <v>274</v>
      </c>
      <c r="B8" t="str">
        <f>LOWER(C8)</f>
        <v>hello</v>
      </c>
      <c r="C8" s="68" t="s">
        <v>275</v>
      </c>
    </row>
    <row r="9" spans="1:5">
      <c r="A9" s="45" t="s">
        <v>276</v>
      </c>
      <c r="B9" s="145">
        <f>TRUNC(C9,2)</f>
        <v>1234.25</v>
      </c>
      <c r="C9" s="68">
        <v>1234.2564</v>
      </c>
    </row>
    <row r="10" spans="1:5">
      <c r="A10" s="45" t="s">
        <v>277</v>
      </c>
      <c r="B10">
        <f>SEARCH(D10,C10,1)</f>
        <v>1</v>
      </c>
      <c r="C10" s="68" t="s">
        <v>269</v>
      </c>
      <c r="D10" s="68" t="s">
        <v>289</v>
      </c>
    </row>
    <row r="11" spans="1:5">
      <c r="A11" s="45" t="s">
        <v>278</v>
      </c>
      <c r="B11">
        <f>FIND(D11,C11,1)</f>
        <v>2</v>
      </c>
      <c r="C11" s="68" t="s">
        <v>269</v>
      </c>
      <c r="D11" s="68" t="s">
        <v>279</v>
      </c>
      <c r="E11" t="s">
        <v>280</v>
      </c>
    </row>
    <row r="12" spans="1:5">
      <c r="A12" s="45" t="s">
        <v>281</v>
      </c>
      <c r="B12" t="str">
        <f>SUBSTITUTE(C12,"m","g")</f>
        <v>g12</v>
      </c>
      <c r="C12" s="68" t="s">
        <v>282</v>
      </c>
      <c r="D12" t="s">
        <v>283</v>
      </c>
    </row>
    <row r="13" spans="1:5">
      <c r="A13" s="45" t="s">
        <v>284</v>
      </c>
      <c r="B13" t="str">
        <f>REPLACE(C13,2,3,"hi!")</f>
        <v>ahi!34567</v>
      </c>
      <c r="C13" s="68" t="s">
        <v>285</v>
      </c>
      <c r="D13" t="s">
        <v>286</v>
      </c>
    </row>
    <row r="15" spans="1:5" ht="17.399999999999999">
      <c r="A15" s="191" t="s">
        <v>253</v>
      </c>
    </row>
    <row r="16" spans="1:5">
      <c r="A16" s="192" t="s">
        <v>254</v>
      </c>
    </row>
    <row r="17" spans="1:6">
      <c r="A17" s="37"/>
      <c r="B17" s="4"/>
    </row>
    <row r="18" spans="1:6">
      <c r="A18" s="4" t="s">
        <v>255</v>
      </c>
      <c r="B18" s="197"/>
      <c r="C18" s="4"/>
    </row>
    <row r="19" spans="1:6">
      <c r="A19" t="s">
        <v>256</v>
      </c>
      <c r="B19" s="194"/>
    </row>
    <row r="20" spans="1:6">
      <c r="A20" s="4"/>
      <c r="C20" s="4"/>
    </row>
    <row r="21" spans="1:6" ht="15.6">
      <c r="A21" s="193" t="s">
        <v>257</v>
      </c>
      <c r="B21" s="4"/>
    </row>
    <row r="23" spans="1:6">
      <c r="A23" s="4" t="s">
        <v>258</v>
      </c>
      <c r="B23" s="194"/>
      <c r="C23" s="4"/>
      <c r="D23" s="4"/>
      <c r="E23" s="4"/>
    </row>
    <row r="24" spans="1:6">
      <c r="F24" s="4"/>
    </row>
    <row r="25" spans="1:6">
      <c r="A25" s="195" t="s">
        <v>259</v>
      </c>
      <c r="B25" s="196"/>
      <c r="C25" s="196"/>
      <c r="D25" s="196"/>
      <c r="E25" s="196"/>
      <c r="F25" s="4"/>
    </row>
    <row r="26" spans="1:6">
      <c r="A26" s="196">
        <f>SEARCH(" ",A16,1)</f>
        <v>6</v>
      </c>
      <c r="B26" s="196" t="s">
        <v>260</v>
      </c>
      <c r="C26" s="196"/>
      <c r="D26" s="196"/>
      <c r="E26" s="196"/>
      <c r="F26" s="4"/>
    </row>
    <row r="27" spans="1:6">
      <c r="A27" s="196">
        <f>SEARCH(" ",A16,A26+1)</f>
        <v>14</v>
      </c>
      <c r="B27" s="196" t="s">
        <v>261</v>
      </c>
      <c r="C27" s="196"/>
      <c r="D27" s="196"/>
      <c r="E27" s="196"/>
      <c r="F27" s="4"/>
    </row>
    <row r="28" spans="1:6">
      <c r="A28" s="196">
        <f>A27-A26</f>
        <v>8</v>
      </c>
      <c r="B28" s="196" t="s">
        <v>262</v>
      </c>
      <c r="C28" s="196"/>
      <c r="D28" s="196"/>
      <c r="E28" s="196"/>
      <c r="F28" s="4"/>
    </row>
    <row r="29" spans="1:6">
      <c r="A29" s="104"/>
      <c r="B29" s="196"/>
      <c r="C29" s="196"/>
      <c r="D29" s="196"/>
      <c r="E29" s="196"/>
      <c r="F29" s="4"/>
    </row>
    <row r="30" spans="1:6">
      <c r="A30" s="196"/>
      <c r="B30" s="196"/>
      <c r="C30" s="196"/>
      <c r="D30" s="196"/>
      <c r="E30" s="196"/>
      <c r="F30" s="4"/>
    </row>
    <row r="31" spans="1:6">
      <c r="A31" s="196" t="s">
        <v>263</v>
      </c>
      <c r="B31" s="196"/>
      <c r="C31" s="196"/>
      <c r="D31" s="196"/>
      <c r="E31" s="196"/>
      <c r="F31" s="4"/>
    </row>
    <row r="32" spans="1:6">
      <c r="A32" s="196">
        <f>SEARCH(" ",A16,1)</f>
        <v>6</v>
      </c>
      <c r="B32" s="196" t="s">
        <v>260</v>
      </c>
      <c r="C32" s="196"/>
      <c r="D32" s="196"/>
      <c r="E32" s="196"/>
      <c r="F32" s="4"/>
    </row>
    <row r="33" spans="1:6">
      <c r="A33" s="196">
        <f>SEARCH(" ",A16,A32+1)</f>
        <v>14</v>
      </c>
      <c r="B33" s="196" t="s">
        <v>261</v>
      </c>
      <c r="C33" s="196"/>
      <c r="D33" s="196"/>
      <c r="E33" s="196"/>
      <c r="F33" s="4"/>
    </row>
    <row r="34" spans="1:6">
      <c r="A34" s="196" t="str">
        <f>LEFT(A16,A32)</f>
        <v xml:space="preserve">Happy </v>
      </c>
      <c r="B34" s="196" t="s">
        <v>264</v>
      </c>
      <c r="C34" s="196"/>
      <c r="D34" s="196"/>
      <c r="E34" s="196"/>
      <c r="F34" s="4"/>
    </row>
    <row r="35" spans="1:6">
      <c r="A35" s="196" t="str">
        <f>RIGHT(A16,LEN(A16)-A33)</f>
        <v>Halloween</v>
      </c>
      <c r="B35" s="196" t="s">
        <v>265</v>
      </c>
      <c r="C35" s="196"/>
      <c r="D35" s="196"/>
      <c r="E35" s="196"/>
      <c r="F35" s="4"/>
    </row>
    <row r="36" spans="1:6">
      <c r="A36" s="104"/>
      <c r="B36" s="196" t="s">
        <v>266</v>
      </c>
      <c r="C36" s="196"/>
      <c r="D36" s="196"/>
      <c r="E36" s="196"/>
      <c r="F36" s="4"/>
    </row>
  </sheetData>
  <pageMargins left="0.7" right="0.7" top="0.75" bottom="0.75" header="0.3" footer="0.3"/>
  <pageSetup scale="46"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4">
    <pageSetUpPr fitToPage="1"/>
  </sheetPr>
  <dimension ref="A1:F36"/>
  <sheetViews>
    <sheetView zoomScaleNormal="100" workbookViewId="0"/>
  </sheetViews>
  <sheetFormatPr defaultColWidth="9.109375" defaultRowHeight="14.4"/>
  <cols>
    <col min="1" max="1" width="23.33203125" style="221" customWidth="1"/>
    <col min="2" max="2" width="16.6640625" style="221" bestFit="1" customWidth="1"/>
    <col min="3" max="4" width="9.109375" style="221"/>
    <col min="5" max="5" width="10.44140625" style="221" customWidth="1"/>
    <col min="6" max="6" width="11.33203125" style="221" customWidth="1"/>
    <col min="7" max="8" width="9.109375" style="221"/>
    <col min="9" max="9" width="9.6640625" style="221" customWidth="1"/>
    <col min="10" max="10" width="38.77734375" style="221" customWidth="1"/>
    <col min="11" max="11" width="45.77734375" style="221" bestFit="1" customWidth="1"/>
    <col min="12" max="16384" width="9.109375" style="221"/>
  </cols>
  <sheetData>
    <row r="1" spans="1:5">
      <c r="A1" s="223" t="s">
        <v>287</v>
      </c>
    </row>
    <row r="2" spans="1:5">
      <c r="A2" s="45" t="s">
        <v>267</v>
      </c>
      <c r="B2" s="221">
        <f>LEN(C2)</f>
        <v>6</v>
      </c>
      <c r="C2" s="68">
        <v>123456</v>
      </c>
    </row>
    <row r="3" spans="1:5">
      <c r="A3" s="45" t="s">
        <v>268</v>
      </c>
      <c r="B3" s="221" t="str">
        <f>LEFT(C3,D3)</f>
        <v>hel</v>
      </c>
      <c r="C3" s="68" t="s">
        <v>269</v>
      </c>
      <c r="D3" s="68">
        <v>3</v>
      </c>
      <c r="E3" s="68"/>
    </row>
    <row r="4" spans="1:5">
      <c r="A4" s="45" t="s">
        <v>270</v>
      </c>
      <c r="B4" s="221" t="str">
        <f>RIGHT(C4,D4)</f>
        <v>llo</v>
      </c>
      <c r="C4" s="68" t="s">
        <v>269</v>
      </c>
      <c r="D4" s="68">
        <v>3</v>
      </c>
      <c r="E4" s="68"/>
    </row>
    <row r="5" spans="1:5">
      <c r="A5" s="45" t="s">
        <v>271</v>
      </c>
      <c r="B5" s="221" t="str">
        <f>MID(C5,D5,E5)</f>
        <v>ell</v>
      </c>
      <c r="C5" s="68" t="s">
        <v>269</v>
      </c>
      <c r="D5" s="68">
        <v>2</v>
      </c>
      <c r="E5" s="68">
        <v>3</v>
      </c>
    </row>
    <row r="6" spans="1:5">
      <c r="A6" s="45" t="s">
        <v>272</v>
      </c>
      <c r="B6" s="221" t="str">
        <f>PROPER(C6)</f>
        <v>Hello There</v>
      </c>
      <c r="C6" s="68" t="s">
        <v>288</v>
      </c>
    </row>
    <row r="7" spans="1:5">
      <c r="A7" s="45" t="s">
        <v>273</v>
      </c>
      <c r="B7" s="221" t="str">
        <f>UPPER(C7)</f>
        <v>HELLO</v>
      </c>
      <c r="C7" s="68" t="s">
        <v>269</v>
      </c>
    </row>
    <row r="8" spans="1:5">
      <c r="A8" s="45" t="s">
        <v>274</v>
      </c>
      <c r="B8" s="221" t="str">
        <f>LOWER(C8)</f>
        <v>hello</v>
      </c>
      <c r="C8" s="68" t="s">
        <v>275</v>
      </c>
    </row>
    <row r="9" spans="1:5">
      <c r="A9" s="45" t="s">
        <v>276</v>
      </c>
      <c r="B9" s="145">
        <f>TRUNC(C9,2)</f>
        <v>1234.25</v>
      </c>
      <c r="C9" s="68">
        <v>1234.2564</v>
      </c>
    </row>
    <row r="10" spans="1:5">
      <c r="A10" s="45" t="s">
        <v>277</v>
      </c>
      <c r="B10" s="221">
        <f>SEARCH(D10,C10,1)</f>
        <v>1</v>
      </c>
      <c r="C10" s="68" t="s">
        <v>269</v>
      </c>
      <c r="D10" s="68" t="s">
        <v>289</v>
      </c>
    </row>
    <row r="11" spans="1:5">
      <c r="A11" s="45" t="s">
        <v>278</v>
      </c>
      <c r="B11" s="221">
        <f>FIND(D11,C11,1)</f>
        <v>2</v>
      </c>
      <c r="C11" s="68" t="s">
        <v>269</v>
      </c>
      <c r="D11" s="68" t="s">
        <v>279</v>
      </c>
      <c r="E11" s="221" t="s">
        <v>280</v>
      </c>
    </row>
    <row r="12" spans="1:5">
      <c r="A12" s="45" t="s">
        <v>281</v>
      </c>
      <c r="B12" s="221" t="str">
        <f>SUBSTITUTE(C12,"m","g")</f>
        <v>g12</v>
      </c>
      <c r="C12" s="68" t="s">
        <v>282</v>
      </c>
      <c r="D12" s="221" t="s">
        <v>283</v>
      </c>
    </row>
    <row r="13" spans="1:5">
      <c r="A13" s="45" t="s">
        <v>284</v>
      </c>
      <c r="B13" s="221" t="str">
        <f>REPLACE(C13,2,3,"hi!")</f>
        <v>ahi!34567</v>
      </c>
      <c r="C13" s="68" t="s">
        <v>285</v>
      </c>
      <c r="D13" s="221" t="s">
        <v>286</v>
      </c>
    </row>
    <row r="15" spans="1:5" ht="17.399999999999999">
      <c r="A15" s="191" t="s">
        <v>253</v>
      </c>
    </row>
    <row r="16" spans="1:5">
      <c r="A16" s="192" t="s">
        <v>254</v>
      </c>
    </row>
    <row r="17" spans="1:6">
      <c r="A17" s="37"/>
      <c r="B17" s="222"/>
    </row>
    <row r="18" spans="1:6">
      <c r="A18" s="222" t="s">
        <v>255</v>
      </c>
      <c r="B18" s="197" t="str">
        <f>SUBSTITUTE(A16,"Belated ","")</f>
        <v>Happy Halloween</v>
      </c>
      <c r="C18" s="222"/>
    </row>
    <row r="19" spans="1:6">
      <c r="A19" s="221" t="s">
        <v>256</v>
      </c>
      <c r="B19" s="194" t="str">
        <f>REPLACE(A16,6,8,"")</f>
        <v>Happy Halloween</v>
      </c>
    </row>
    <row r="20" spans="1:6">
      <c r="A20" s="222"/>
      <c r="C20" s="222"/>
    </row>
    <row r="21" spans="1:6" ht="15.6">
      <c r="A21" s="193" t="s">
        <v>257</v>
      </c>
      <c r="B21" s="222"/>
    </row>
    <row r="23" spans="1:6">
      <c r="A23" s="222" t="s">
        <v>258</v>
      </c>
      <c r="B23" s="194" t="str">
        <f>LEFT(A16,6)&amp;RIGHT(A16,9)</f>
        <v>Happy Halloween</v>
      </c>
      <c r="C23" s="222"/>
      <c r="D23" s="222"/>
      <c r="E23" s="222"/>
    </row>
    <row r="24" spans="1:6">
      <c r="F24" s="222"/>
    </row>
    <row r="25" spans="1:6">
      <c r="A25" s="195" t="s">
        <v>259</v>
      </c>
      <c r="B25" s="196"/>
      <c r="C25" s="196"/>
      <c r="D25" s="196"/>
      <c r="E25" s="196"/>
      <c r="F25" s="222"/>
    </row>
    <row r="26" spans="1:6">
      <c r="A26" s="196">
        <f>SEARCH(" ",A16,1)</f>
        <v>6</v>
      </c>
      <c r="B26" s="196" t="s">
        <v>260</v>
      </c>
      <c r="C26" s="196"/>
      <c r="D26" s="196"/>
      <c r="E26" s="196"/>
      <c r="F26" s="222"/>
    </row>
    <row r="27" spans="1:6">
      <c r="A27" s="196">
        <f>SEARCH(" ",A16,A26+1)</f>
        <v>14</v>
      </c>
      <c r="B27" s="196" t="s">
        <v>261</v>
      </c>
      <c r="C27" s="196"/>
      <c r="D27" s="196"/>
      <c r="E27" s="196"/>
      <c r="F27" s="222"/>
    </row>
    <row r="28" spans="1:6">
      <c r="A28" s="196">
        <f>A27-A26</f>
        <v>8</v>
      </c>
      <c r="B28" s="196" t="s">
        <v>262</v>
      </c>
      <c r="C28" s="196"/>
      <c r="D28" s="196"/>
      <c r="E28" s="196"/>
      <c r="F28" s="222"/>
    </row>
    <row r="29" spans="1:6">
      <c r="A29" s="104" t="str">
        <f>REPLACE(A16,SEARCH(" ",A16,1),A28,"")</f>
        <v>Happy Halloween</v>
      </c>
      <c r="B29" s="196"/>
      <c r="C29" s="196"/>
      <c r="D29" s="196"/>
      <c r="E29" s="196"/>
      <c r="F29" s="222"/>
    </row>
    <row r="30" spans="1:6">
      <c r="A30" s="196"/>
      <c r="B30" s="196"/>
      <c r="C30" s="196"/>
      <c r="D30" s="196"/>
      <c r="E30" s="196"/>
      <c r="F30" s="222"/>
    </row>
    <row r="31" spans="1:6">
      <c r="A31" s="196" t="s">
        <v>263</v>
      </c>
      <c r="B31" s="196"/>
      <c r="C31" s="196"/>
      <c r="D31" s="196"/>
      <c r="E31" s="196"/>
      <c r="F31" s="222"/>
    </row>
    <row r="32" spans="1:6">
      <c r="A32" s="196">
        <f>SEARCH(" ",A16,1)</f>
        <v>6</v>
      </c>
      <c r="B32" s="196" t="s">
        <v>260</v>
      </c>
      <c r="C32" s="196"/>
      <c r="D32" s="196"/>
      <c r="E32" s="196"/>
      <c r="F32" s="222"/>
    </row>
    <row r="33" spans="1:6">
      <c r="A33" s="196">
        <f>SEARCH(" ",A16,A32+1)</f>
        <v>14</v>
      </c>
      <c r="B33" s="196" t="s">
        <v>261</v>
      </c>
      <c r="C33" s="196"/>
      <c r="D33" s="196"/>
      <c r="E33" s="196"/>
      <c r="F33" s="222"/>
    </row>
    <row r="34" spans="1:6">
      <c r="A34" s="196" t="str">
        <f>LEFT(A16,A32)</f>
        <v xml:space="preserve">Happy </v>
      </c>
      <c r="B34" s="196" t="s">
        <v>264</v>
      </c>
      <c r="C34" s="196"/>
      <c r="D34" s="196"/>
      <c r="E34" s="196"/>
      <c r="F34" s="222"/>
    </row>
    <row r="35" spans="1:6">
      <c r="A35" s="196" t="str">
        <f>RIGHT(A16,LEN(A16)-A33)</f>
        <v>Halloween</v>
      </c>
      <c r="B35" s="196" t="s">
        <v>265</v>
      </c>
      <c r="C35" s="196"/>
      <c r="D35" s="196"/>
      <c r="E35" s="196"/>
      <c r="F35" s="222"/>
    </row>
    <row r="36" spans="1:6">
      <c r="A36" s="104" t="str">
        <f>A34&amp;A35</f>
        <v>Happy Halloween</v>
      </c>
      <c r="B36" s="196" t="s">
        <v>266</v>
      </c>
      <c r="C36" s="196"/>
      <c r="D36" s="196"/>
      <c r="E36" s="196"/>
      <c r="F36" s="222"/>
    </row>
  </sheetData>
  <pageMargins left="0.7" right="0.7" top="0.75" bottom="0.75" header="0.3" footer="0.3"/>
  <pageSetup scale="46"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5"/>
  <dimension ref="A1:C33"/>
  <sheetViews>
    <sheetView zoomScaleNormal="100" workbookViewId="0"/>
  </sheetViews>
  <sheetFormatPr defaultColWidth="8.77734375" defaultRowHeight="14.4"/>
  <cols>
    <col min="1" max="1" width="46" customWidth="1"/>
    <col min="2" max="2" width="16.44140625" bestFit="1" customWidth="1"/>
  </cols>
  <sheetData>
    <row r="1" spans="1:2" ht="15" thickBot="1">
      <c r="B1" s="10" t="s">
        <v>202</v>
      </c>
    </row>
    <row r="2" spans="1:2">
      <c r="A2" s="188">
        <v>2014</v>
      </c>
      <c r="B2" s="186">
        <v>125</v>
      </c>
    </row>
    <row r="3" spans="1:2">
      <c r="A3" s="189">
        <f t="shared" ref="A3:A11" si="0">A2+1</f>
        <v>2015</v>
      </c>
      <c r="B3" s="112">
        <f>B2*1.06</f>
        <v>132.5</v>
      </c>
    </row>
    <row r="4" spans="1:2">
      <c r="A4" s="189">
        <f t="shared" si="0"/>
        <v>2016</v>
      </c>
      <c r="B4" s="112">
        <f>B3*1.07</f>
        <v>141.77500000000001</v>
      </c>
    </row>
    <row r="5" spans="1:2">
      <c r="A5" s="189">
        <f t="shared" si="0"/>
        <v>2017</v>
      </c>
      <c r="B5" s="112">
        <f>B4*1.06</f>
        <v>150.28150000000002</v>
      </c>
    </row>
    <row r="6" spans="1:2">
      <c r="A6" s="189">
        <f t="shared" si="0"/>
        <v>2018</v>
      </c>
      <c r="B6" s="112">
        <f>B5*1.07</f>
        <v>160.80120500000004</v>
      </c>
    </row>
    <row r="7" spans="1:2">
      <c r="A7" s="189">
        <f t="shared" si="0"/>
        <v>2019</v>
      </c>
      <c r="B7" s="112">
        <f>B6*1.06</f>
        <v>170.44927730000006</v>
      </c>
    </row>
    <row r="8" spans="1:2">
      <c r="A8" s="189">
        <f t="shared" si="0"/>
        <v>2020</v>
      </c>
      <c r="B8" s="112">
        <f>B7*1.06</f>
        <v>180.67623393800008</v>
      </c>
    </row>
    <row r="9" spans="1:2">
      <c r="A9" s="189">
        <f t="shared" si="0"/>
        <v>2021</v>
      </c>
      <c r="B9" s="112">
        <f>B8*1.06</f>
        <v>191.51680797428008</v>
      </c>
    </row>
    <row r="10" spans="1:2">
      <c r="A10" s="189">
        <f t="shared" si="0"/>
        <v>2022</v>
      </c>
      <c r="B10" s="112">
        <f>B9*1.06</f>
        <v>203.0078164527369</v>
      </c>
    </row>
    <row r="11" spans="1:2">
      <c r="A11" s="189">
        <f t="shared" si="0"/>
        <v>2023</v>
      </c>
      <c r="B11" s="112">
        <f>B10*1.06</f>
        <v>215.18828543990114</v>
      </c>
    </row>
    <row r="12" spans="1:2">
      <c r="B12" s="100"/>
    </row>
    <row r="13" spans="1:2">
      <c r="A13" t="s">
        <v>251</v>
      </c>
      <c r="B13" s="55"/>
    </row>
    <row r="14" spans="1:2">
      <c r="A14" t="s">
        <v>252</v>
      </c>
      <c r="B14" s="187"/>
    </row>
    <row r="16" spans="1:2">
      <c r="A16" t="str">
        <f>"Cumulative EBITDA from "&amp;B13&amp;" to "&amp;B14&amp;":"</f>
        <v>Cumulative EBITDA from  to :</v>
      </c>
      <c r="B16" s="190"/>
    </row>
    <row r="17" spans="2:3">
      <c r="B17" s="198"/>
    </row>
    <row r="18" spans="2:3">
      <c r="B18" s="48"/>
    </row>
    <row r="23" spans="2:3">
      <c r="C23" s="48"/>
    </row>
    <row r="24" spans="2:3">
      <c r="C24" s="48"/>
    </row>
    <row r="30" spans="2:3">
      <c r="B30" s="45"/>
    </row>
    <row r="31" spans="2:3">
      <c r="B31" s="45"/>
    </row>
    <row r="32" spans="2:3">
      <c r="B32" s="45"/>
    </row>
    <row r="33" spans="2:2">
      <c r="B33" s="45"/>
    </row>
  </sheetData>
  <dataValidations count="1">
    <dataValidation type="list" allowBlank="1" showInputMessage="1" showErrorMessage="1" sqref="C20" xr:uid="{00000000-0002-0000-1A00-000000000000}">
      <formula1>$B$30:$B$33</formula1>
    </dataValidation>
  </dataValidation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6"/>
  <dimension ref="A1:C33"/>
  <sheetViews>
    <sheetView zoomScaleNormal="100" workbookViewId="0"/>
  </sheetViews>
  <sheetFormatPr defaultColWidth="9.109375" defaultRowHeight="14.4"/>
  <cols>
    <col min="1" max="1" width="46" style="221" customWidth="1"/>
    <col min="2" max="2" width="16.44140625" style="221" bestFit="1" customWidth="1"/>
    <col min="3" max="16384" width="9.109375" style="221"/>
  </cols>
  <sheetData>
    <row r="1" spans="1:2" ht="15" thickBot="1">
      <c r="B1" s="10" t="s">
        <v>202</v>
      </c>
    </row>
    <row r="2" spans="1:2">
      <c r="A2" s="188">
        <v>2014</v>
      </c>
      <c r="B2" s="186">
        <v>125</v>
      </c>
    </row>
    <row r="3" spans="1:2">
      <c r="A3" s="189">
        <f t="shared" ref="A3:A11" si="0">A2+1</f>
        <v>2015</v>
      </c>
      <c r="B3" s="240">
        <f>B2*1.06</f>
        <v>132.5</v>
      </c>
    </row>
    <row r="4" spans="1:2">
      <c r="A4" s="189">
        <f t="shared" si="0"/>
        <v>2016</v>
      </c>
      <c r="B4" s="240">
        <f>B3*1.07</f>
        <v>141.77500000000001</v>
      </c>
    </row>
    <row r="5" spans="1:2">
      <c r="A5" s="189">
        <f t="shared" si="0"/>
        <v>2017</v>
      </c>
      <c r="B5" s="240">
        <f>B4*1.06</f>
        <v>150.28150000000002</v>
      </c>
    </row>
    <row r="6" spans="1:2">
      <c r="A6" s="189">
        <f t="shared" si="0"/>
        <v>2018</v>
      </c>
      <c r="B6" s="240">
        <f>B5*1.07</f>
        <v>160.80120500000004</v>
      </c>
    </row>
    <row r="7" spans="1:2">
      <c r="A7" s="189">
        <f t="shared" si="0"/>
        <v>2019</v>
      </c>
      <c r="B7" s="240">
        <f>B6*1.06</f>
        <v>170.44927730000006</v>
      </c>
    </row>
    <row r="8" spans="1:2">
      <c r="A8" s="189">
        <f t="shared" si="0"/>
        <v>2020</v>
      </c>
      <c r="B8" s="240">
        <f>B7*1.06</f>
        <v>180.67623393800008</v>
      </c>
    </row>
    <row r="9" spans="1:2">
      <c r="A9" s="189">
        <f t="shared" si="0"/>
        <v>2021</v>
      </c>
      <c r="B9" s="240">
        <f>B8*1.06</f>
        <v>191.51680797428008</v>
      </c>
    </row>
    <row r="10" spans="1:2">
      <c r="A10" s="189">
        <f t="shared" si="0"/>
        <v>2022</v>
      </c>
      <c r="B10" s="240">
        <f>B9*1.06</f>
        <v>203.0078164527369</v>
      </c>
    </row>
    <row r="11" spans="1:2">
      <c r="A11" s="189">
        <f t="shared" si="0"/>
        <v>2023</v>
      </c>
      <c r="B11" s="240">
        <f>B10*1.06</f>
        <v>215.18828543990114</v>
      </c>
    </row>
    <row r="12" spans="1:2">
      <c r="B12" s="100"/>
    </row>
    <row r="13" spans="1:2">
      <c r="A13" s="221" t="s">
        <v>251</v>
      </c>
      <c r="B13" s="55">
        <v>2016</v>
      </c>
    </row>
    <row r="14" spans="1:2">
      <c r="A14" s="221" t="s">
        <v>252</v>
      </c>
      <c r="B14" s="187">
        <v>2021</v>
      </c>
    </row>
    <row r="16" spans="1:2">
      <c r="A16" s="221" t="str">
        <f>"Cumulative EBITDA from "&amp;B13&amp;" to "&amp;B14&amp;":"</f>
        <v>Cumulative EBITDA from 2016 to 2021:</v>
      </c>
      <c r="B16" s="190">
        <f ca="1">SUM(INDIRECT("B"&amp;B13-2012&amp;":B"&amp;B14-2012))</f>
        <v>995.50002421228032</v>
      </c>
    </row>
    <row r="17" spans="2:3">
      <c r="B17" s="198"/>
    </row>
    <row r="18" spans="2:3">
      <c r="B18" s="48"/>
    </row>
    <row r="23" spans="2:3">
      <c r="C23" s="48"/>
    </row>
    <row r="24" spans="2:3">
      <c r="C24" s="48"/>
    </row>
    <row r="30" spans="2:3">
      <c r="B30" s="45"/>
    </row>
    <row r="31" spans="2:3">
      <c r="B31" s="45"/>
    </row>
    <row r="32" spans="2:3">
      <c r="B32" s="45"/>
    </row>
    <row r="33" spans="2:2">
      <c r="B33" s="45"/>
    </row>
  </sheetData>
  <dataValidations count="2">
    <dataValidation type="list" allowBlank="1" showInputMessage="1" showErrorMessage="1" sqref="B13:B14" xr:uid="{00000000-0002-0000-1B00-000000000000}">
      <formula1>$A$2:$A$11</formula1>
    </dataValidation>
    <dataValidation type="list" allowBlank="1" showInputMessage="1" showErrorMessage="1" sqref="C20" xr:uid="{00000000-0002-0000-1B00-000001000000}">
      <formula1>$B$30:$B$33</formula1>
    </dataValidation>
  </dataValidation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7"/>
  <dimension ref="B2:I50"/>
  <sheetViews>
    <sheetView zoomScaleNormal="100" workbookViewId="0"/>
  </sheetViews>
  <sheetFormatPr defaultColWidth="8.77734375" defaultRowHeight="14.4" outlineLevelRow="2"/>
  <cols>
    <col min="2" max="2" width="17.6640625" bestFit="1" customWidth="1"/>
    <col min="3" max="3" width="16.6640625" bestFit="1" customWidth="1"/>
    <col min="4" max="4" width="10.6640625" style="221" bestFit="1" customWidth="1"/>
    <col min="5" max="5" width="10.77734375" bestFit="1" customWidth="1"/>
    <col min="6" max="6" width="15.109375" bestFit="1" customWidth="1"/>
    <col min="7" max="8" width="17.33203125" bestFit="1" customWidth="1"/>
    <col min="9" max="9" width="18.77734375" bestFit="1" customWidth="1"/>
  </cols>
  <sheetData>
    <row r="2" spans="2:9" s="221" customFormat="1" ht="17.399999999999999">
      <c r="B2" s="102" t="s">
        <v>332</v>
      </c>
    </row>
    <row r="3" spans="2:9" s="221" customFormat="1"/>
    <row r="4" spans="2:9" s="221" customFormat="1" ht="15" thickBot="1">
      <c r="B4" s="226" t="s">
        <v>333</v>
      </c>
      <c r="C4" s="226" t="s">
        <v>290</v>
      </c>
      <c r="D4" s="226" t="s">
        <v>291</v>
      </c>
      <c r="E4" s="226" t="s">
        <v>292</v>
      </c>
      <c r="F4" s="226" t="s">
        <v>293</v>
      </c>
      <c r="G4" s="226" t="s">
        <v>294</v>
      </c>
      <c r="H4" s="226" t="s">
        <v>295</v>
      </c>
      <c r="I4" s="226" t="s">
        <v>312</v>
      </c>
    </row>
    <row r="5" spans="2:9" s="221" customFormat="1">
      <c r="B5" s="221" t="s">
        <v>323</v>
      </c>
      <c r="C5" s="221" t="s">
        <v>329</v>
      </c>
      <c r="D5" s="221" t="s">
        <v>309</v>
      </c>
      <c r="E5" s="111">
        <v>94.01</v>
      </c>
      <c r="F5" s="111">
        <v>4320000000</v>
      </c>
      <c r="G5" s="111">
        <v>393720000000</v>
      </c>
      <c r="H5" s="111">
        <v>60950000000</v>
      </c>
      <c r="I5" s="111">
        <v>406123200000</v>
      </c>
    </row>
    <row r="6" spans="2:9" s="221" customFormat="1">
      <c r="B6" s="221" t="s">
        <v>310</v>
      </c>
      <c r="C6" s="221" t="s">
        <v>248</v>
      </c>
      <c r="D6" s="221" t="s">
        <v>308</v>
      </c>
      <c r="E6" s="111">
        <v>536.09</v>
      </c>
      <c r="F6" s="111">
        <v>891990000</v>
      </c>
      <c r="G6" s="111">
        <v>173990000000</v>
      </c>
      <c r="H6" s="111">
        <v>56560000000</v>
      </c>
      <c r="I6" s="111">
        <v>478186919100</v>
      </c>
    </row>
    <row r="7" spans="2:9" s="221" customFormat="1">
      <c r="B7" s="221" t="s">
        <v>322</v>
      </c>
      <c r="C7" s="221" t="s">
        <v>328</v>
      </c>
      <c r="D7" s="221" t="s">
        <v>311</v>
      </c>
      <c r="E7" s="111">
        <v>78.95</v>
      </c>
      <c r="F7" s="111">
        <v>2710000000</v>
      </c>
      <c r="G7" s="111">
        <v>84740000000</v>
      </c>
      <c r="H7" s="111">
        <v>19370000000</v>
      </c>
      <c r="I7" s="111">
        <v>213954500000</v>
      </c>
    </row>
    <row r="8" spans="2:9" s="221" customFormat="1">
      <c r="B8" s="221" t="s">
        <v>310</v>
      </c>
      <c r="C8" s="221" t="s">
        <v>250</v>
      </c>
      <c r="D8" s="221" t="s">
        <v>327</v>
      </c>
      <c r="E8" s="111">
        <v>1199.99</v>
      </c>
      <c r="F8" s="111">
        <v>336050000</v>
      </c>
      <c r="G8" s="111">
        <v>59820000000</v>
      </c>
      <c r="H8" s="111">
        <v>18030000000</v>
      </c>
      <c r="I8" s="111">
        <v>403256639500</v>
      </c>
    </row>
    <row r="9" spans="2:9" s="221" customFormat="1">
      <c r="B9" s="221" t="s">
        <v>317</v>
      </c>
      <c r="C9" s="221" t="s">
        <v>300</v>
      </c>
      <c r="D9" s="221" t="s">
        <v>306</v>
      </c>
      <c r="E9" s="111">
        <v>21.61</v>
      </c>
      <c r="F9" s="111">
        <v>5150000000</v>
      </c>
      <c r="G9" s="111">
        <v>47870000000</v>
      </c>
      <c r="H9" s="111">
        <v>12980000000</v>
      </c>
      <c r="I9" s="111">
        <v>111291500000</v>
      </c>
    </row>
    <row r="10" spans="2:9" s="221" customFormat="1">
      <c r="B10" s="221" t="s">
        <v>322</v>
      </c>
      <c r="C10" s="221" t="s">
        <v>326</v>
      </c>
      <c r="D10" s="221" t="s">
        <v>301</v>
      </c>
      <c r="E10" s="111">
        <v>63.29</v>
      </c>
      <c r="F10" s="111">
        <v>918940000</v>
      </c>
      <c r="G10" s="111">
        <v>17420000000</v>
      </c>
      <c r="H10" s="111">
        <v>4560000000</v>
      </c>
      <c r="I10" s="111">
        <v>58159712600</v>
      </c>
    </row>
    <row r="11" spans="2:9" s="221" customFormat="1">
      <c r="B11" s="221" t="s">
        <v>322</v>
      </c>
      <c r="C11" s="221" t="s">
        <v>321</v>
      </c>
      <c r="D11" s="221" t="s">
        <v>306</v>
      </c>
      <c r="E11" s="111">
        <v>109.05</v>
      </c>
      <c r="F11" s="111">
        <v>379400000</v>
      </c>
      <c r="G11" s="111">
        <v>21150000000</v>
      </c>
      <c r="H11" s="111">
        <v>4269999999.9999995</v>
      </c>
      <c r="I11" s="111">
        <v>41373570000</v>
      </c>
    </row>
    <row r="12" spans="2:9" s="221" customFormat="1">
      <c r="B12" s="221" t="s">
        <v>318</v>
      </c>
      <c r="C12" s="221" t="s">
        <v>319</v>
      </c>
      <c r="D12" s="221" t="s">
        <v>305</v>
      </c>
      <c r="E12" s="111">
        <v>12.19</v>
      </c>
      <c r="F12" s="111">
        <v>1080000000</v>
      </c>
      <c r="G12" s="111">
        <v>23030000000</v>
      </c>
      <c r="H12" s="111">
        <v>2560000000</v>
      </c>
      <c r="I12" s="111">
        <v>13165200000</v>
      </c>
    </row>
    <row r="13" spans="2:9" s="221" customFormat="1">
      <c r="B13" s="221" t="s">
        <v>325</v>
      </c>
      <c r="C13" s="221" t="s">
        <v>331</v>
      </c>
      <c r="D13" s="221" t="s">
        <v>302</v>
      </c>
      <c r="E13" s="111">
        <v>38.65</v>
      </c>
      <c r="F13" s="111">
        <v>227870000</v>
      </c>
      <c r="G13" s="111">
        <v>36140000000</v>
      </c>
      <c r="H13" s="111">
        <v>1590000000</v>
      </c>
      <c r="I13" s="111">
        <v>8807175500</v>
      </c>
    </row>
    <row r="14" spans="2:9" s="221" customFormat="1">
      <c r="B14" s="221" t="s">
        <v>310</v>
      </c>
      <c r="C14" s="221" t="s">
        <v>249</v>
      </c>
      <c r="D14" s="221" t="s">
        <v>307</v>
      </c>
      <c r="E14" s="111">
        <v>37.56</v>
      </c>
      <c r="F14" s="111">
        <v>1010000000</v>
      </c>
      <c r="G14" s="111">
        <v>4680000000</v>
      </c>
      <c r="H14" s="111">
        <v>1030000000</v>
      </c>
      <c r="I14" s="111">
        <v>37935600000</v>
      </c>
    </row>
    <row r="15" spans="2:9" s="221" customFormat="1">
      <c r="B15" s="221" t="s">
        <v>313</v>
      </c>
      <c r="C15" s="221" t="s">
        <v>298</v>
      </c>
      <c r="D15" s="221" t="s">
        <v>303</v>
      </c>
      <c r="E15" s="111">
        <v>114.22</v>
      </c>
      <c r="F15" s="111">
        <v>70530000</v>
      </c>
      <c r="G15" s="111">
        <v>3590000000</v>
      </c>
      <c r="H15" s="111">
        <v>653890000</v>
      </c>
      <c r="I15" s="111">
        <v>8055936600</v>
      </c>
    </row>
    <row r="16" spans="2:9" s="221" customFormat="1">
      <c r="B16" s="221" t="s">
        <v>324</v>
      </c>
      <c r="C16" s="221" t="s">
        <v>330</v>
      </c>
      <c r="D16" s="221" t="s">
        <v>299</v>
      </c>
      <c r="E16" s="111">
        <v>61.564999999999998</v>
      </c>
      <c r="F16" s="111">
        <v>77300000</v>
      </c>
      <c r="G16" s="111">
        <v>404650000</v>
      </c>
      <c r="H16" s="111">
        <v>257310000</v>
      </c>
      <c r="I16" s="111">
        <v>4758974500</v>
      </c>
    </row>
    <row r="17" spans="2:9" s="221" customFormat="1">
      <c r="B17" s="221" t="s">
        <v>310</v>
      </c>
      <c r="C17" s="221" t="s">
        <v>320</v>
      </c>
      <c r="D17" s="221" t="s">
        <v>304</v>
      </c>
      <c r="E17" s="111">
        <v>5.65</v>
      </c>
      <c r="F17" s="111">
        <v>876880000</v>
      </c>
      <c r="G17" s="111">
        <v>873270000</v>
      </c>
      <c r="H17" s="111">
        <v>73630000</v>
      </c>
      <c r="I17" s="111">
        <v>4954372000</v>
      </c>
    </row>
    <row r="18" spans="2:9" s="221" customFormat="1">
      <c r="B18" s="221" t="s">
        <v>317</v>
      </c>
      <c r="C18" s="221" t="s">
        <v>296</v>
      </c>
      <c r="D18" s="221" t="s">
        <v>297</v>
      </c>
      <c r="E18" s="111">
        <v>44.21</v>
      </c>
      <c r="F18" s="111">
        <v>24190000</v>
      </c>
      <c r="G18" s="111">
        <v>166260000</v>
      </c>
      <c r="H18" s="111">
        <v>7470000</v>
      </c>
      <c r="I18" s="111">
        <v>1069439900</v>
      </c>
    </row>
    <row r="19" spans="2:9" s="221" customFormat="1">
      <c r="B19" s="221" t="s">
        <v>316</v>
      </c>
      <c r="C19" s="221" t="s">
        <v>315</v>
      </c>
      <c r="D19" s="221" t="s">
        <v>314</v>
      </c>
      <c r="E19" s="111">
        <v>169.89</v>
      </c>
      <c r="F19" s="111">
        <v>467360000</v>
      </c>
      <c r="G19" s="111">
        <v>34210000000</v>
      </c>
      <c r="H19" s="111">
        <v>0</v>
      </c>
      <c r="I19" s="111">
        <v>79399790400</v>
      </c>
    </row>
    <row r="20" spans="2:9" s="222" customFormat="1"/>
    <row r="21" spans="2:9" s="222" customFormat="1" ht="15" thickBot="1">
      <c r="B21" s="226" t="s">
        <v>333</v>
      </c>
      <c r="C21" s="226" t="s">
        <v>290</v>
      </c>
      <c r="D21" s="226" t="s">
        <v>291</v>
      </c>
      <c r="E21" s="226" t="s">
        <v>292</v>
      </c>
      <c r="F21" s="226" t="s">
        <v>293</v>
      </c>
      <c r="G21" s="226" t="s">
        <v>294</v>
      </c>
      <c r="H21" s="226" t="s">
        <v>295</v>
      </c>
      <c r="I21" s="226" t="s">
        <v>312</v>
      </c>
    </row>
    <row r="22" spans="2:9" s="222" customFormat="1" outlineLevel="2">
      <c r="B22" s="221" t="s">
        <v>316</v>
      </c>
      <c r="C22" s="221" t="s">
        <v>315</v>
      </c>
      <c r="D22" s="221" t="s">
        <v>314</v>
      </c>
      <c r="E22" s="111">
        <v>169.89</v>
      </c>
      <c r="F22" s="111">
        <v>467360000</v>
      </c>
      <c r="G22" s="111">
        <v>34210000000</v>
      </c>
      <c r="H22" s="111">
        <v>0</v>
      </c>
      <c r="I22" s="111">
        <v>79399790400</v>
      </c>
    </row>
    <row r="23" spans="2:9" s="222" customFormat="1" outlineLevel="1">
      <c r="B23" s="223" t="s">
        <v>334</v>
      </c>
      <c r="C23" s="221"/>
      <c r="D23" s="221"/>
      <c r="E23" s="111"/>
      <c r="F23" s="111"/>
      <c r="G23" s="111"/>
      <c r="H23" s="111"/>
      <c r="I23" s="111">
        <f>SUBTOTAL(9,I22:I22)</f>
        <v>79399790400</v>
      </c>
    </row>
    <row r="24" spans="2:9" s="222" customFormat="1" outlineLevel="2">
      <c r="B24" s="221" t="s">
        <v>313</v>
      </c>
      <c r="C24" s="221" t="s">
        <v>298</v>
      </c>
      <c r="D24" s="221" t="s">
        <v>303</v>
      </c>
      <c r="E24" s="111">
        <v>114.22</v>
      </c>
      <c r="F24" s="111">
        <v>70530000</v>
      </c>
      <c r="G24" s="111">
        <v>3590000000</v>
      </c>
      <c r="H24" s="111">
        <v>653890000</v>
      </c>
      <c r="I24" s="111">
        <v>8055936600</v>
      </c>
    </row>
    <row r="25" spans="2:9" s="222" customFormat="1" outlineLevel="1">
      <c r="B25" s="223" t="s">
        <v>335</v>
      </c>
      <c r="C25" s="221"/>
      <c r="D25" s="221"/>
      <c r="E25" s="111"/>
      <c r="F25" s="111"/>
      <c r="G25" s="111"/>
      <c r="H25" s="111"/>
      <c r="I25" s="111">
        <f>SUBTOTAL(9,I24:I24)</f>
        <v>8055936600</v>
      </c>
    </row>
    <row r="26" spans="2:9" s="222" customFormat="1" outlineLevel="2">
      <c r="B26" s="221" t="s">
        <v>322</v>
      </c>
      <c r="C26" s="221" t="s">
        <v>328</v>
      </c>
      <c r="D26" s="221" t="s">
        <v>311</v>
      </c>
      <c r="E26" s="111">
        <v>78.95</v>
      </c>
      <c r="F26" s="111">
        <v>2710000000</v>
      </c>
      <c r="G26" s="111">
        <v>84740000000</v>
      </c>
      <c r="H26" s="111">
        <v>19370000000</v>
      </c>
      <c r="I26" s="111">
        <v>213954500000</v>
      </c>
    </row>
    <row r="27" spans="2:9" s="222" customFormat="1" outlineLevel="2">
      <c r="B27" s="221" t="s">
        <v>322</v>
      </c>
      <c r="C27" s="221" t="s">
        <v>326</v>
      </c>
      <c r="D27" s="221" t="s">
        <v>301</v>
      </c>
      <c r="E27" s="111">
        <v>63.29</v>
      </c>
      <c r="F27" s="111">
        <v>918940000</v>
      </c>
      <c r="G27" s="111">
        <v>17420000000</v>
      </c>
      <c r="H27" s="111">
        <v>4560000000</v>
      </c>
      <c r="I27" s="111">
        <v>58159712600</v>
      </c>
    </row>
    <row r="28" spans="2:9" s="222" customFormat="1" outlineLevel="2">
      <c r="B28" s="221" t="s">
        <v>322</v>
      </c>
      <c r="C28" s="221" t="s">
        <v>321</v>
      </c>
      <c r="D28" s="221" t="s">
        <v>306</v>
      </c>
      <c r="E28" s="111">
        <v>109.05</v>
      </c>
      <c r="F28" s="111">
        <v>379400000</v>
      </c>
      <c r="G28" s="111">
        <v>21150000000</v>
      </c>
      <c r="H28" s="111">
        <v>4269999999.9999995</v>
      </c>
      <c r="I28" s="111">
        <v>41373570000</v>
      </c>
    </row>
    <row r="29" spans="2:9" s="222" customFormat="1" outlineLevel="1">
      <c r="B29" s="223" t="s">
        <v>336</v>
      </c>
      <c r="C29" s="221"/>
      <c r="D29" s="221"/>
      <c r="E29" s="111"/>
      <c r="F29" s="111"/>
      <c r="G29" s="111"/>
      <c r="H29" s="111"/>
      <c r="I29" s="111">
        <f>SUBTOTAL(9,I26:I28)</f>
        <v>313487782600</v>
      </c>
    </row>
    <row r="30" spans="2:9" s="222" customFormat="1" outlineLevel="2">
      <c r="B30" s="221" t="s">
        <v>323</v>
      </c>
      <c r="C30" s="221" t="s">
        <v>329</v>
      </c>
      <c r="D30" s="221" t="s">
        <v>309</v>
      </c>
      <c r="E30" s="111">
        <v>94.01</v>
      </c>
      <c r="F30" s="111">
        <v>4320000000</v>
      </c>
      <c r="G30" s="111">
        <v>393720000000</v>
      </c>
      <c r="H30" s="111">
        <v>60950000000</v>
      </c>
      <c r="I30" s="111">
        <v>406123200000</v>
      </c>
    </row>
    <row r="31" spans="2:9" s="222" customFormat="1" outlineLevel="1">
      <c r="B31" s="223" t="s">
        <v>337</v>
      </c>
      <c r="C31" s="221"/>
      <c r="D31" s="221"/>
      <c r="E31" s="111"/>
      <c r="F31" s="111"/>
      <c r="G31" s="111"/>
      <c r="H31" s="111"/>
      <c r="I31" s="111">
        <f>SUBTOTAL(9,I30:I30)</f>
        <v>406123200000</v>
      </c>
    </row>
    <row r="32" spans="2:9" s="222" customFormat="1" outlineLevel="2">
      <c r="B32" s="221" t="s">
        <v>318</v>
      </c>
      <c r="C32" s="221" t="s">
        <v>319</v>
      </c>
      <c r="D32" s="221" t="s">
        <v>305</v>
      </c>
      <c r="E32" s="111">
        <v>12.19</v>
      </c>
      <c r="F32" s="111">
        <v>1080000000</v>
      </c>
      <c r="G32" s="111">
        <v>23030000000</v>
      </c>
      <c r="H32" s="111">
        <v>2560000000</v>
      </c>
      <c r="I32" s="111">
        <v>13165200000</v>
      </c>
    </row>
    <row r="33" spans="2:9" s="222" customFormat="1" outlineLevel="1">
      <c r="B33" s="223" t="s">
        <v>338</v>
      </c>
      <c r="C33" s="221"/>
      <c r="D33" s="221"/>
      <c r="E33" s="111"/>
      <c r="F33" s="111"/>
      <c r="G33" s="111"/>
      <c r="H33" s="111"/>
      <c r="I33" s="111">
        <f>SUBTOTAL(9,I32:I32)</f>
        <v>13165200000</v>
      </c>
    </row>
    <row r="34" spans="2:9" s="222" customFormat="1" outlineLevel="2">
      <c r="B34" s="221" t="s">
        <v>324</v>
      </c>
      <c r="C34" s="221" t="s">
        <v>330</v>
      </c>
      <c r="D34" s="221" t="s">
        <v>299</v>
      </c>
      <c r="E34" s="111">
        <v>61.564999999999998</v>
      </c>
      <c r="F34" s="111">
        <v>77300000</v>
      </c>
      <c r="G34" s="111">
        <v>404650000</v>
      </c>
      <c r="H34" s="111">
        <v>257310000</v>
      </c>
      <c r="I34" s="111">
        <v>4758974500</v>
      </c>
    </row>
    <row r="35" spans="2:9" s="222" customFormat="1" outlineLevel="1">
      <c r="B35" s="223" t="s">
        <v>339</v>
      </c>
      <c r="C35" s="221"/>
      <c r="D35" s="221"/>
      <c r="E35" s="111"/>
      <c r="F35" s="111"/>
      <c r="G35" s="111"/>
      <c r="H35" s="111"/>
      <c r="I35" s="111">
        <f>SUBTOTAL(9,I34:I34)</f>
        <v>4758974500</v>
      </c>
    </row>
    <row r="36" spans="2:9" s="222" customFormat="1" outlineLevel="2">
      <c r="B36" s="221" t="s">
        <v>325</v>
      </c>
      <c r="C36" s="221" t="s">
        <v>331</v>
      </c>
      <c r="D36" s="221" t="s">
        <v>302</v>
      </c>
      <c r="E36" s="111">
        <v>38.65</v>
      </c>
      <c r="F36" s="111">
        <v>227870000</v>
      </c>
      <c r="G36" s="111">
        <v>36140000000</v>
      </c>
      <c r="H36" s="111">
        <v>1590000000</v>
      </c>
      <c r="I36" s="111">
        <v>8807175500</v>
      </c>
    </row>
    <row r="37" spans="2:9" s="222" customFormat="1" outlineLevel="1">
      <c r="B37" s="223" t="s">
        <v>340</v>
      </c>
      <c r="C37" s="221"/>
      <c r="D37" s="221"/>
      <c r="E37" s="111"/>
      <c r="F37" s="111"/>
      <c r="G37" s="111"/>
      <c r="H37" s="111"/>
      <c r="I37" s="111">
        <f>SUBTOTAL(9,I36:I36)</f>
        <v>8807175500</v>
      </c>
    </row>
    <row r="38" spans="2:9" s="222" customFormat="1" hidden="1" outlineLevel="2">
      <c r="B38" s="221" t="s">
        <v>310</v>
      </c>
      <c r="C38" s="221" t="s">
        <v>248</v>
      </c>
      <c r="D38" s="221" t="s">
        <v>308</v>
      </c>
      <c r="E38" s="111">
        <v>536.09</v>
      </c>
      <c r="F38" s="111">
        <v>891990000</v>
      </c>
      <c r="G38" s="111">
        <v>173990000000</v>
      </c>
      <c r="H38" s="111">
        <v>56560000000</v>
      </c>
      <c r="I38" s="111">
        <v>478186919100</v>
      </c>
    </row>
    <row r="39" spans="2:9" s="222" customFormat="1" hidden="1" outlineLevel="2">
      <c r="B39" s="221" t="s">
        <v>310</v>
      </c>
      <c r="C39" s="221" t="s">
        <v>250</v>
      </c>
      <c r="D39" s="221" t="s">
        <v>327</v>
      </c>
      <c r="E39" s="111">
        <v>1199.99</v>
      </c>
      <c r="F39" s="111">
        <v>336050000</v>
      </c>
      <c r="G39" s="111">
        <v>59820000000</v>
      </c>
      <c r="H39" s="111">
        <v>18030000000</v>
      </c>
      <c r="I39" s="111">
        <v>403256639500</v>
      </c>
    </row>
    <row r="40" spans="2:9" s="222" customFormat="1" hidden="1" outlineLevel="2">
      <c r="B40" s="221" t="s">
        <v>310</v>
      </c>
      <c r="C40" s="221" t="s">
        <v>249</v>
      </c>
      <c r="D40" s="221" t="s">
        <v>307</v>
      </c>
      <c r="E40" s="111">
        <v>37.56</v>
      </c>
      <c r="F40" s="111">
        <v>1010000000</v>
      </c>
      <c r="G40" s="111">
        <v>4680000000</v>
      </c>
      <c r="H40" s="111">
        <v>1030000000</v>
      </c>
      <c r="I40" s="111">
        <v>37935600000</v>
      </c>
    </row>
    <row r="41" spans="2:9" s="222" customFormat="1" hidden="1" outlineLevel="2">
      <c r="B41" s="221" t="s">
        <v>310</v>
      </c>
      <c r="C41" s="221" t="s">
        <v>320</v>
      </c>
      <c r="D41" s="221" t="s">
        <v>304</v>
      </c>
      <c r="E41" s="111">
        <v>5.65</v>
      </c>
      <c r="F41" s="111">
        <v>876880000</v>
      </c>
      <c r="G41" s="111">
        <v>873270000</v>
      </c>
      <c r="H41" s="111">
        <v>73630000</v>
      </c>
      <c r="I41" s="111">
        <v>4954372000</v>
      </c>
    </row>
    <row r="42" spans="2:9" s="222" customFormat="1" outlineLevel="1" collapsed="1">
      <c r="B42" s="223" t="s">
        <v>341</v>
      </c>
      <c r="C42" s="221"/>
      <c r="D42" s="221"/>
      <c r="E42" s="111"/>
      <c r="F42" s="111"/>
      <c r="G42" s="111"/>
      <c r="H42" s="111"/>
      <c r="I42" s="111">
        <f>SUBTOTAL(9,I38:I41)</f>
        <v>924333530600</v>
      </c>
    </row>
    <row r="43" spans="2:9" s="222" customFormat="1" outlineLevel="2">
      <c r="B43" s="221" t="s">
        <v>317</v>
      </c>
      <c r="C43" s="221" t="s">
        <v>300</v>
      </c>
      <c r="D43" s="221" t="s">
        <v>306</v>
      </c>
      <c r="E43" s="111">
        <v>21.61</v>
      </c>
      <c r="F43" s="111">
        <v>5150000000</v>
      </c>
      <c r="G43" s="111">
        <v>47870000000</v>
      </c>
      <c r="H43" s="111">
        <v>12980000000</v>
      </c>
      <c r="I43" s="111">
        <v>111291500000</v>
      </c>
    </row>
    <row r="44" spans="2:9" s="222" customFormat="1" outlineLevel="2">
      <c r="B44" s="221" t="s">
        <v>317</v>
      </c>
      <c r="C44" s="221" t="s">
        <v>296</v>
      </c>
      <c r="D44" s="221" t="s">
        <v>297</v>
      </c>
      <c r="E44" s="111">
        <v>44.21</v>
      </c>
      <c r="F44" s="111">
        <v>24190000</v>
      </c>
      <c r="G44" s="111">
        <v>166260000</v>
      </c>
      <c r="H44" s="111">
        <v>7470000</v>
      </c>
      <c r="I44" s="111">
        <v>1069439900</v>
      </c>
    </row>
    <row r="45" spans="2:9" s="222" customFormat="1" outlineLevel="1">
      <c r="B45" s="223" t="s">
        <v>342</v>
      </c>
      <c r="C45" s="221"/>
      <c r="D45" s="221"/>
      <c r="E45" s="111"/>
      <c r="F45" s="111"/>
      <c r="G45" s="111"/>
      <c r="H45" s="111"/>
      <c r="I45" s="111">
        <f>SUBTOTAL(9,I43:I44)</f>
        <v>112360939900</v>
      </c>
    </row>
    <row r="46" spans="2:9" s="222" customFormat="1">
      <c r="B46" s="223" t="s">
        <v>216</v>
      </c>
      <c r="C46" s="221"/>
      <c r="D46" s="221"/>
      <c r="E46" s="111"/>
      <c r="F46" s="111"/>
      <c r="G46" s="111"/>
      <c r="H46" s="111"/>
      <c r="I46" s="111">
        <f>SUBTOTAL(9,I22:I44)</f>
        <v>1870492530100</v>
      </c>
    </row>
    <row r="47" spans="2:9" s="222" customFormat="1">
      <c r="E47" s="116"/>
      <c r="F47" s="116"/>
      <c r="G47" s="116"/>
      <c r="H47" s="116"/>
      <c r="I47" s="99"/>
    </row>
    <row r="48" spans="2:9" s="222" customFormat="1">
      <c r="E48" s="116"/>
      <c r="F48" s="116"/>
      <c r="G48" s="116"/>
      <c r="H48" s="116"/>
      <c r="I48" s="99"/>
    </row>
    <row r="49" spans="5:9" s="222" customFormat="1">
      <c r="E49" s="116"/>
      <c r="F49" s="116"/>
      <c r="G49" s="116"/>
      <c r="H49" s="116"/>
      <c r="I49" s="99"/>
    </row>
    <row r="50" spans="5:9">
      <c r="E50" s="240"/>
      <c r="F50" s="240"/>
      <c r="G50" s="240"/>
      <c r="H50" s="240"/>
    </row>
  </sheetData>
  <sortState xmlns:xlrd2="http://schemas.microsoft.com/office/spreadsheetml/2017/richdata2" ref="B22:I36">
    <sortCondition ref="B22:B36"/>
    <sortCondition descending="1" ref="I22:I36"/>
  </sortState>
  <dataConsolidate/>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8"/>
  <dimension ref="A1:N55"/>
  <sheetViews>
    <sheetView zoomScaleNormal="100" workbookViewId="0"/>
  </sheetViews>
  <sheetFormatPr defaultColWidth="8.77734375" defaultRowHeight="14.4"/>
  <cols>
    <col min="1" max="1" width="20" customWidth="1"/>
    <col min="2" max="2" width="13.44140625" bestFit="1" customWidth="1"/>
    <col min="3" max="3" width="7.109375" bestFit="1" customWidth="1"/>
    <col min="4" max="4" width="6.44140625" bestFit="1" customWidth="1"/>
    <col min="5" max="5" width="13.44140625" customWidth="1"/>
    <col min="7" max="7" width="90.109375" customWidth="1"/>
    <col min="8" max="8" width="16.33203125" customWidth="1"/>
    <col min="9" max="11" width="8.109375" customWidth="1"/>
    <col min="12" max="12" width="11.33203125" customWidth="1"/>
    <col min="13" max="14" width="7.77734375" customWidth="1"/>
    <col min="15" max="15" width="11.33203125" bestFit="1" customWidth="1"/>
    <col min="16" max="16" width="12.77734375" bestFit="1" customWidth="1"/>
    <col min="17" max="18" width="7.77734375" customWidth="1"/>
    <col min="19" max="19" width="16" bestFit="1" customWidth="1"/>
    <col min="20" max="20" width="8" customWidth="1"/>
    <col min="21" max="23" width="7.77734375" customWidth="1"/>
    <col min="24" max="24" width="11" bestFit="1" customWidth="1"/>
    <col min="25" max="25" width="11.33203125" bestFit="1" customWidth="1"/>
  </cols>
  <sheetData>
    <row r="1" spans="1:14" ht="43.8" thickBot="1">
      <c r="A1" s="10" t="s">
        <v>351</v>
      </c>
      <c r="B1" s="10" t="s">
        <v>343</v>
      </c>
      <c r="C1" s="10" t="s">
        <v>209</v>
      </c>
      <c r="D1" s="10" t="s">
        <v>354</v>
      </c>
      <c r="E1" s="200" t="s">
        <v>355</v>
      </c>
      <c r="G1" s="223" t="s">
        <v>356</v>
      </c>
      <c r="H1" s="221"/>
      <c r="I1" s="221"/>
      <c r="J1" s="221"/>
      <c r="K1" s="221"/>
      <c r="L1" s="221"/>
      <c r="N1" s="223" t="s">
        <v>366</v>
      </c>
    </row>
    <row r="2" spans="1:14">
      <c r="A2" s="221" t="s">
        <v>330</v>
      </c>
      <c r="B2" s="221" t="s">
        <v>344</v>
      </c>
      <c r="C2" s="221" t="s">
        <v>345</v>
      </c>
      <c r="D2" s="139">
        <v>5800</v>
      </c>
      <c r="E2" s="199">
        <v>1391</v>
      </c>
      <c r="G2" s="201" t="s">
        <v>357</v>
      </c>
      <c r="N2" s="52"/>
    </row>
    <row r="3" spans="1:14">
      <c r="A3" s="221" t="s">
        <v>352</v>
      </c>
      <c r="B3" s="221" t="s">
        <v>325</v>
      </c>
      <c r="C3" s="221" t="s">
        <v>346</v>
      </c>
      <c r="D3" s="139">
        <v>2000</v>
      </c>
      <c r="E3" s="199">
        <v>845</v>
      </c>
      <c r="G3" s="202" t="s">
        <v>358</v>
      </c>
      <c r="N3" s="53"/>
    </row>
    <row r="4" spans="1:14">
      <c r="A4" s="221" t="s">
        <v>353</v>
      </c>
      <c r="B4" s="221" t="s">
        <v>347</v>
      </c>
      <c r="C4" s="221" t="s">
        <v>348</v>
      </c>
      <c r="D4" s="139">
        <v>6558</v>
      </c>
      <c r="E4" s="199">
        <v>1391</v>
      </c>
      <c r="G4" s="203" t="s">
        <v>359</v>
      </c>
      <c r="N4" s="58"/>
    </row>
    <row r="5" spans="1:14">
      <c r="A5" s="221" t="s">
        <v>353</v>
      </c>
      <c r="B5" s="221" t="s">
        <v>349</v>
      </c>
      <c r="C5" s="221" t="s">
        <v>350</v>
      </c>
      <c r="D5" s="139">
        <v>8683</v>
      </c>
      <c r="E5" s="199">
        <v>1823</v>
      </c>
      <c r="G5" s="204" t="s">
        <v>367</v>
      </c>
      <c r="N5" s="53"/>
    </row>
    <row r="6" spans="1:14">
      <c r="A6" s="221" t="s">
        <v>352</v>
      </c>
      <c r="B6" s="221" t="s">
        <v>344</v>
      </c>
      <c r="C6" s="221" t="s">
        <v>350</v>
      </c>
      <c r="D6" s="139">
        <v>769</v>
      </c>
      <c r="E6" s="199">
        <v>280</v>
      </c>
      <c r="G6" s="205" t="s">
        <v>360</v>
      </c>
      <c r="N6" s="58"/>
    </row>
    <row r="7" spans="1:14">
      <c r="A7" s="221" t="s">
        <v>330</v>
      </c>
      <c r="B7" s="221" t="s">
        <v>325</v>
      </c>
      <c r="C7" s="221" t="s">
        <v>345</v>
      </c>
      <c r="D7" s="139">
        <v>3900</v>
      </c>
      <c r="E7" s="199">
        <v>1174</v>
      </c>
      <c r="G7" s="218" t="s">
        <v>361</v>
      </c>
      <c r="N7" s="53"/>
    </row>
    <row r="8" spans="1:14">
      <c r="A8" s="221" t="s">
        <v>330</v>
      </c>
      <c r="B8" s="221" t="s">
        <v>347</v>
      </c>
      <c r="C8" s="221" t="s">
        <v>348</v>
      </c>
      <c r="D8" s="139">
        <v>980</v>
      </c>
      <c r="E8" s="199">
        <v>680</v>
      </c>
      <c r="G8" s="220" t="s">
        <v>362</v>
      </c>
      <c r="N8" s="58"/>
    </row>
    <row r="9" spans="1:14">
      <c r="A9" s="221" t="s">
        <v>352</v>
      </c>
      <c r="B9" s="221" t="s">
        <v>325</v>
      </c>
      <c r="C9" s="221" t="s">
        <v>348</v>
      </c>
      <c r="D9" s="139">
        <v>4000</v>
      </c>
      <c r="E9" s="199">
        <v>1887</v>
      </c>
      <c r="G9" s="206" t="s">
        <v>363</v>
      </c>
      <c r="N9" s="53"/>
    </row>
    <row r="10" spans="1:14">
      <c r="A10" s="221" t="s">
        <v>352</v>
      </c>
      <c r="B10" s="221" t="s">
        <v>347</v>
      </c>
      <c r="C10" s="221" t="s">
        <v>348</v>
      </c>
      <c r="D10" s="139">
        <v>3850</v>
      </c>
      <c r="E10" s="199">
        <v>1724</v>
      </c>
      <c r="G10" s="207" t="s">
        <v>364</v>
      </c>
      <c r="N10" s="58"/>
    </row>
    <row r="11" spans="1:14">
      <c r="A11" s="221" t="s">
        <v>353</v>
      </c>
      <c r="B11" s="221" t="s">
        <v>325</v>
      </c>
      <c r="C11" s="221" t="s">
        <v>350</v>
      </c>
      <c r="D11" s="139">
        <v>450</v>
      </c>
      <c r="E11" s="199">
        <v>346</v>
      </c>
      <c r="G11" s="208" t="s">
        <v>365</v>
      </c>
      <c r="N11" s="217"/>
    </row>
    <row r="12" spans="1:14">
      <c r="A12" s="221" t="s">
        <v>330</v>
      </c>
      <c r="B12" s="221" t="s">
        <v>347</v>
      </c>
      <c r="C12" s="221" t="s">
        <v>345</v>
      </c>
      <c r="D12" s="139">
        <v>6000</v>
      </c>
      <c r="E12" s="199">
        <v>1355</v>
      </c>
      <c r="G12" s="221"/>
    </row>
    <row r="13" spans="1:14">
      <c r="A13" s="221" t="s">
        <v>352</v>
      </c>
      <c r="B13" s="221" t="s">
        <v>349</v>
      </c>
      <c r="C13" s="221" t="s">
        <v>346</v>
      </c>
      <c r="D13" s="139">
        <v>826</v>
      </c>
      <c r="E13" s="199">
        <v>869</v>
      </c>
      <c r="G13" s="221"/>
      <c r="H13" s="221"/>
    </row>
    <row r="14" spans="1:14">
      <c r="A14" s="221" t="s">
        <v>353</v>
      </c>
      <c r="B14" s="221" t="s">
        <v>325</v>
      </c>
      <c r="C14" s="221" t="s">
        <v>346</v>
      </c>
      <c r="D14" s="139">
        <v>5401</v>
      </c>
      <c r="E14" s="199">
        <v>1644</v>
      </c>
      <c r="G14" s="221"/>
      <c r="H14" s="221"/>
      <c r="I14" s="221"/>
      <c r="J14" s="221"/>
      <c r="K14" s="221"/>
      <c r="L14" s="221"/>
    </row>
    <row r="15" spans="1:14">
      <c r="A15" s="221" t="s">
        <v>353</v>
      </c>
      <c r="B15" s="221" t="s">
        <v>347</v>
      </c>
      <c r="C15" s="221" t="s">
        <v>345</v>
      </c>
      <c r="D15" s="139">
        <v>4392</v>
      </c>
      <c r="E15" s="199">
        <v>1904</v>
      </c>
      <c r="G15" s="56"/>
      <c r="H15" s="219"/>
      <c r="I15" s="219"/>
      <c r="J15" s="219"/>
      <c r="K15" s="219"/>
      <c r="L15" s="219"/>
    </row>
    <row r="16" spans="1:14">
      <c r="A16" s="221" t="s">
        <v>352</v>
      </c>
      <c r="B16" s="221" t="s">
        <v>347</v>
      </c>
      <c r="C16" s="221" t="s">
        <v>348</v>
      </c>
      <c r="D16" s="139">
        <v>2974</v>
      </c>
      <c r="E16" s="199">
        <v>1267</v>
      </c>
      <c r="G16" s="56"/>
      <c r="H16" s="219"/>
      <c r="I16" s="219"/>
      <c r="J16" s="219"/>
      <c r="K16" s="219"/>
      <c r="L16" s="219"/>
    </row>
    <row r="17" spans="1:12">
      <c r="A17" s="221" t="s">
        <v>330</v>
      </c>
      <c r="B17" s="221" t="s">
        <v>349</v>
      </c>
      <c r="C17" s="221" t="s">
        <v>350</v>
      </c>
      <c r="D17" s="139">
        <v>1429</v>
      </c>
      <c r="E17" s="199">
        <v>1563</v>
      </c>
      <c r="G17" s="56"/>
      <c r="H17" s="219"/>
      <c r="I17" s="219"/>
      <c r="J17" s="219"/>
      <c r="K17" s="219"/>
      <c r="L17" s="219"/>
    </row>
    <row r="18" spans="1:12">
      <c r="A18" s="221" t="s">
        <v>330</v>
      </c>
      <c r="B18" s="221" t="s">
        <v>349</v>
      </c>
      <c r="C18" s="221" t="s">
        <v>350</v>
      </c>
      <c r="D18" s="139">
        <v>2590</v>
      </c>
      <c r="E18" s="199">
        <v>1005</v>
      </c>
      <c r="G18" s="56"/>
      <c r="H18" s="219"/>
      <c r="I18" s="219"/>
      <c r="J18" s="219"/>
      <c r="K18" s="219"/>
      <c r="L18" s="219"/>
    </row>
    <row r="19" spans="1:12">
      <c r="A19" s="221" t="s">
        <v>352</v>
      </c>
      <c r="B19" s="221" t="s">
        <v>344</v>
      </c>
      <c r="C19" s="221" t="s">
        <v>348</v>
      </c>
      <c r="D19" s="139">
        <v>1511</v>
      </c>
      <c r="E19" s="199">
        <v>959</v>
      </c>
    </row>
    <row r="20" spans="1:12">
      <c r="A20" s="221" t="s">
        <v>330</v>
      </c>
      <c r="B20" s="221" t="s">
        <v>349</v>
      </c>
      <c r="C20" s="221" t="s">
        <v>346</v>
      </c>
      <c r="D20" s="139">
        <v>2234</v>
      </c>
      <c r="E20" s="199">
        <v>1246</v>
      </c>
    </row>
    <row r="21" spans="1:12">
      <c r="A21" s="221" t="s">
        <v>353</v>
      </c>
      <c r="B21" s="221" t="s">
        <v>344</v>
      </c>
      <c r="C21" s="221" t="s">
        <v>345</v>
      </c>
      <c r="D21" s="139">
        <v>1928</v>
      </c>
      <c r="E21" s="199">
        <v>1223</v>
      </c>
    </row>
    <row r="22" spans="1:12">
      <c r="A22" s="221" t="s">
        <v>352</v>
      </c>
      <c r="B22" s="221" t="s">
        <v>344</v>
      </c>
      <c r="C22" s="221" t="s">
        <v>350</v>
      </c>
      <c r="D22" s="139">
        <v>4898</v>
      </c>
      <c r="E22" s="199">
        <v>1667</v>
      </c>
    </row>
    <row r="23" spans="1:12">
      <c r="A23" s="221" t="s">
        <v>330</v>
      </c>
      <c r="B23" s="221" t="s">
        <v>349</v>
      </c>
      <c r="C23" s="221" t="s">
        <v>348</v>
      </c>
      <c r="D23" s="139">
        <v>4200</v>
      </c>
      <c r="E23" s="199">
        <v>1250</v>
      </c>
    </row>
    <row r="24" spans="1:12">
      <c r="A24" s="221" t="s">
        <v>353</v>
      </c>
      <c r="B24" s="221" t="s">
        <v>344</v>
      </c>
      <c r="C24" s="221" t="s">
        <v>348</v>
      </c>
      <c r="D24" s="139">
        <v>1785</v>
      </c>
      <c r="E24" s="199">
        <v>1034</v>
      </c>
    </row>
    <row r="25" spans="1:12">
      <c r="A25" s="221" t="s">
        <v>352</v>
      </c>
      <c r="B25" s="221" t="s">
        <v>344</v>
      </c>
      <c r="C25" s="221" t="s">
        <v>350</v>
      </c>
      <c r="D25" s="139">
        <v>1100</v>
      </c>
      <c r="E25" s="199">
        <v>642</v>
      </c>
    </row>
    <row r="26" spans="1:12">
      <c r="A26" s="221" t="s">
        <v>352</v>
      </c>
      <c r="B26" s="221" t="s">
        <v>325</v>
      </c>
      <c r="C26" s="221" t="s">
        <v>346</v>
      </c>
      <c r="D26" s="139">
        <v>3214</v>
      </c>
      <c r="E26" s="199">
        <v>1200</v>
      </c>
    </row>
    <row r="27" spans="1:12">
      <c r="A27" s="221" t="s">
        <v>330</v>
      </c>
      <c r="B27" s="221" t="s">
        <v>347</v>
      </c>
      <c r="C27" s="221" t="s">
        <v>345</v>
      </c>
      <c r="D27" s="139">
        <v>2931</v>
      </c>
      <c r="E27" s="199">
        <v>1827</v>
      </c>
    </row>
    <row r="28" spans="1:12">
      <c r="A28" s="221" t="s">
        <v>353</v>
      </c>
      <c r="B28" s="221" t="s">
        <v>347</v>
      </c>
      <c r="C28" s="221" t="s">
        <v>350</v>
      </c>
      <c r="D28" s="139">
        <v>4875</v>
      </c>
      <c r="E28" s="199">
        <v>1752</v>
      </c>
    </row>
    <row r="29" spans="1:12">
      <c r="A29" s="221" t="s">
        <v>353</v>
      </c>
      <c r="B29" s="221" t="s">
        <v>349</v>
      </c>
      <c r="C29" s="221" t="s">
        <v>348</v>
      </c>
      <c r="D29" s="139">
        <v>3165</v>
      </c>
      <c r="E29" s="199">
        <v>1271</v>
      </c>
    </row>
    <row r="30" spans="1:12">
      <c r="A30" s="221" t="s">
        <v>352</v>
      </c>
      <c r="B30" s="221" t="s">
        <v>344</v>
      </c>
      <c r="C30" s="221" t="s">
        <v>348</v>
      </c>
      <c r="D30" s="139">
        <v>726</v>
      </c>
      <c r="E30" s="199">
        <v>418</v>
      </c>
    </row>
    <row r="31" spans="1:12">
      <c r="A31" s="221" t="s">
        <v>352</v>
      </c>
      <c r="B31" s="221" t="s">
        <v>325</v>
      </c>
      <c r="C31" s="221" t="s">
        <v>346</v>
      </c>
      <c r="D31" s="139">
        <v>644</v>
      </c>
      <c r="E31" s="199">
        <v>633</v>
      </c>
    </row>
    <row r="32" spans="1:12">
      <c r="A32" s="221" t="s">
        <v>353</v>
      </c>
      <c r="B32" s="221" t="s">
        <v>325</v>
      </c>
      <c r="C32" s="221" t="s">
        <v>348</v>
      </c>
      <c r="D32" s="139">
        <v>2502</v>
      </c>
      <c r="E32" s="199">
        <v>934</v>
      </c>
    </row>
    <row r="33" spans="1:5">
      <c r="A33" s="221" t="s">
        <v>330</v>
      </c>
      <c r="B33" s="221" t="s">
        <v>347</v>
      </c>
      <c r="C33" s="221" t="s">
        <v>350</v>
      </c>
      <c r="D33" s="139">
        <v>930</v>
      </c>
      <c r="E33" s="199">
        <v>777</v>
      </c>
    </row>
    <row r="34" spans="1:5">
      <c r="A34" s="221" t="s">
        <v>330</v>
      </c>
      <c r="B34" s="221" t="s">
        <v>344</v>
      </c>
      <c r="C34" s="221" t="s">
        <v>345</v>
      </c>
      <c r="D34" s="139">
        <v>4169</v>
      </c>
      <c r="E34" s="199">
        <v>1990</v>
      </c>
    </row>
    <row r="35" spans="1:5">
      <c r="A35" s="221" t="s">
        <v>353</v>
      </c>
      <c r="B35" s="221" t="s">
        <v>349</v>
      </c>
      <c r="C35" s="221" t="s">
        <v>348</v>
      </c>
      <c r="D35" s="139">
        <v>388</v>
      </c>
      <c r="E35" s="199">
        <v>854</v>
      </c>
    </row>
    <row r="36" spans="1:5">
      <c r="A36" s="221" t="s">
        <v>330</v>
      </c>
      <c r="B36" s="221" t="s">
        <v>344</v>
      </c>
      <c r="C36" s="221" t="s">
        <v>350</v>
      </c>
      <c r="D36" s="139">
        <v>829</v>
      </c>
      <c r="E36" s="199">
        <v>535</v>
      </c>
    </row>
    <row r="37" spans="1:5">
      <c r="A37" s="221" t="s">
        <v>353</v>
      </c>
      <c r="B37" s="221" t="s">
        <v>349</v>
      </c>
      <c r="C37" s="221" t="s">
        <v>346</v>
      </c>
      <c r="D37" s="139">
        <v>774</v>
      </c>
      <c r="E37" s="199">
        <v>472</v>
      </c>
    </row>
    <row r="38" spans="1:5">
      <c r="A38" s="221" t="s">
        <v>352</v>
      </c>
      <c r="B38" s="221" t="s">
        <v>344</v>
      </c>
      <c r="C38" s="221" t="s">
        <v>345</v>
      </c>
      <c r="D38" s="139">
        <v>1264</v>
      </c>
      <c r="E38" s="199">
        <v>697</v>
      </c>
    </row>
    <row r="39" spans="1:5">
      <c r="A39" s="221" t="s">
        <v>353</v>
      </c>
      <c r="B39" s="221" t="s">
        <v>325</v>
      </c>
      <c r="C39" s="221" t="s">
        <v>345</v>
      </c>
      <c r="D39" s="139">
        <v>7809</v>
      </c>
      <c r="E39" s="199">
        <v>2685</v>
      </c>
    </row>
    <row r="40" spans="1:5">
      <c r="A40" s="221" t="s">
        <v>330</v>
      </c>
      <c r="B40" s="221" t="s">
        <v>347</v>
      </c>
      <c r="C40" s="221" t="s">
        <v>345</v>
      </c>
      <c r="D40" s="139">
        <v>2469</v>
      </c>
      <c r="E40" s="199">
        <v>1548</v>
      </c>
    </row>
    <row r="41" spans="1:5">
      <c r="A41" s="221" t="s">
        <v>352</v>
      </c>
      <c r="B41" s="221" t="s">
        <v>325</v>
      </c>
      <c r="C41" s="221" t="s">
        <v>348</v>
      </c>
      <c r="D41" s="139">
        <v>2315</v>
      </c>
      <c r="E41" s="199">
        <v>1409</v>
      </c>
    </row>
    <row r="42" spans="1:5">
      <c r="A42" s="221" t="s">
        <v>353</v>
      </c>
      <c r="B42" s="221" t="s">
        <v>349</v>
      </c>
      <c r="C42" s="221" t="s">
        <v>346</v>
      </c>
      <c r="D42" s="139">
        <v>1050</v>
      </c>
      <c r="E42" s="199">
        <v>613</v>
      </c>
    </row>
    <row r="43" spans="1:5">
      <c r="A43" s="221" t="s">
        <v>330</v>
      </c>
      <c r="B43" s="221" t="s">
        <v>344</v>
      </c>
      <c r="C43" s="221" t="s">
        <v>345</v>
      </c>
      <c r="D43" s="139">
        <v>5143</v>
      </c>
      <c r="E43" s="199">
        <v>1642</v>
      </c>
    </row>
    <row r="44" spans="1:5">
      <c r="A44" s="221" t="s">
        <v>352</v>
      </c>
      <c r="B44" s="221" t="s">
        <v>347</v>
      </c>
      <c r="C44" s="221" t="s">
        <v>350</v>
      </c>
      <c r="D44" s="139">
        <v>965</v>
      </c>
      <c r="E44" s="199">
        <v>823</v>
      </c>
    </row>
    <row r="45" spans="1:5">
      <c r="A45" s="221" t="s">
        <v>352</v>
      </c>
      <c r="B45" s="221" t="s">
        <v>325</v>
      </c>
      <c r="C45" s="221" t="s">
        <v>350</v>
      </c>
      <c r="D45" s="139">
        <v>4490</v>
      </c>
      <c r="E45" s="199">
        <v>1610</v>
      </c>
    </row>
    <row r="46" spans="1:5">
      <c r="A46" s="221" t="s">
        <v>330</v>
      </c>
      <c r="B46" s="221" t="s">
        <v>347</v>
      </c>
      <c r="C46" s="221" t="s">
        <v>345</v>
      </c>
      <c r="D46" s="139">
        <v>5021</v>
      </c>
      <c r="E46" s="199">
        <v>1731</v>
      </c>
    </row>
    <row r="47" spans="1:5">
      <c r="A47" s="221" t="s">
        <v>353</v>
      </c>
      <c r="B47" s="221" t="s">
        <v>325</v>
      </c>
      <c r="C47" s="221" t="s">
        <v>346</v>
      </c>
      <c r="D47" s="139">
        <v>429</v>
      </c>
      <c r="E47" s="199">
        <v>647</v>
      </c>
    </row>
    <row r="48" spans="1:5">
      <c r="A48" s="221" t="s">
        <v>353</v>
      </c>
      <c r="B48" s="221" t="s">
        <v>347</v>
      </c>
      <c r="C48" s="221" t="s">
        <v>348</v>
      </c>
      <c r="D48" s="139">
        <v>1533</v>
      </c>
      <c r="E48" s="199">
        <v>976</v>
      </c>
    </row>
    <row r="49" spans="1:5">
      <c r="A49" s="221" t="s">
        <v>353</v>
      </c>
      <c r="B49" s="221" t="s">
        <v>349</v>
      </c>
      <c r="C49" s="221" t="s">
        <v>350</v>
      </c>
      <c r="D49" s="139">
        <v>7901</v>
      </c>
      <c r="E49" s="199">
        <v>3127</v>
      </c>
    </row>
    <row r="50" spans="1:5">
      <c r="A50" s="221" t="s">
        <v>352</v>
      </c>
      <c r="B50" s="221" t="s">
        <v>344</v>
      </c>
      <c r="C50" s="221" t="s">
        <v>345</v>
      </c>
      <c r="D50" s="139">
        <v>1459</v>
      </c>
      <c r="E50" s="199">
        <v>980</v>
      </c>
    </row>
    <row r="51" spans="1:5">
      <c r="A51" s="221" t="s">
        <v>353</v>
      </c>
      <c r="B51" s="221" t="s">
        <v>325</v>
      </c>
      <c r="C51" s="221" t="s">
        <v>346</v>
      </c>
      <c r="D51" s="139">
        <v>2402</v>
      </c>
      <c r="E51" s="199">
        <v>1240</v>
      </c>
    </row>
    <row r="52" spans="1:5">
      <c r="A52" s="221" t="s">
        <v>330</v>
      </c>
      <c r="B52" s="221" t="s">
        <v>347</v>
      </c>
      <c r="C52" s="221" t="s">
        <v>348</v>
      </c>
      <c r="D52" s="139">
        <v>675</v>
      </c>
      <c r="E52" s="199">
        <v>291</v>
      </c>
    </row>
    <row r="53" spans="1:5">
      <c r="A53" s="221" t="s">
        <v>330</v>
      </c>
      <c r="B53" s="221" t="s">
        <v>349</v>
      </c>
      <c r="C53" s="221" t="s">
        <v>348</v>
      </c>
      <c r="D53" s="139">
        <v>4024</v>
      </c>
      <c r="E53" s="199">
        <v>1595</v>
      </c>
    </row>
    <row r="54" spans="1:5">
      <c r="A54" s="221" t="s">
        <v>352</v>
      </c>
      <c r="B54" s="221" t="s">
        <v>344</v>
      </c>
      <c r="C54" s="221" t="s">
        <v>350</v>
      </c>
      <c r="D54" s="139">
        <v>1196</v>
      </c>
      <c r="E54" s="199">
        <v>927</v>
      </c>
    </row>
    <row r="55" spans="1:5">
      <c r="A55" s="221" t="s">
        <v>352</v>
      </c>
      <c r="B55" s="221" t="s">
        <v>325</v>
      </c>
      <c r="C55" s="221" t="s">
        <v>345</v>
      </c>
      <c r="D55" s="139">
        <v>4069</v>
      </c>
      <c r="E55" s="199">
        <v>1965</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29"/>
  <dimension ref="A1:N55"/>
  <sheetViews>
    <sheetView zoomScaleNormal="100" workbookViewId="0"/>
  </sheetViews>
  <sheetFormatPr defaultColWidth="9.109375" defaultRowHeight="14.4"/>
  <cols>
    <col min="1" max="1" width="20" style="221" customWidth="1"/>
    <col min="2" max="2" width="13.44140625" style="221" bestFit="1" customWidth="1"/>
    <col min="3" max="3" width="7.109375" style="221" bestFit="1" customWidth="1"/>
    <col min="4" max="4" width="6.44140625" style="221" bestFit="1" customWidth="1"/>
    <col min="5" max="5" width="13.44140625" style="221" customWidth="1"/>
    <col min="6" max="6" width="9.109375" style="221"/>
    <col min="7" max="7" width="23.109375" style="221" customWidth="1"/>
    <col min="8" max="8" width="16.33203125" style="221" customWidth="1"/>
    <col min="9" max="11" width="8.109375" style="221" customWidth="1"/>
    <col min="12" max="12" width="11.33203125" style="221" customWidth="1"/>
    <col min="13" max="14" width="7.77734375" style="221" customWidth="1"/>
    <col min="15" max="15" width="11.33203125" style="221" bestFit="1" customWidth="1"/>
    <col min="16" max="16" width="12.77734375" style="221" bestFit="1" customWidth="1"/>
    <col min="17" max="18" width="7.77734375" style="221" customWidth="1"/>
    <col min="19" max="19" width="16" style="221" bestFit="1" customWidth="1"/>
    <col min="20" max="20" width="8" style="221" customWidth="1"/>
    <col min="21" max="23" width="7.77734375" style="221" customWidth="1"/>
    <col min="24" max="24" width="11" style="221" bestFit="1" customWidth="1"/>
    <col min="25" max="25" width="11.33203125" style="221" bestFit="1" customWidth="1"/>
    <col min="26" max="16384" width="9.109375" style="221"/>
  </cols>
  <sheetData>
    <row r="1" spans="1:14" ht="43.8" thickBot="1">
      <c r="A1" s="10" t="s">
        <v>351</v>
      </c>
      <c r="B1" s="10" t="s">
        <v>343</v>
      </c>
      <c r="C1" s="10" t="s">
        <v>209</v>
      </c>
      <c r="D1" s="10" t="s">
        <v>354</v>
      </c>
      <c r="E1" s="200" t="s">
        <v>355</v>
      </c>
      <c r="G1" s="223" t="s">
        <v>356</v>
      </c>
      <c r="N1" s="223" t="s">
        <v>366</v>
      </c>
    </row>
    <row r="2" spans="1:14">
      <c r="A2" s="221" t="s">
        <v>330</v>
      </c>
      <c r="B2" s="221" t="s">
        <v>344</v>
      </c>
      <c r="C2" s="221" t="s">
        <v>345</v>
      </c>
      <c r="D2" s="139">
        <v>5800</v>
      </c>
      <c r="E2" s="199">
        <v>1391</v>
      </c>
      <c r="G2" s="201" t="s">
        <v>357</v>
      </c>
      <c r="N2" s="221" t="s">
        <v>345</v>
      </c>
    </row>
    <row r="3" spans="1:14">
      <c r="A3" s="221" t="s">
        <v>352</v>
      </c>
      <c r="B3" s="221" t="s">
        <v>325</v>
      </c>
      <c r="C3" s="221" t="s">
        <v>346</v>
      </c>
      <c r="D3" s="139">
        <v>2000</v>
      </c>
      <c r="E3" s="199">
        <v>845</v>
      </c>
      <c r="G3" s="202" t="s">
        <v>358</v>
      </c>
      <c r="N3" s="221" t="s">
        <v>350</v>
      </c>
    </row>
    <row r="4" spans="1:14">
      <c r="A4" s="221" t="s">
        <v>353</v>
      </c>
      <c r="B4" s="221" t="s">
        <v>347</v>
      </c>
      <c r="C4" s="221" t="s">
        <v>348</v>
      </c>
      <c r="D4" s="139">
        <v>6558</v>
      </c>
      <c r="E4" s="199">
        <v>1391</v>
      </c>
      <c r="G4" s="203" t="s">
        <v>359</v>
      </c>
      <c r="N4" s="221" t="s">
        <v>345</v>
      </c>
    </row>
    <row r="5" spans="1:14">
      <c r="A5" s="221" t="s">
        <v>353</v>
      </c>
      <c r="B5" s="221" t="s">
        <v>349</v>
      </c>
      <c r="C5" s="221" t="s">
        <v>350</v>
      </c>
      <c r="D5" s="139">
        <v>8683</v>
      </c>
      <c r="E5" s="199">
        <v>1823</v>
      </c>
      <c r="G5" s="204" t="s">
        <v>367</v>
      </c>
      <c r="N5" s="221" t="s">
        <v>345</v>
      </c>
    </row>
    <row r="6" spans="1:14">
      <c r="A6" s="221" t="s">
        <v>352</v>
      </c>
      <c r="B6" s="221" t="s">
        <v>344</v>
      </c>
      <c r="C6" s="221" t="s">
        <v>350</v>
      </c>
      <c r="D6" s="139">
        <v>769</v>
      </c>
      <c r="E6" s="199">
        <v>280</v>
      </c>
      <c r="G6" s="205" t="s">
        <v>360</v>
      </c>
      <c r="N6" s="221" t="s">
        <v>349</v>
      </c>
    </row>
    <row r="7" spans="1:14">
      <c r="A7" s="221" t="s">
        <v>330</v>
      </c>
      <c r="B7" s="221" t="s">
        <v>325</v>
      </c>
      <c r="C7" s="221" t="s">
        <v>345</v>
      </c>
      <c r="D7" s="139">
        <v>3900</v>
      </c>
      <c r="E7" s="199">
        <v>1174</v>
      </c>
      <c r="G7" s="218" t="s">
        <v>361</v>
      </c>
      <c r="N7" s="221" t="s">
        <v>353</v>
      </c>
    </row>
    <row r="8" spans="1:14">
      <c r="A8" s="221" t="s">
        <v>330</v>
      </c>
      <c r="B8" s="221" t="s">
        <v>347</v>
      </c>
      <c r="C8" s="221" t="s">
        <v>348</v>
      </c>
      <c r="D8" s="139">
        <v>980</v>
      </c>
      <c r="E8" s="199">
        <v>680</v>
      </c>
      <c r="G8" s="220" t="s">
        <v>362</v>
      </c>
      <c r="N8" s="221" t="s">
        <v>330</v>
      </c>
    </row>
    <row r="9" spans="1:14">
      <c r="A9" s="221" t="s">
        <v>352</v>
      </c>
      <c r="B9" s="221" t="s">
        <v>325</v>
      </c>
      <c r="C9" s="221" t="s">
        <v>348</v>
      </c>
      <c r="D9" s="139">
        <v>4000</v>
      </c>
      <c r="E9" s="199">
        <v>1887</v>
      </c>
      <c r="G9" s="206" t="s">
        <v>363</v>
      </c>
      <c r="N9" s="221">
        <v>1752</v>
      </c>
    </row>
    <row r="10" spans="1:14">
      <c r="A10" s="221" t="s">
        <v>352</v>
      </c>
      <c r="B10" s="221" t="s">
        <v>347</v>
      </c>
      <c r="C10" s="221" t="s">
        <v>348</v>
      </c>
      <c r="D10" s="139">
        <v>3850</v>
      </c>
      <c r="E10" s="199">
        <v>1724</v>
      </c>
      <c r="G10" s="207" t="s">
        <v>364</v>
      </c>
      <c r="N10" s="221" t="s">
        <v>344</v>
      </c>
    </row>
    <row r="11" spans="1:14">
      <c r="A11" s="221" t="s">
        <v>353</v>
      </c>
      <c r="B11" s="221" t="s">
        <v>325</v>
      </c>
      <c r="C11" s="221" t="s">
        <v>350</v>
      </c>
      <c r="D11" s="139">
        <v>450</v>
      </c>
      <c r="E11" s="199">
        <v>346</v>
      </c>
      <c r="G11" s="208" t="s">
        <v>365</v>
      </c>
      <c r="N11" s="219">
        <v>0.28570000000000001</v>
      </c>
    </row>
    <row r="12" spans="1:14">
      <c r="A12" s="221" t="s">
        <v>330</v>
      </c>
      <c r="B12" s="221" t="s">
        <v>347</v>
      </c>
      <c r="C12" s="221" t="s">
        <v>345</v>
      </c>
      <c r="D12" s="139">
        <v>6000</v>
      </c>
      <c r="E12" s="199">
        <v>1355</v>
      </c>
    </row>
    <row r="13" spans="1:14">
      <c r="A13" s="221" t="s">
        <v>352</v>
      </c>
      <c r="B13" s="221" t="s">
        <v>349</v>
      </c>
      <c r="C13" s="221" t="s">
        <v>346</v>
      </c>
      <c r="D13" s="139">
        <v>826</v>
      </c>
      <c r="E13" s="199">
        <v>869</v>
      </c>
      <c r="G13" s="221" t="s">
        <v>368</v>
      </c>
      <c r="H13" s="221" t="s">
        <v>214</v>
      </c>
    </row>
    <row r="14" spans="1:14">
      <c r="A14" s="221" t="s">
        <v>353</v>
      </c>
      <c r="B14" s="221" t="s">
        <v>325</v>
      </c>
      <c r="C14" s="221" t="s">
        <v>346</v>
      </c>
      <c r="D14" s="139">
        <v>5401</v>
      </c>
      <c r="E14" s="199">
        <v>1644</v>
      </c>
      <c r="G14" s="221" t="s">
        <v>215</v>
      </c>
      <c r="H14" s="221" t="s">
        <v>345</v>
      </c>
      <c r="I14" s="221" t="s">
        <v>348</v>
      </c>
      <c r="J14" s="221" t="s">
        <v>350</v>
      </c>
      <c r="K14" s="221" t="s">
        <v>346</v>
      </c>
      <c r="L14" s="221" t="s">
        <v>216</v>
      </c>
    </row>
    <row r="15" spans="1:14">
      <c r="A15" s="221" t="s">
        <v>353</v>
      </c>
      <c r="B15" s="221" t="s">
        <v>347</v>
      </c>
      <c r="C15" s="221" t="s">
        <v>345</v>
      </c>
      <c r="D15" s="139">
        <v>4392</v>
      </c>
      <c r="E15" s="199">
        <v>1904</v>
      </c>
      <c r="G15" s="56" t="s">
        <v>330</v>
      </c>
      <c r="H15" s="219">
        <v>0.5714285714285714</v>
      </c>
      <c r="I15" s="219">
        <v>0.25</v>
      </c>
      <c r="J15" s="219">
        <v>0.2857142857142857</v>
      </c>
      <c r="K15" s="219">
        <v>0.1</v>
      </c>
      <c r="L15" s="219">
        <v>0.31481481481481483</v>
      </c>
    </row>
    <row r="16" spans="1:14">
      <c r="A16" s="221" t="s">
        <v>352</v>
      </c>
      <c r="B16" s="221" t="s">
        <v>347</v>
      </c>
      <c r="C16" s="221" t="s">
        <v>348</v>
      </c>
      <c r="D16" s="139">
        <v>2974</v>
      </c>
      <c r="E16" s="199">
        <v>1267</v>
      </c>
      <c r="G16" s="56" t="s">
        <v>352</v>
      </c>
      <c r="H16" s="219">
        <v>0.21428571428571427</v>
      </c>
      <c r="I16" s="219">
        <v>0.375</v>
      </c>
      <c r="J16" s="219">
        <v>0.42857142857142855</v>
      </c>
      <c r="K16" s="219">
        <v>0.4</v>
      </c>
      <c r="L16" s="219">
        <v>0.35185185185185186</v>
      </c>
    </row>
    <row r="17" spans="1:12">
      <c r="A17" s="221" t="s">
        <v>330</v>
      </c>
      <c r="B17" s="221" t="s">
        <v>349</v>
      </c>
      <c r="C17" s="221" t="s">
        <v>350</v>
      </c>
      <c r="D17" s="139">
        <v>1429</v>
      </c>
      <c r="E17" s="199">
        <v>1563</v>
      </c>
      <c r="G17" s="56" t="s">
        <v>353</v>
      </c>
      <c r="H17" s="219">
        <v>0.21428571428571427</v>
      </c>
      <c r="I17" s="219">
        <v>0.375</v>
      </c>
      <c r="J17" s="219">
        <v>0.2857142857142857</v>
      </c>
      <c r="K17" s="219">
        <v>0.5</v>
      </c>
      <c r="L17" s="219">
        <v>0.33333333333333331</v>
      </c>
    </row>
    <row r="18" spans="1:12">
      <c r="A18" s="221" t="s">
        <v>330</v>
      </c>
      <c r="B18" s="221" t="s">
        <v>349</v>
      </c>
      <c r="C18" s="221" t="s">
        <v>350</v>
      </c>
      <c r="D18" s="139">
        <v>2590</v>
      </c>
      <c r="E18" s="199">
        <v>1005</v>
      </c>
      <c r="G18" s="56" t="s">
        <v>216</v>
      </c>
      <c r="H18" s="219">
        <v>1</v>
      </c>
      <c r="I18" s="219">
        <v>1</v>
      </c>
      <c r="J18" s="219">
        <v>1</v>
      </c>
      <c r="K18" s="219">
        <v>1</v>
      </c>
      <c r="L18" s="219">
        <v>1</v>
      </c>
    </row>
    <row r="19" spans="1:12">
      <c r="A19" s="221" t="s">
        <v>352</v>
      </c>
      <c r="B19" s="221" t="s">
        <v>344</v>
      </c>
      <c r="C19" s="221" t="s">
        <v>348</v>
      </c>
      <c r="D19" s="139">
        <v>1511</v>
      </c>
      <c r="E19" s="199">
        <v>959</v>
      </c>
    </row>
    <row r="20" spans="1:12">
      <c r="A20" s="221" t="s">
        <v>330</v>
      </c>
      <c r="B20" s="221" t="s">
        <v>349</v>
      </c>
      <c r="C20" s="221" t="s">
        <v>346</v>
      </c>
      <c r="D20" s="139">
        <v>2234</v>
      </c>
      <c r="E20" s="199">
        <v>1246</v>
      </c>
    </row>
    <row r="21" spans="1:12">
      <c r="A21" s="221" t="s">
        <v>353</v>
      </c>
      <c r="B21" s="221" t="s">
        <v>344</v>
      </c>
      <c r="C21" s="221" t="s">
        <v>345</v>
      </c>
      <c r="D21" s="139">
        <v>1928</v>
      </c>
      <c r="E21" s="199">
        <v>1223</v>
      </c>
    </row>
    <row r="22" spans="1:12">
      <c r="A22" s="221" t="s">
        <v>352</v>
      </c>
      <c r="B22" s="221" t="s">
        <v>344</v>
      </c>
      <c r="C22" s="221" t="s">
        <v>350</v>
      </c>
      <c r="D22" s="139">
        <v>4898</v>
      </c>
      <c r="E22" s="199">
        <v>1667</v>
      </c>
    </row>
    <row r="23" spans="1:12">
      <c r="A23" s="221" t="s">
        <v>330</v>
      </c>
      <c r="B23" s="221" t="s">
        <v>349</v>
      </c>
      <c r="C23" s="221" t="s">
        <v>348</v>
      </c>
      <c r="D23" s="139">
        <v>4200</v>
      </c>
      <c r="E23" s="199">
        <v>1250</v>
      </c>
    </row>
    <row r="24" spans="1:12">
      <c r="A24" s="221" t="s">
        <v>353</v>
      </c>
      <c r="B24" s="221" t="s">
        <v>344</v>
      </c>
      <c r="C24" s="221" t="s">
        <v>348</v>
      </c>
      <c r="D24" s="139">
        <v>1785</v>
      </c>
      <c r="E24" s="199">
        <v>1034</v>
      </c>
    </row>
    <row r="25" spans="1:12">
      <c r="A25" s="221" t="s">
        <v>352</v>
      </c>
      <c r="B25" s="221" t="s">
        <v>344</v>
      </c>
      <c r="C25" s="221" t="s">
        <v>350</v>
      </c>
      <c r="D25" s="139">
        <v>1100</v>
      </c>
      <c r="E25" s="199">
        <v>642</v>
      </c>
    </row>
    <row r="26" spans="1:12">
      <c r="A26" s="221" t="s">
        <v>352</v>
      </c>
      <c r="B26" s="221" t="s">
        <v>325</v>
      </c>
      <c r="C26" s="221" t="s">
        <v>346</v>
      </c>
      <c r="D26" s="139">
        <v>3214</v>
      </c>
      <c r="E26" s="199">
        <v>1200</v>
      </c>
    </row>
    <row r="27" spans="1:12">
      <c r="A27" s="221" t="s">
        <v>330</v>
      </c>
      <c r="B27" s="221" t="s">
        <v>347</v>
      </c>
      <c r="C27" s="221" t="s">
        <v>345</v>
      </c>
      <c r="D27" s="139">
        <v>2931</v>
      </c>
      <c r="E27" s="199">
        <v>1827</v>
      </c>
    </row>
    <row r="28" spans="1:12">
      <c r="A28" s="221" t="s">
        <v>353</v>
      </c>
      <c r="B28" s="221" t="s">
        <v>347</v>
      </c>
      <c r="C28" s="221" t="s">
        <v>350</v>
      </c>
      <c r="D28" s="139">
        <v>4875</v>
      </c>
      <c r="E28" s="199">
        <v>1752</v>
      </c>
    </row>
    <row r="29" spans="1:12">
      <c r="A29" s="221" t="s">
        <v>353</v>
      </c>
      <c r="B29" s="221" t="s">
        <v>349</v>
      </c>
      <c r="C29" s="221" t="s">
        <v>348</v>
      </c>
      <c r="D29" s="139">
        <v>3165</v>
      </c>
      <c r="E29" s="199">
        <v>1271</v>
      </c>
    </row>
    <row r="30" spans="1:12">
      <c r="A30" s="221" t="s">
        <v>352</v>
      </c>
      <c r="B30" s="221" t="s">
        <v>344</v>
      </c>
      <c r="C30" s="221" t="s">
        <v>348</v>
      </c>
      <c r="D30" s="139">
        <v>726</v>
      </c>
      <c r="E30" s="199">
        <v>418</v>
      </c>
    </row>
    <row r="31" spans="1:12">
      <c r="A31" s="221" t="s">
        <v>352</v>
      </c>
      <c r="B31" s="221" t="s">
        <v>325</v>
      </c>
      <c r="C31" s="221" t="s">
        <v>346</v>
      </c>
      <c r="D31" s="139">
        <v>644</v>
      </c>
      <c r="E31" s="199">
        <v>633</v>
      </c>
    </row>
    <row r="32" spans="1:12">
      <c r="A32" s="221" t="s">
        <v>353</v>
      </c>
      <c r="B32" s="221" t="s">
        <v>325</v>
      </c>
      <c r="C32" s="221" t="s">
        <v>348</v>
      </c>
      <c r="D32" s="139">
        <v>2502</v>
      </c>
      <c r="E32" s="199">
        <v>934</v>
      </c>
    </row>
    <row r="33" spans="1:5">
      <c r="A33" s="221" t="s">
        <v>330</v>
      </c>
      <c r="B33" s="221" t="s">
        <v>347</v>
      </c>
      <c r="C33" s="221" t="s">
        <v>350</v>
      </c>
      <c r="D33" s="139">
        <v>930</v>
      </c>
      <c r="E33" s="199">
        <v>777</v>
      </c>
    </row>
    <row r="34" spans="1:5">
      <c r="A34" s="221" t="s">
        <v>330</v>
      </c>
      <c r="B34" s="221" t="s">
        <v>344</v>
      </c>
      <c r="C34" s="221" t="s">
        <v>345</v>
      </c>
      <c r="D34" s="139">
        <v>4169</v>
      </c>
      <c r="E34" s="199">
        <v>1990</v>
      </c>
    </row>
    <row r="35" spans="1:5">
      <c r="A35" s="221" t="s">
        <v>353</v>
      </c>
      <c r="B35" s="221" t="s">
        <v>349</v>
      </c>
      <c r="C35" s="221" t="s">
        <v>348</v>
      </c>
      <c r="D35" s="139">
        <v>388</v>
      </c>
      <c r="E35" s="199">
        <v>854</v>
      </c>
    </row>
    <row r="36" spans="1:5">
      <c r="A36" s="221" t="s">
        <v>330</v>
      </c>
      <c r="B36" s="221" t="s">
        <v>344</v>
      </c>
      <c r="C36" s="221" t="s">
        <v>350</v>
      </c>
      <c r="D36" s="139">
        <v>829</v>
      </c>
      <c r="E36" s="199">
        <v>535</v>
      </c>
    </row>
    <row r="37" spans="1:5">
      <c r="A37" s="221" t="s">
        <v>353</v>
      </c>
      <c r="B37" s="221" t="s">
        <v>349</v>
      </c>
      <c r="C37" s="221" t="s">
        <v>346</v>
      </c>
      <c r="D37" s="139">
        <v>774</v>
      </c>
      <c r="E37" s="199">
        <v>472</v>
      </c>
    </row>
    <row r="38" spans="1:5">
      <c r="A38" s="221" t="s">
        <v>352</v>
      </c>
      <c r="B38" s="221" t="s">
        <v>344</v>
      </c>
      <c r="C38" s="221" t="s">
        <v>345</v>
      </c>
      <c r="D38" s="139">
        <v>1264</v>
      </c>
      <c r="E38" s="199">
        <v>697</v>
      </c>
    </row>
    <row r="39" spans="1:5">
      <c r="A39" s="221" t="s">
        <v>353</v>
      </c>
      <c r="B39" s="221" t="s">
        <v>325</v>
      </c>
      <c r="C39" s="221" t="s">
        <v>345</v>
      </c>
      <c r="D39" s="139">
        <v>7809</v>
      </c>
      <c r="E39" s="199">
        <v>2685</v>
      </c>
    </row>
    <row r="40" spans="1:5">
      <c r="A40" s="221" t="s">
        <v>330</v>
      </c>
      <c r="B40" s="221" t="s">
        <v>347</v>
      </c>
      <c r="C40" s="221" t="s">
        <v>345</v>
      </c>
      <c r="D40" s="139">
        <v>2469</v>
      </c>
      <c r="E40" s="199">
        <v>1548</v>
      </c>
    </row>
    <row r="41" spans="1:5">
      <c r="A41" s="221" t="s">
        <v>352</v>
      </c>
      <c r="B41" s="221" t="s">
        <v>325</v>
      </c>
      <c r="C41" s="221" t="s">
        <v>348</v>
      </c>
      <c r="D41" s="139">
        <v>2315</v>
      </c>
      <c r="E41" s="199">
        <v>1409</v>
      </c>
    </row>
    <row r="42" spans="1:5">
      <c r="A42" s="221" t="s">
        <v>353</v>
      </c>
      <c r="B42" s="221" t="s">
        <v>349</v>
      </c>
      <c r="C42" s="221" t="s">
        <v>346</v>
      </c>
      <c r="D42" s="139">
        <v>1050</v>
      </c>
      <c r="E42" s="199">
        <v>613</v>
      </c>
    </row>
    <row r="43" spans="1:5">
      <c r="A43" s="221" t="s">
        <v>330</v>
      </c>
      <c r="B43" s="221" t="s">
        <v>344</v>
      </c>
      <c r="C43" s="221" t="s">
        <v>345</v>
      </c>
      <c r="D43" s="139">
        <v>5143</v>
      </c>
      <c r="E43" s="199">
        <v>1642</v>
      </c>
    </row>
    <row r="44" spans="1:5">
      <c r="A44" s="221" t="s">
        <v>352</v>
      </c>
      <c r="B44" s="221" t="s">
        <v>347</v>
      </c>
      <c r="C44" s="221" t="s">
        <v>350</v>
      </c>
      <c r="D44" s="139">
        <v>965</v>
      </c>
      <c r="E44" s="199">
        <v>823</v>
      </c>
    </row>
    <row r="45" spans="1:5">
      <c r="A45" s="221" t="s">
        <v>352</v>
      </c>
      <c r="B45" s="221" t="s">
        <v>325</v>
      </c>
      <c r="C45" s="221" t="s">
        <v>350</v>
      </c>
      <c r="D45" s="139">
        <v>4490</v>
      </c>
      <c r="E45" s="199">
        <v>1610</v>
      </c>
    </row>
    <row r="46" spans="1:5">
      <c r="A46" s="221" t="s">
        <v>330</v>
      </c>
      <c r="B46" s="221" t="s">
        <v>347</v>
      </c>
      <c r="C46" s="221" t="s">
        <v>345</v>
      </c>
      <c r="D46" s="139">
        <v>5021</v>
      </c>
      <c r="E46" s="199">
        <v>1731</v>
      </c>
    </row>
    <row r="47" spans="1:5">
      <c r="A47" s="221" t="s">
        <v>353</v>
      </c>
      <c r="B47" s="221" t="s">
        <v>325</v>
      </c>
      <c r="C47" s="221" t="s">
        <v>346</v>
      </c>
      <c r="D47" s="139">
        <v>429</v>
      </c>
      <c r="E47" s="199">
        <v>647</v>
      </c>
    </row>
    <row r="48" spans="1:5">
      <c r="A48" s="221" t="s">
        <v>353</v>
      </c>
      <c r="B48" s="221" t="s">
        <v>347</v>
      </c>
      <c r="C48" s="221" t="s">
        <v>348</v>
      </c>
      <c r="D48" s="139">
        <v>1533</v>
      </c>
      <c r="E48" s="199">
        <v>976</v>
      </c>
    </row>
    <row r="49" spans="1:5">
      <c r="A49" s="221" t="s">
        <v>353</v>
      </c>
      <c r="B49" s="221" t="s">
        <v>349</v>
      </c>
      <c r="C49" s="221" t="s">
        <v>350</v>
      </c>
      <c r="D49" s="139">
        <v>7901</v>
      </c>
      <c r="E49" s="199">
        <v>3127</v>
      </c>
    </row>
    <row r="50" spans="1:5">
      <c r="A50" s="221" t="s">
        <v>352</v>
      </c>
      <c r="B50" s="221" t="s">
        <v>344</v>
      </c>
      <c r="C50" s="221" t="s">
        <v>345</v>
      </c>
      <c r="D50" s="139">
        <v>1459</v>
      </c>
      <c r="E50" s="199">
        <v>980</v>
      </c>
    </row>
    <row r="51" spans="1:5">
      <c r="A51" s="221" t="s">
        <v>353</v>
      </c>
      <c r="B51" s="221" t="s">
        <v>325</v>
      </c>
      <c r="C51" s="221" t="s">
        <v>346</v>
      </c>
      <c r="D51" s="139">
        <v>2402</v>
      </c>
      <c r="E51" s="199">
        <v>1240</v>
      </c>
    </row>
    <row r="52" spans="1:5">
      <c r="A52" s="221" t="s">
        <v>330</v>
      </c>
      <c r="B52" s="221" t="s">
        <v>347</v>
      </c>
      <c r="C52" s="221" t="s">
        <v>348</v>
      </c>
      <c r="D52" s="139">
        <v>675</v>
      </c>
      <c r="E52" s="199">
        <v>291</v>
      </c>
    </row>
    <row r="53" spans="1:5">
      <c r="A53" s="221" t="s">
        <v>330</v>
      </c>
      <c r="B53" s="221" t="s">
        <v>349</v>
      </c>
      <c r="C53" s="221" t="s">
        <v>348</v>
      </c>
      <c r="D53" s="139">
        <v>4024</v>
      </c>
      <c r="E53" s="199">
        <v>1595</v>
      </c>
    </row>
    <row r="54" spans="1:5">
      <c r="A54" s="221" t="s">
        <v>352</v>
      </c>
      <c r="B54" s="221" t="s">
        <v>344</v>
      </c>
      <c r="C54" s="221" t="s">
        <v>350</v>
      </c>
      <c r="D54" s="139">
        <v>1196</v>
      </c>
      <c r="E54" s="199">
        <v>927</v>
      </c>
    </row>
    <row r="55" spans="1:5">
      <c r="A55" s="221" t="s">
        <v>352</v>
      </c>
      <c r="B55" s="221" t="s">
        <v>325</v>
      </c>
      <c r="C55" s="221" t="s">
        <v>345</v>
      </c>
      <c r="D55" s="139">
        <v>4069</v>
      </c>
      <c r="E55" s="199">
        <v>1965</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0"/>
  <dimension ref="A1:N7285"/>
  <sheetViews>
    <sheetView zoomScaleNormal="100" workbookViewId="0"/>
  </sheetViews>
  <sheetFormatPr defaultColWidth="9.109375" defaultRowHeight="14.4"/>
  <cols>
    <col min="1" max="1" width="1.6640625" style="221" customWidth="1"/>
    <col min="2" max="2" width="8.6640625" style="221" bestFit="1" customWidth="1"/>
    <col min="3" max="3" width="8.44140625" style="221" bestFit="1" customWidth="1"/>
    <col min="4" max="4" width="17.44140625" style="221" bestFit="1" customWidth="1"/>
    <col min="5" max="5" width="13.109375" style="221" bestFit="1" customWidth="1"/>
    <col min="6" max="6" width="9.109375" style="221"/>
    <col min="7" max="7" width="1.6640625" style="221" customWidth="1"/>
    <col min="8" max="14" width="9.44140625" style="221" customWidth="1"/>
    <col min="15" max="16384" width="9.109375" style="221"/>
  </cols>
  <sheetData>
    <row r="1" spans="1:14" ht="25.2">
      <c r="A1" s="242" t="s">
        <v>383</v>
      </c>
    </row>
    <row r="2" spans="1:14">
      <c r="B2" s="243"/>
      <c r="C2" s="8"/>
      <c r="D2" s="8"/>
      <c r="E2" s="8"/>
      <c r="F2" s="8"/>
      <c r="H2" s="222"/>
      <c r="I2" s="222"/>
      <c r="J2" s="222"/>
      <c r="K2" s="222"/>
      <c r="L2" s="222"/>
    </row>
    <row r="3" spans="1:14">
      <c r="B3" s="244" t="s">
        <v>384</v>
      </c>
      <c r="C3" s="245"/>
      <c r="D3" s="246"/>
      <c r="E3" s="246"/>
      <c r="F3" s="247"/>
      <c r="H3" s="244" t="s">
        <v>385</v>
      </c>
      <c r="I3" s="248"/>
      <c r="J3" s="248"/>
      <c r="K3" s="248"/>
      <c r="L3" s="248"/>
      <c r="M3" s="248"/>
      <c r="N3" s="249"/>
    </row>
    <row r="4" spans="1:14">
      <c r="B4" s="222" t="s">
        <v>386</v>
      </c>
      <c r="C4" s="222"/>
      <c r="D4" s="222"/>
      <c r="E4" s="222"/>
      <c r="F4" s="9"/>
      <c r="H4" s="222" t="s">
        <v>387</v>
      </c>
      <c r="I4" s="222"/>
      <c r="J4" s="222"/>
      <c r="K4" s="222"/>
    </row>
    <row r="5" spans="1:14">
      <c r="B5" s="221" t="s">
        <v>388</v>
      </c>
      <c r="E5" s="222"/>
      <c r="F5" s="250">
        <v>30000</v>
      </c>
      <c r="H5" s="222" t="s">
        <v>389</v>
      </c>
      <c r="J5" s="222"/>
      <c r="K5" s="251">
        <v>2018</v>
      </c>
    </row>
    <row r="6" spans="1:14">
      <c r="B6" s="243"/>
      <c r="C6" s="8"/>
      <c r="D6" s="8"/>
      <c r="E6" s="8"/>
      <c r="F6" s="8"/>
      <c r="G6" s="222"/>
    </row>
    <row r="7" spans="1:14">
      <c r="B7" s="243" t="s">
        <v>390</v>
      </c>
      <c r="C7" s="8" t="s">
        <v>391</v>
      </c>
      <c r="D7" s="8" t="s">
        <v>392</v>
      </c>
      <c r="E7" s="8" t="s">
        <v>209</v>
      </c>
      <c r="F7" s="8" t="s">
        <v>393</v>
      </c>
      <c r="G7" s="222"/>
    </row>
    <row r="8" spans="1:14">
      <c r="B8" s="252">
        <v>39436</v>
      </c>
      <c r="C8" s="222" t="s">
        <v>394</v>
      </c>
      <c r="D8" s="99">
        <v>29688</v>
      </c>
      <c r="E8" s="222" t="s">
        <v>211</v>
      </c>
      <c r="F8" s="222">
        <v>2007</v>
      </c>
      <c r="G8" s="229"/>
      <c r="I8" s="9">
        <v>2014</v>
      </c>
      <c r="J8" s="9">
        <f>I8+1</f>
        <v>2015</v>
      </c>
      <c r="K8" s="9">
        <f>J8+1</f>
        <v>2016</v>
      </c>
      <c r="L8" s="9">
        <f>K8+1</f>
        <v>2017</v>
      </c>
      <c r="M8" s="9">
        <f>L8+1</f>
        <v>2018</v>
      </c>
      <c r="N8" s="9">
        <f>M8+1</f>
        <v>2019</v>
      </c>
    </row>
    <row r="9" spans="1:14">
      <c r="B9" s="253">
        <v>39496</v>
      </c>
      <c r="C9" s="221" t="s">
        <v>395</v>
      </c>
      <c r="D9" s="101">
        <v>37812</v>
      </c>
      <c r="E9" s="221" t="s">
        <v>211</v>
      </c>
      <c r="F9" s="221">
        <v>2008</v>
      </c>
      <c r="G9" s="229"/>
      <c r="H9" s="221" t="s">
        <v>36</v>
      </c>
      <c r="I9" s="99">
        <v>100</v>
      </c>
      <c r="J9" s="99">
        <f>I9*1.1</f>
        <v>110.00000000000001</v>
      </c>
      <c r="K9" s="99">
        <f>J9*1.1</f>
        <v>121.00000000000003</v>
      </c>
      <c r="L9" s="99">
        <f>K9*1.1</f>
        <v>133.10000000000005</v>
      </c>
      <c r="M9" s="99">
        <f>L9*1.1</f>
        <v>146.41000000000008</v>
      </c>
      <c r="N9" s="99">
        <f>M9*1.1</f>
        <v>161.0510000000001</v>
      </c>
    </row>
    <row r="10" spans="1:14">
      <c r="B10" s="254">
        <v>39179</v>
      </c>
      <c r="C10" s="221" t="s">
        <v>396</v>
      </c>
      <c r="D10" s="101">
        <v>6804</v>
      </c>
      <c r="E10" s="221" t="s">
        <v>213</v>
      </c>
      <c r="F10" s="221">
        <v>2007</v>
      </c>
      <c r="H10" s="221" t="s">
        <v>397</v>
      </c>
      <c r="I10" s="101">
        <f t="shared" ref="I10:N10" si="0">I9*0.55</f>
        <v>55.000000000000007</v>
      </c>
      <c r="J10" s="101">
        <f t="shared" si="0"/>
        <v>60.500000000000014</v>
      </c>
      <c r="K10" s="101">
        <f t="shared" si="0"/>
        <v>66.550000000000026</v>
      </c>
      <c r="L10" s="101">
        <f t="shared" si="0"/>
        <v>73.205000000000041</v>
      </c>
      <c r="M10" s="101">
        <f t="shared" si="0"/>
        <v>80.525500000000051</v>
      </c>
      <c r="N10" s="101">
        <f t="shared" si="0"/>
        <v>88.578050000000061</v>
      </c>
    </row>
    <row r="11" spans="1:14">
      <c r="B11" s="254">
        <v>39508</v>
      </c>
      <c r="C11" s="221" t="s">
        <v>398</v>
      </c>
      <c r="D11" s="101">
        <v>14867</v>
      </c>
      <c r="E11" s="221" t="s">
        <v>210</v>
      </c>
      <c r="F11" s="221">
        <v>2008</v>
      </c>
    </row>
    <row r="12" spans="1:14">
      <c r="B12" s="254">
        <v>38965</v>
      </c>
      <c r="C12" s="221" t="s">
        <v>395</v>
      </c>
      <c r="D12" s="101">
        <v>29406</v>
      </c>
      <c r="E12" s="221" t="s">
        <v>211</v>
      </c>
      <c r="F12" s="221">
        <v>2006</v>
      </c>
    </row>
    <row r="13" spans="1:14">
      <c r="B13" s="254">
        <v>38785</v>
      </c>
      <c r="C13" s="221" t="s">
        <v>398</v>
      </c>
      <c r="D13" s="101">
        <v>35784</v>
      </c>
      <c r="E13" s="221" t="s">
        <v>213</v>
      </c>
      <c r="F13" s="221">
        <v>2006</v>
      </c>
      <c r="H13" s="244" t="s">
        <v>399</v>
      </c>
      <c r="I13" s="248"/>
      <c r="J13" s="248"/>
      <c r="K13" s="248"/>
      <c r="L13" s="249"/>
    </row>
    <row r="14" spans="1:14">
      <c r="B14" s="254">
        <v>39181</v>
      </c>
      <c r="C14" s="221" t="s">
        <v>395</v>
      </c>
      <c r="D14" s="101">
        <v>30005</v>
      </c>
      <c r="E14" s="221" t="s">
        <v>210</v>
      </c>
      <c r="F14" s="221">
        <v>2007</v>
      </c>
      <c r="H14" s="222" t="s">
        <v>400</v>
      </c>
      <c r="I14" s="222"/>
      <c r="J14" s="222"/>
      <c r="L14" s="255">
        <v>2</v>
      </c>
    </row>
    <row r="15" spans="1:14">
      <c r="B15" s="254">
        <v>39418</v>
      </c>
      <c r="C15" s="221" t="s">
        <v>398</v>
      </c>
      <c r="D15" s="101">
        <v>37033</v>
      </c>
      <c r="E15" s="221" t="s">
        <v>212</v>
      </c>
      <c r="F15" s="221">
        <v>2007</v>
      </c>
      <c r="H15" s="221" t="s">
        <v>401</v>
      </c>
      <c r="J15" s="222"/>
      <c r="L15" s="256">
        <v>0.15</v>
      </c>
    </row>
    <row r="16" spans="1:14">
      <c r="B16" s="254">
        <v>38805</v>
      </c>
      <c r="C16" s="221" t="s">
        <v>398</v>
      </c>
      <c r="D16" s="101">
        <v>23106</v>
      </c>
      <c r="E16" s="221" t="s">
        <v>210</v>
      </c>
      <c r="F16" s="221">
        <v>2006</v>
      </c>
      <c r="H16" s="257" t="s">
        <v>402</v>
      </c>
      <c r="J16" s="222"/>
      <c r="K16" s="258"/>
    </row>
    <row r="17" spans="2:12">
      <c r="B17" s="254">
        <v>39373</v>
      </c>
      <c r="C17" s="221" t="s">
        <v>398</v>
      </c>
      <c r="D17" s="101">
        <v>9910</v>
      </c>
      <c r="E17" s="221" t="s">
        <v>213</v>
      </c>
      <c r="F17" s="221">
        <v>2007</v>
      </c>
      <c r="H17" s="257"/>
      <c r="J17" s="222"/>
      <c r="K17" s="258"/>
    </row>
    <row r="18" spans="2:12">
      <c r="B18" s="254">
        <v>38765</v>
      </c>
      <c r="C18" s="221" t="s">
        <v>395</v>
      </c>
      <c r="D18" s="101">
        <v>11012</v>
      </c>
      <c r="E18" s="221" t="s">
        <v>211</v>
      </c>
      <c r="F18" s="221">
        <v>2006</v>
      </c>
      <c r="H18" s="8" t="s">
        <v>403</v>
      </c>
      <c r="I18" s="8" t="s">
        <v>404</v>
      </c>
      <c r="J18" s="8" t="s">
        <v>405</v>
      </c>
      <c r="K18" s="8" t="s">
        <v>406</v>
      </c>
      <c r="L18" s="8" t="s">
        <v>407</v>
      </c>
    </row>
    <row r="19" spans="2:12">
      <c r="B19" s="254">
        <v>39236</v>
      </c>
      <c r="C19" s="221" t="s">
        <v>396</v>
      </c>
      <c r="D19" s="101">
        <v>8032</v>
      </c>
      <c r="E19" s="221" t="s">
        <v>211</v>
      </c>
      <c r="F19" s="221">
        <v>2007</v>
      </c>
      <c r="H19" s="222">
        <v>1</v>
      </c>
      <c r="I19" s="222">
        <v>-1</v>
      </c>
      <c r="J19" s="259">
        <v>0.15</v>
      </c>
      <c r="K19" s="260">
        <v>13</v>
      </c>
      <c r="L19" s="261">
        <v>0.08</v>
      </c>
    </row>
    <row r="20" spans="2:12">
      <c r="B20" s="254">
        <v>39162</v>
      </c>
      <c r="C20" s="221" t="s">
        <v>396</v>
      </c>
      <c r="D20" s="101">
        <v>10112</v>
      </c>
      <c r="E20" s="221" t="s">
        <v>211</v>
      </c>
      <c r="F20" s="221">
        <v>2007</v>
      </c>
      <c r="H20" s="221">
        <v>2</v>
      </c>
      <c r="I20" s="221">
        <v>-2</v>
      </c>
      <c r="J20" s="262">
        <v>0</v>
      </c>
      <c r="K20" s="263">
        <v>13</v>
      </c>
      <c r="L20" s="264">
        <v>0.02</v>
      </c>
    </row>
    <row r="21" spans="2:12">
      <c r="B21" s="254">
        <v>39269</v>
      </c>
      <c r="C21" s="221" t="s">
        <v>398</v>
      </c>
      <c r="D21" s="101">
        <v>24643</v>
      </c>
      <c r="E21" s="221" t="s">
        <v>211</v>
      </c>
      <c r="F21" s="221">
        <v>2007</v>
      </c>
      <c r="H21" s="221">
        <v>3</v>
      </c>
      <c r="I21" s="221">
        <v>-2</v>
      </c>
      <c r="J21" s="262">
        <v>0.1</v>
      </c>
      <c r="K21" s="263">
        <v>13</v>
      </c>
      <c r="L21" s="264">
        <v>0</v>
      </c>
    </row>
    <row r="22" spans="2:12">
      <c r="B22" s="254">
        <v>39434</v>
      </c>
      <c r="C22" s="221" t="s">
        <v>394</v>
      </c>
      <c r="D22" s="101">
        <v>25876</v>
      </c>
      <c r="E22" s="221" t="s">
        <v>212</v>
      </c>
      <c r="F22" s="221">
        <v>2007</v>
      </c>
      <c r="H22" s="221">
        <v>4</v>
      </c>
      <c r="I22" s="221">
        <v>1</v>
      </c>
      <c r="J22" s="262">
        <v>0.03</v>
      </c>
      <c r="K22" s="263">
        <v>14</v>
      </c>
      <c r="L22" s="264">
        <v>0.03</v>
      </c>
    </row>
    <row r="23" spans="2:12">
      <c r="B23" s="254">
        <v>39394</v>
      </c>
      <c r="C23" s="221" t="s">
        <v>398</v>
      </c>
      <c r="D23" s="101">
        <v>25627</v>
      </c>
      <c r="E23" s="221" t="s">
        <v>213</v>
      </c>
      <c r="F23" s="221">
        <v>2007</v>
      </c>
      <c r="H23" s="221">
        <v>5</v>
      </c>
      <c r="I23" s="221">
        <v>-1</v>
      </c>
      <c r="J23" s="262">
        <v>0.09</v>
      </c>
      <c r="K23" s="263">
        <v>8</v>
      </c>
      <c r="L23" s="264">
        <v>0.02</v>
      </c>
    </row>
    <row r="24" spans="2:12">
      <c r="B24" s="254">
        <v>39435</v>
      </c>
      <c r="C24" s="221" t="s">
        <v>398</v>
      </c>
      <c r="D24" s="101">
        <v>13656</v>
      </c>
      <c r="E24" s="221" t="s">
        <v>213</v>
      </c>
      <c r="F24" s="221">
        <v>2007</v>
      </c>
      <c r="H24" s="221">
        <v>6</v>
      </c>
      <c r="I24" s="221">
        <v>3</v>
      </c>
      <c r="J24" s="262">
        <v>0.31</v>
      </c>
      <c r="K24" s="263">
        <v>10</v>
      </c>
      <c r="L24" s="264">
        <v>0.03</v>
      </c>
    </row>
    <row r="25" spans="2:12">
      <c r="B25" s="254">
        <v>39552</v>
      </c>
      <c r="C25" s="221" t="s">
        <v>395</v>
      </c>
      <c r="D25" s="101">
        <v>16159</v>
      </c>
      <c r="E25" s="221" t="s">
        <v>211</v>
      </c>
      <c r="F25" s="221">
        <v>2008</v>
      </c>
      <c r="H25" s="221">
        <v>7</v>
      </c>
      <c r="I25" s="221">
        <v>1</v>
      </c>
      <c r="J25" s="262">
        <v>0.22999999999999998</v>
      </c>
      <c r="K25" s="263">
        <v>9</v>
      </c>
      <c r="L25" s="264">
        <v>0.05</v>
      </c>
    </row>
    <row r="26" spans="2:12">
      <c r="B26" s="254">
        <v>39108</v>
      </c>
      <c r="C26" s="221" t="s">
        <v>398</v>
      </c>
      <c r="D26" s="101">
        <v>22918</v>
      </c>
      <c r="E26" s="221" t="s">
        <v>210</v>
      </c>
      <c r="F26" s="221">
        <v>2007</v>
      </c>
      <c r="H26" s="221">
        <v>8</v>
      </c>
      <c r="I26" s="221">
        <v>-2</v>
      </c>
      <c r="J26" s="262">
        <v>6.9999999999999993E-2</v>
      </c>
      <c r="K26" s="263">
        <v>13</v>
      </c>
      <c r="L26" s="264">
        <v>7.0000000000000007E-2</v>
      </c>
    </row>
    <row r="27" spans="2:12">
      <c r="B27" s="254">
        <v>39382</v>
      </c>
      <c r="C27" s="221" t="s">
        <v>394</v>
      </c>
      <c r="D27" s="101">
        <v>18825</v>
      </c>
      <c r="E27" s="221" t="s">
        <v>210</v>
      </c>
      <c r="F27" s="221">
        <v>2007</v>
      </c>
      <c r="H27" s="221">
        <v>9</v>
      </c>
      <c r="I27" s="221">
        <v>-2</v>
      </c>
      <c r="J27" s="262">
        <v>0.22000000000000003</v>
      </c>
      <c r="K27" s="263">
        <v>7</v>
      </c>
      <c r="L27" s="264">
        <v>0.01</v>
      </c>
    </row>
    <row r="28" spans="2:12">
      <c r="B28" s="254">
        <v>38986</v>
      </c>
      <c r="C28" s="221" t="s">
        <v>394</v>
      </c>
      <c r="D28" s="101">
        <v>17893</v>
      </c>
      <c r="E28" s="221" t="s">
        <v>212</v>
      </c>
      <c r="F28" s="221">
        <v>2006</v>
      </c>
      <c r="H28" s="221">
        <v>10</v>
      </c>
      <c r="I28" s="221">
        <v>3</v>
      </c>
      <c r="J28" s="262">
        <v>0.35</v>
      </c>
      <c r="K28" s="263">
        <v>12</v>
      </c>
      <c r="L28" s="264">
        <v>0.05</v>
      </c>
    </row>
    <row r="29" spans="2:12">
      <c r="B29" s="254">
        <v>39540</v>
      </c>
      <c r="C29" s="221" t="s">
        <v>395</v>
      </c>
      <c r="D29" s="101">
        <v>35667</v>
      </c>
      <c r="E29" s="221" t="s">
        <v>212</v>
      </c>
      <c r="F29" s="221">
        <v>2008</v>
      </c>
      <c r="H29" s="221">
        <v>11</v>
      </c>
      <c r="I29" s="221">
        <v>-2</v>
      </c>
      <c r="J29" s="262">
        <v>0.27</v>
      </c>
      <c r="K29" s="263">
        <v>14</v>
      </c>
      <c r="L29" s="264">
        <v>0</v>
      </c>
    </row>
    <row r="30" spans="2:12">
      <c r="B30" s="254">
        <v>39200</v>
      </c>
      <c r="C30" s="221" t="s">
        <v>396</v>
      </c>
      <c r="D30" s="101">
        <v>8538</v>
      </c>
      <c r="E30" s="221" t="s">
        <v>212</v>
      </c>
      <c r="F30" s="221">
        <v>2007</v>
      </c>
      <c r="H30" s="221">
        <v>12</v>
      </c>
      <c r="I30" s="221">
        <v>4</v>
      </c>
      <c r="J30" s="262">
        <v>0.09</v>
      </c>
      <c r="K30" s="263">
        <v>7</v>
      </c>
      <c r="L30" s="264">
        <v>0.01</v>
      </c>
    </row>
    <row r="31" spans="2:12">
      <c r="B31" s="254">
        <v>39605</v>
      </c>
      <c r="C31" s="221" t="s">
        <v>394</v>
      </c>
      <c r="D31" s="101">
        <v>38989</v>
      </c>
      <c r="E31" s="221" t="s">
        <v>210</v>
      </c>
      <c r="F31" s="221">
        <v>2008</v>
      </c>
      <c r="H31" s="221">
        <v>13</v>
      </c>
      <c r="I31" s="221">
        <v>4</v>
      </c>
      <c r="J31" s="262">
        <v>0.15</v>
      </c>
      <c r="K31" s="263">
        <v>14</v>
      </c>
      <c r="L31" s="264">
        <v>0.06</v>
      </c>
    </row>
    <row r="32" spans="2:12">
      <c r="B32" s="254">
        <v>39572</v>
      </c>
      <c r="C32" s="221" t="s">
        <v>395</v>
      </c>
      <c r="D32" s="101">
        <v>19745</v>
      </c>
      <c r="E32" s="221" t="s">
        <v>213</v>
      </c>
      <c r="F32" s="221">
        <v>2008</v>
      </c>
      <c r="H32" s="221">
        <v>14</v>
      </c>
      <c r="I32" s="221">
        <v>-2</v>
      </c>
      <c r="J32" s="262">
        <v>0.1</v>
      </c>
      <c r="K32" s="263">
        <v>14</v>
      </c>
      <c r="L32" s="264">
        <v>0.04</v>
      </c>
    </row>
    <row r="33" spans="2:12">
      <c r="B33" s="254">
        <v>38796</v>
      </c>
      <c r="C33" s="221" t="s">
        <v>396</v>
      </c>
      <c r="D33" s="101">
        <v>9050</v>
      </c>
      <c r="E33" s="221" t="s">
        <v>211</v>
      </c>
      <c r="F33" s="221">
        <v>2006</v>
      </c>
      <c r="H33" s="221">
        <v>15</v>
      </c>
      <c r="I33" s="221">
        <v>2</v>
      </c>
      <c r="J33" s="262">
        <v>0.19</v>
      </c>
      <c r="K33" s="263">
        <v>14</v>
      </c>
      <c r="L33" s="264">
        <v>0.01</v>
      </c>
    </row>
    <row r="34" spans="2:12">
      <c r="B34" s="254">
        <v>39533</v>
      </c>
      <c r="C34" s="221" t="s">
        <v>396</v>
      </c>
      <c r="D34" s="101">
        <v>17277</v>
      </c>
      <c r="E34" s="221" t="s">
        <v>212</v>
      </c>
      <c r="F34" s="221">
        <v>2008</v>
      </c>
      <c r="H34" s="221">
        <v>16</v>
      </c>
      <c r="I34" s="221">
        <v>-1</v>
      </c>
      <c r="J34" s="262">
        <v>0.21000000000000002</v>
      </c>
      <c r="K34" s="263">
        <v>14</v>
      </c>
      <c r="L34" s="264">
        <v>0.03</v>
      </c>
    </row>
    <row r="35" spans="2:12">
      <c r="B35" s="254">
        <v>39016</v>
      </c>
      <c r="C35" s="221" t="s">
        <v>394</v>
      </c>
      <c r="D35" s="101">
        <v>39030</v>
      </c>
      <c r="E35" s="221" t="s">
        <v>213</v>
      </c>
      <c r="F35" s="221">
        <v>2006</v>
      </c>
      <c r="H35" s="221">
        <v>17</v>
      </c>
      <c r="I35" s="221">
        <v>-2</v>
      </c>
      <c r="J35" s="262">
        <v>0.08</v>
      </c>
      <c r="K35" s="263">
        <v>11</v>
      </c>
      <c r="L35" s="264">
        <v>0.02</v>
      </c>
    </row>
    <row r="36" spans="2:12">
      <c r="B36" s="254">
        <v>38899</v>
      </c>
      <c r="C36" s="221" t="s">
        <v>398</v>
      </c>
      <c r="D36" s="101">
        <v>37998</v>
      </c>
      <c r="E36" s="221" t="s">
        <v>212</v>
      </c>
      <c r="F36" s="221">
        <v>2006</v>
      </c>
      <c r="H36" s="221">
        <v>18</v>
      </c>
      <c r="I36" s="221">
        <v>-2</v>
      </c>
      <c r="J36" s="262">
        <v>0.33999999999999997</v>
      </c>
      <c r="K36" s="263">
        <v>9</v>
      </c>
      <c r="L36" s="264">
        <v>0.08</v>
      </c>
    </row>
    <row r="37" spans="2:12">
      <c r="B37" s="254">
        <v>38743</v>
      </c>
      <c r="C37" s="221" t="s">
        <v>396</v>
      </c>
      <c r="D37" s="101">
        <v>29229</v>
      </c>
      <c r="E37" s="221" t="s">
        <v>213</v>
      </c>
      <c r="F37" s="221">
        <v>2006</v>
      </c>
      <c r="H37" s="221">
        <v>19</v>
      </c>
      <c r="I37" s="221">
        <v>1</v>
      </c>
      <c r="J37" s="262">
        <v>0.05</v>
      </c>
      <c r="K37" s="263">
        <v>8</v>
      </c>
      <c r="L37" s="264">
        <v>0.05</v>
      </c>
    </row>
    <row r="38" spans="2:12">
      <c r="B38" s="254">
        <v>38764</v>
      </c>
      <c r="C38" s="221" t="s">
        <v>398</v>
      </c>
      <c r="D38" s="101">
        <v>23414</v>
      </c>
      <c r="E38" s="221" t="s">
        <v>213</v>
      </c>
      <c r="F38" s="221">
        <v>2006</v>
      </c>
      <c r="H38" s="221">
        <v>20</v>
      </c>
      <c r="I38" s="221">
        <v>2</v>
      </c>
      <c r="J38" s="262">
        <v>0</v>
      </c>
      <c r="K38" s="263">
        <v>12</v>
      </c>
      <c r="L38" s="264">
        <v>0</v>
      </c>
    </row>
    <row r="39" spans="2:12">
      <c r="B39" s="254">
        <v>39441</v>
      </c>
      <c r="C39" s="221" t="s">
        <v>394</v>
      </c>
      <c r="D39" s="101">
        <v>10250</v>
      </c>
      <c r="E39" s="221" t="s">
        <v>211</v>
      </c>
      <c r="F39" s="221">
        <v>2007</v>
      </c>
      <c r="H39" s="221">
        <v>21</v>
      </c>
      <c r="I39" s="221">
        <v>4</v>
      </c>
      <c r="J39" s="262">
        <v>0.21000000000000002</v>
      </c>
      <c r="K39" s="263">
        <v>8</v>
      </c>
      <c r="L39" s="264">
        <v>0</v>
      </c>
    </row>
    <row r="40" spans="2:12">
      <c r="B40" s="254">
        <v>39279</v>
      </c>
      <c r="C40" s="221" t="s">
        <v>398</v>
      </c>
      <c r="D40" s="101">
        <v>31581</v>
      </c>
      <c r="E40" s="221" t="s">
        <v>211</v>
      </c>
      <c r="F40" s="221">
        <v>2007</v>
      </c>
      <c r="H40" s="221">
        <v>22</v>
      </c>
      <c r="I40" s="221">
        <v>-2</v>
      </c>
      <c r="J40" s="262">
        <v>0.19</v>
      </c>
      <c r="K40" s="263">
        <v>8</v>
      </c>
      <c r="L40" s="264">
        <v>0.04</v>
      </c>
    </row>
    <row r="41" spans="2:12">
      <c r="B41" s="254">
        <v>39008</v>
      </c>
      <c r="C41" s="221" t="s">
        <v>394</v>
      </c>
      <c r="D41" s="101">
        <v>8389</v>
      </c>
      <c r="E41" s="221" t="s">
        <v>210</v>
      </c>
      <c r="F41" s="221">
        <v>2006</v>
      </c>
      <c r="H41" s="221">
        <v>23</v>
      </c>
      <c r="I41" s="221">
        <v>0</v>
      </c>
      <c r="J41" s="262">
        <v>0.16</v>
      </c>
      <c r="K41" s="263">
        <v>9</v>
      </c>
      <c r="L41" s="264">
        <v>0</v>
      </c>
    </row>
    <row r="42" spans="2:12">
      <c r="B42" s="254">
        <v>39523</v>
      </c>
      <c r="C42" s="221" t="s">
        <v>395</v>
      </c>
      <c r="D42" s="101">
        <v>22551</v>
      </c>
      <c r="E42" s="221" t="s">
        <v>212</v>
      </c>
      <c r="F42" s="221">
        <v>2008</v>
      </c>
      <c r="H42" s="221">
        <v>24</v>
      </c>
      <c r="I42" s="221">
        <v>1</v>
      </c>
      <c r="J42" s="262">
        <v>0.06</v>
      </c>
      <c r="K42" s="263">
        <v>9</v>
      </c>
      <c r="L42" s="264">
        <v>0.05</v>
      </c>
    </row>
    <row r="43" spans="2:12">
      <c r="B43" s="254">
        <v>38920</v>
      </c>
      <c r="C43" s="221" t="s">
        <v>398</v>
      </c>
      <c r="D43" s="101">
        <v>17083</v>
      </c>
      <c r="E43" s="221" t="s">
        <v>213</v>
      </c>
      <c r="F43" s="221">
        <v>2006</v>
      </c>
      <c r="H43" s="221">
        <v>25</v>
      </c>
      <c r="I43" s="221">
        <v>4</v>
      </c>
      <c r="J43" s="262">
        <v>0.27999999999999997</v>
      </c>
      <c r="K43" s="263">
        <v>15</v>
      </c>
      <c r="L43" s="264">
        <v>0</v>
      </c>
    </row>
    <row r="44" spans="2:12">
      <c r="B44" s="254">
        <v>39155</v>
      </c>
      <c r="C44" s="221" t="s">
        <v>396</v>
      </c>
      <c r="D44" s="101">
        <v>22556</v>
      </c>
      <c r="E44" s="221" t="s">
        <v>211</v>
      </c>
      <c r="F44" s="221">
        <v>2007</v>
      </c>
      <c r="H44" s="221">
        <v>26</v>
      </c>
      <c r="I44" s="221">
        <v>4</v>
      </c>
      <c r="J44" s="262">
        <v>0.2</v>
      </c>
      <c r="K44" s="263">
        <v>8</v>
      </c>
      <c r="L44" s="264">
        <v>0.08</v>
      </c>
    </row>
    <row r="45" spans="2:12">
      <c r="B45" s="254">
        <v>39210</v>
      </c>
      <c r="C45" s="221" t="s">
        <v>395</v>
      </c>
      <c r="D45" s="101">
        <v>21328</v>
      </c>
      <c r="E45" s="221" t="s">
        <v>213</v>
      </c>
      <c r="F45" s="221">
        <v>2007</v>
      </c>
      <c r="H45" s="221">
        <v>27</v>
      </c>
      <c r="I45" s="221">
        <v>4</v>
      </c>
      <c r="J45" s="262">
        <v>0.27999999999999997</v>
      </c>
      <c r="K45" s="263">
        <v>10</v>
      </c>
      <c r="L45" s="264">
        <v>0.04</v>
      </c>
    </row>
    <row r="46" spans="2:12">
      <c r="B46" s="254">
        <v>39169</v>
      </c>
      <c r="C46" s="221" t="s">
        <v>396</v>
      </c>
      <c r="D46" s="101">
        <v>23187</v>
      </c>
      <c r="E46" s="221" t="s">
        <v>213</v>
      </c>
      <c r="F46" s="221">
        <v>2007</v>
      </c>
      <c r="H46" s="221">
        <v>28</v>
      </c>
      <c r="I46" s="221">
        <v>-1</v>
      </c>
      <c r="J46" s="262">
        <v>0.08</v>
      </c>
      <c r="K46" s="263">
        <v>8</v>
      </c>
      <c r="L46" s="264">
        <v>0.08</v>
      </c>
    </row>
    <row r="47" spans="2:12">
      <c r="B47" s="254">
        <v>39048</v>
      </c>
      <c r="C47" s="221" t="s">
        <v>396</v>
      </c>
      <c r="D47" s="101">
        <v>39424</v>
      </c>
      <c r="E47" s="221" t="s">
        <v>211</v>
      </c>
      <c r="F47" s="221">
        <v>2006</v>
      </c>
      <c r="H47" s="221">
        <v>29</v>
      </c>
      <c r="I47" s="221">
        <v>4</v>
      </c>
      <c r="J47" s="262">
        <v>0.1</v>
      </c>
      <c r="K47" s="263">
        <v>15</v>
      </c>
      <c r="L47" s="264">
        <v>0.03</v>
      </c>
    </row>
    <row r="48" spans="2:12">
      <c r="B48" s="254">
        <v>39004</v>
      </c>
      <c r="C48" s="221" t="s">
        <v>396</v>
      </c>
      <c r="D48" s="101">
        <v>21797</v>
      </c>
      <c r="E48" s="221" t="s">
        <v>211</v>
      </c>
      <c r="F48" s="221">
        <v>2006</v>
      </c>
      <c r="H48" s="221">
        <v>30</v>
      </c>
      <c r="I48" s="221">
        <v>4</v>
      </c>
      <c r="J48" s="262">
        <v>0.06</v>
      </c>
      <c r="K48" s="263">
        <v>11</v>
      </c>
      <c r="L48" s="264">
        <v>0.03</v>
      </c>
    </row>
    <row r="49" spans="2:12">
      <c r="B49" s="254">
        <v>39081</v>
      </c>
      <c r="C49" s="221" t="s">
        <v>398</v>
      </c>
      <c r="D49" s="101">
        <v>14781</v>
      </c>
      <c r="E49" s="221" t="s">
        <v>212</v>
      </c>
      <c r="F49" s="221">
        <v>2006</v>
      </c>
      <c r="H49" s="221">
        <v>31</v>
      </c>
      <c r="I49" s="221">
        <v>-1</v>
      </c>
      <c r="J49" s="262">
        <v>6.9999999999999993E-2</v>
      </c>
      <c r="K49" s="263">
        <v>11</v>
      </c>
      <c r="L49" s="264">
        <v>0.06</v>
      </c>
    </row>
    <row r="50" spans="2:12">
      <c r="B50" s="254">
        <v>39300</v>
      </c>
      <c r="C50" s="221" t="s">
        <v>398</v>
      </c>
      <c r="D50" s="101">
        <v>29357</v>
      </c>
      <c r="E50" s="221" t="s">
        <v>210</v>
      </c>
      <c r="F50" s="221">
        <v>2007</v>
      </c>
      <c r="H50" s="221">
        <v>32</v>
      </c>
      <c r="I50" s="221">
        <v>2</v>
      </c>
      <c r="J50" s="262">
        <v>0.22000000000000003</v>
      </c>
      <c r="K50" s="263">
        <v>10</v>
      </c>
      <c r="L50" s="264">
        <v>0.04</v>
      </c>
    </row>
    <row r="51" spans="2:12">
      <c r="B51" s="254">
        <v>38874</v>
      </c>
      <c r="C51" s="221" t="s">
        <v>396</v>
      </c>
      <c r="D51" s="101">
        <v>18499</v>
      </c>
      <c r="E51" s="221" t="s">
        <v>211</v>
      </c>
      <c r="F51" s="221">
        <v>2006</v>
      </c>
      <c r="H51" s="221">
        <v>33</v>
      </c>
      <c r="I51" s="221">
        <v>0</v>
      </c>
      <c r="J51" s="262">
        <v>0.27999999999999997</v>
      </c>
      <c r="K51" s="263">
        <v>13</v>
      </c>
      <c r="L51" s="264">
        <v>0.06</v>
      </c>
    </row>
    <row r="52" spans="2:12">
      <c r="B52" s="254">
        <v>39510</v>
      </c>
      <c r="C52" s="221" t="s">
        <v>395</v>
      </c>
      <c r="D52" s="101">
        <v>36672</v>
      </c>
      <c r="E52" s="221" t="s">
        <v>211</v>
      </c>
      <c r="F52" s="221">
        <v>2008</v>
      </c>
      <c r="H52" s="221">
        <v>34</v>
      </c>
      <c r="I52" s="221">
        <v>4</v>
      </c>
      <c r="J52" s="262">
        <v>0.28999999999999998</v>
      </c>
      <c r="K52" s="263">
        <v>14</v>
      </c>
      <c r="L52" s="264">
        <v>0.04</v>
      </c>
    </row>
    <row r="53" spans="2:12">
      <c r="B53" s="254">
        <v>39558</v>
      </c>
      <c r="C53" s="221" t="s">
        <v>395</v>
      </c>
      <c r="D53" s="101">
        <v>28048</v>
      </c>
      <c r="E53" s="221" t="s">
        <v>212</v>
      </c>
      <c r="F53" s="221">
        <v>2008</v>
      </c>
      <c r="H53" s="221">
        <v>35</v>
      </c>
      <c r="I53" s="221">
        <v>3</v>
      </c>
      <c r="J53" s="262">
        <v>0.24</v>
      </c>
      <c r="K53" s="263">
        <v>8</v>
      </c>
      <c r="L53" s="264">
        <v>0.01</v>
      </c>
    </row>
    <row r="54" spans="2:12">
      <c r="B54" s="254">
        <v>38796</v>
      </c>
      <c r="C54" s="221" t="s">
        <v>396</v>
      </c>
      <c r="D54" s="101">
        <v>34340</v>
      </c>
      <c r="E54" s="221" t="s">
        <v>211</v>
      </c>
      <c r="F54" s="221">
        <v>2006</v>
      </c>
      <c r="H54" s="221">
        <v>36</v>
      </c>
      <c r="I54" s="221">
        <v>4</v>
      </c>
      <c r="J54" s="262">
        <v>0.32999999999999996</v>
      </c>
      <c r="K54" s="263">
        <v>10</v>
      </c>
      <c r="L54" s="264">
        <v>0.01</v>
      </c>
    </row>
    <row r="55" spans="2:12">
      <c r="B55" s="254">
        <v>38824</v>
      </c>
      <c r="C55" s="221" t="s">
        <v>396</v>
      </c>
      <c r="D55" s="101">
        <v>38993</v>
      </c>
      <c r="E55" s="221" t="s">
        <v>212</v>
      </c>
      <c r="F55" s="221">
        <v>2006</v>
      </c>
      <c r="H55" s="221">
        <v>37</v>
      </c>
      <c r="I55" s="221">
        <v>-2</v>
      </c>
      <c r="J55" s="262">
        <v>0.35</v>
      </c>
      <c r="K55" s="263">
        <v>9</v>
      </c>
      <c r="L55" s="264">
        <v>0.02</v>
      </c>
    </row>
    <row r="56" spans="2:12">
      <c r="B56" s="254">
        <v>39603</v>
      </c>
      <c r="C56" s="221" t="s">
        <v>394</v>
      </c>
      <c r="D56" s="101">
        <v>5219</v>
      </c>
      <c r="E56" s="221" t="s">
        <v>213</v>
      </c>
      <c r="F56" s="221">
        <v>2008</v>
      </c>
      <c r="H56" s="221">
        <v>38</v>
      </c>
      <c r="I56" s="221">
        <v>3</v>
      </c>
      <c r="J56" s="262">
        <v>0.27</v>
      </c>
      <c r="K56" s="263">
        <v>13</v>
      </c>
      <c r="L56" s="264">
        <v>0.01</v>
      </c>
    </row>
    <row r="57" spans="2:12">
      <c r="B57" s="254">
        <v>39259</v>
      </c>
      <c r="C57" s="221" t="s">
        <v>396</v>
      </c>
      <c r="D57" s="101">
        <v>20108</v>
      </c>
      <c r="E57" s="221" t="s">
        <v>210</v>
      </c>
      <c r="F57" s="221">
        <v>2007</v>
      </c>
      <c r="H57" s="221">
        <v>39</v>
      </c>
      <c r="I57" s="221">
        <v>4</v>
      </c>
      <c r="J57" s="262">
        <v>0.04</v>
      </c>
      <c r="K57" s="263">
        <v>8</v>
      </c>
      <c r="L57" s="264">
        <v>0.03</v>
      </c>
    </row>
    <row r="58" spans="2:12">
      <c r="B58" s="254">
        <v>39364</v>
      </c>
      <c r="C58" s="221" t="s">
        <v>398</v>
      </c>
      <c r="D58" s="101">
        <v>34661</v>
      </c>
      <c r="E58" s="221" t="s">
        <v>213</v>
      </c>
      <c r="F58" s="221">
        <v>2007</v>
      </c>
      <c r="H58" s="221">
        <v>40</v>
      </c>
      <c r="I58" s="221">
        <v>-1</v>
      </c>
      <c r="J58" s="262">
        <v>0.3</v>
      </c>
      <c r="K58" s="263">
        <v>14</v>
      </c>
      <c r="L58" s="264">
        <v>0.08</v>
      </c>
    </row>
    <row r="59" spans="2:12">
      <c r="B59" s="254">
        <v>38796</v>
      </c>
      <c r="C59" s="221" t="s">
        <v>394</v>
      </c>
      <c r="D59" s="101">
        <v>16143</v>
      </c>
      <c r="E59" s="221" t="s">
        <v>213</v>
      </c>
      <c r="F59" s="221">
        <v>2006</v>
      </c>
      <c r="H59" s="221">
        <v>41</v>
      </c>
      <c r="I59" s="221">
        <v>-2</v>
      </c>
      <c r="J59" s="262">
        <v>0.13</v>
      </c>
      <c r="K59" s="263">
        <v>10</v>
      </c>
      <c r="L59" s="264">
        <v>0.01</v>
      </c>
    </row>
    <row r="60" spans="2:12">
      <c r="B60" s="254">
        <v>39446</v>
      </c>
      <c r="C60" s="221" t="s">
        <v>398</v>
      </c>
      <c r="D60" s="101">
        <v>25809</v>
      </c>
      <c r="E60" s="221" t="s">
        <v>213</v>
      </c>
      <c r="F60" s="221">
        <v>2007</v>
      </c>
      <c r="H60" s="221">
        <v>42</v>
      </c>
      <c r="I60" s="221">
        <v>2</v>
      </c>
      <c r="J60" s="262">
        <v>0.04</v>
      </c>
      <c r="K60" s="263">
        <v>8</v>
      </c>
      <c r="L60" s="264">
        <v>0.05</v>
      </c>
    </row>
    <row r="61" spans="2:12">
      <c r="B61" s="254">
        <v>39170</v>
      </c>
      <c r="C61" s="221" t="s">
        <v>395</v>
      </c>
      <c r="D61" s="101">
        <v>36392</v>
      </c>
      <c r="E61" s="221" t="s">
        <v>212</v>
      </c>
      <c r="F61" s="221">
        <v>2007</v>
      </c>
      <c r="H61" s="221">
        <v>43</v>
      </c>
      <c r="I61" s="221">
        <v>0</v>
      </c>
      <c r="J61" s="262">
        <v>0.12</v>
      </c>
      <c r="K61" s="263">
        <v>8</v>
      </c>
      <c r="L61" s="264">
        <v>0.02</v>
      </c>
    </row>
    <row r="62" spans="2:12">
      <c r="B62" s="254">
        <v>39521</v>
      </c>
      <c r="C62" s="221" t="s">
        <v>395</v>
      </c>
      <c r="D62" s="101">
        <v>8198</v>
      </c>
      <c r="E62" s="221" t="s">
        <v>212</v>
      </c>
      <c r="F62" s="221">
        <v>2008</v>
      </c>
      <c r="H62" s="221">
        <v>44</v>
      </c>
      <c r="I62" s="221">
        <v>-2</v>
      </c>
      <c r="J62" s="262">
        <v>0.33999999999999997</v>
      </c>
      <c r="K62" s="263">
        <v>12</v>
      </c>
      <c r="L62" s="264">
        <v>0.04</v>
      </c>
    </row>
    <row r="63" spans="2:12">
      <c r="B63" s="254">
        <v>39208</v>
      </c>
      <c r="C63" s="221" t="s">
        <v>394</v>
      </c>
      <c r="D63" s="101">
        <v>7333</v>
      </c>
      <c r="E63" s="221" t="s">
        <v>210</v>
      </c>
      <c r="F63" s="221">
        <v>2007</v>
      </c>
      <c r="H63" s="221">
        <v>45</v>
      </c>
      <c r="I63" s="221">
        <v>1</v>
      </c>
      <c r="J63" s="262">
        <v>0.22000000000000003</v>
      </c>
      <c r="K63" s="263">
        <v>10</v>
      </c>
      <c r="L63" s="264">
        <v>0.06</v>
      </c>
    </row>
    <row r="64" spans="2:12">
      <c r="B64" s="254">
        <v>39206</v>
      </c>
      <c r="C64" s="221" t="s">
        <v>398</v>
      </c>
      <c r="D64" s="101">
        <v>19211</v>
      </c>
      <c r="E64" s="221" t="s">
        <v>211</v>
      </c>
      <c r="F64" s="221">
        <v>2007</v>
      </c>
      <c r="H64" s="221">
        <v>46</v>
      </c>
      <c r="I64" s="221">
        <v>2</v>
      </c>
      <c r="J64" s="262">
        <v>0.02</v>
      </c>
      <c r="K64" s="263">
        <v>8</v>
      </c>
      <c r="L64" s="264">
        <v>0.08</v>
      </c>
    </row>
    <row r="65" spans="2:12">
      <c r="B65" s="254">
        <v>39530</v>
      </c>
      <c r="C65" s="221" t="s">
        <v>396</v>
      </c>
      <c r="D65" s="101">
        <v>19078</v>
      </c>
      <c r="E65" s="221" t="s">
        <v>211</v>
      </c>
      <c r="F65" s="221">
        <v>2008</v>
      </c>
      <c r="H65" s="221">
        <v>47</v>
      </c>
      <c r="I65" s="221">
        <v>4</v>
      </c>
      <c r="J65" s="262">
        <v>0.18</v>
      </c>
      <c r="K65" s="263">
        <v>9</v>
      </c>
      <c r="L65" s="264">
        <v>0.01</v>
      </c>
    </row>
    <row r="66" spans="2:12">
      <c r="B66" s="254">
        <v>39075</v>
      </c>
      <c r="C66" s="221" t="s">
        <v>398</v>
      </c>
      <c r="D66" s="101">
        <v>27820</v>
      </c>
      <c r="E66" s="221" t="s">
        <v>211</v>
      </c>
      <c r="F66" s="221">
        <v>2006</v>
      </c>
      <c r="H66" s="221">
        <v>48</v>
      </c>
      <c r="I66" s="221">
        <v>-2</v>
      </c>
      <c r="J66" s="262">
        <v>0.33999999999999997</v>
      </c>
      <c r="K66" s="263">
        <v>15</v>
      </c>
      <c r="L66" s="264">
        <v>7.0000000000000007E-2</v>
      </c>
    </row>
    <row r="67" spans="2:12">
      <c r="B67" s="254">
        <v>39369</v>
      </c>
      <c r="C67" s="221" t="s">
        <v>395</v>
      </c>
      <c r="D67" s="101">
        <v>32391</v>
      </c>
      <c r="E67" s="221" t="s">
        <v>210</v>
      </c>
      <c r="F67" s="221">
        <v>2007</v>
      </c>
      <c r="H67" s="221">
        <v>49</v>
      </c>
      <c r="I67" s="221">
        <v>2</v>
      </c>
      <c r="J67" s="262">
        <v>0.33999999999999997</v>
      </c>
      <c r="K67" s="263">
        <v>15</v>
      </c>
      <c r="L67" s="264">
        <v>0.06</v>
      </c>
    </row>
    <row r="68" spans="2:12">
      <c r="B68" s="254">
        <v>39155</v>
      </c>
      <c r="C68" s="221" t="s">
        <v>398</v>
      </c>
      <c r="D68" s="101">
        <v>29641</v>
      </c>
      <c r="E68" s="221" t="s">
        <v>212</v>
      </c>
      <c r="F68" s="221">
        <v>2007</v>
      </c>
      <c r="H68" s="221">
        <v>50</v>
      </c>
      <c r="I68" s="221">
        <v>0</v>
      </c>
      <c r="J68" s="262">
        <v>0.12</v>
      </c>
      <c r="K68" s="263">
        <v>10</v>
      </c>
      <c r="L68" s="264">
        <v>0.04</v>
      </c>
    </row>
    <row r="69" spans="2:12">
      <c r="B69" s="254">
        <v>39135</v>
      </c>
      <c r="C69" s="221" t="s">
        <v>395</v>
      </c>
      <c r="D69" s="101">
        <v>10953</v>
      </c>
      <c r="E69" s="221" t="s">
        <v>213</v>
      </c>
      <c r="F69" s="221">
        <v>2007</v>
      </c>
    </row>
    <row r="70" spans="2:12">
      <c r="B70" s="254">
        <v>39152</v>
      </c>
      <c r="C70" s="221" t="s">
        <v>396</v>
      </c>
      <c r="D70" s="101">
        <v>17379</v>
      </c>
      <c r="E70" s="221" t="s">
        <v>212</v>
      </c>
      <c r="F70" s="221">
        <v>2007</v>
      </c>
    </row>
    <row r="71" spans="2:12">
      <c r="B71" s="254">
        <v>39053</v>
      </c>
      <c r="C71" s="221" t="s">
        <v>398</v>
      </c>
      <c r="D71" s="101">
        <v>18451</v>
      </c>
      <c r="E71" s="221" t="s">
        <v>211</v>
      </c>
      <c r="F71" s="221">
        <v>2006</v>
      </c>
    </row>
    <row r="72" spans="2:12">
      <c r="B72" s="254">
        <v>38989</v>
      </c>
      <c r="C72" s="221" t="s">
        <v>396</v>
      </c>
      <c r="D72" s="101">
        <v>13605</v>
      </c>
      <c r="E72" s="221" t="s">
        <v>213</v>
      </c>
      <c r="F72" s="221">
        <v>2006</v>
      </c>
    </row>
    <row r="73" spans="2:12">
      <c r="B73" s="254">
        <v>39581</v>
      </c>
      <c r="C73" s="221" t="s">
        <v>398</v>
      </c>
      <c r="D73" s="101">
        <v>30500</v>
      </c>
      <c r="E73" s="221" t="s">
        <v>210</v>
      </c>
      <c r="F73" s="221">
        <v>2008</v>
      </c>
    </row>
    <row r="74" spans="2:12">
      <c r="B74" s="254">
        <v>39594</v>
      </c>
      <c r="C74" s="221" t="s">
        <v>395</v>
      </c>
      <c r="D74" s="101">
        <v>21955</v>
      </c>
      <c r="E74" s="221" t="s">
        <v>211</v>
      </c>
      <c r="F74" s="221">
        <v>2008</v>
      </c>
    </row>
    <row r="75" spans="2:12">
      <c r="B75" s="254">
        <v>39545</v>
      </c>
      <c r="C75" s="221" t="s">
        <v>396</v>
      </c>
      <c r="D75" s="101">
        <v>37154</v>
      </c>
      <c r="E75" s="221" t="s">
        <v>211</v>
      </c>
      <c r="F75" s="221">
        <v>2008</v>
      </c>
    </row>
    <row r="76" spans="2:12">
      <c r="B76" s="254">
        <v>38973</v>
      </c>
      <c r="C76" s="221" t="s">
        <v>395</v>
      </c>
      <c r="D76" s="101">
        <v>27567</v>
      </c>
      <c r="E76" s="221" t="s">
        <v>213</v>
      </c>
      <c r="F76" s="221">
        <v>2006</v>
      </c>
    </row>
    <row r="77" spans="2:12">
      <c r="B77" s="254">
        <v>39117</v>
      </c>
      <c r="C77" s="221" t="s">
        <v>398</v>
      </c>
      <c r="D77" s="101">
        <v>30918</v>
      </c>
      <c r="E77" s="221" t="s">
        <v>211</v>
      </c>
      <c r="F77" s="221">
        <v>2007</v>
      </c>
    </row>
    <row r="78" spans="2:12">
      <c r="B78" s="254">
        <v>38818</v>
      </c>
      <c r="C78" s="221" t="s">
        <v>394</v>
      </c>
      <c r="D78" s="101">
        <v>17335</v>
      </c>
      <c r="E78" s="221" t="s">
        <v>212</v>
      </c>
      <c r="F78" s="221">
        <v>2006</v>
      </c>
    </row>
    <row r="79" spans="2:12">
      <c r="B79" s="254">
        <v>39276</v>
      </c>
      <c r="C79" s="221" t="s">
        <v>394</v>
      </c>
      <c r="D79" s="101">
        <v>35432</v>
      </c>
      <c r="E79" s="221" t="s">
        <v>211</v>
      </c>
      <c r="F79" s="221">
        <v>2007</v>
      </c>
    </row>
    <row r="80" spans="2:12">
      <c r="B80" s="254">
        <v>38779</v>
      </c>
      <c r="C80" s="221" t="s">
        <v>395</v>
      </c>
      <c r="D80" s="101">
        <v>35341</v>
      </c>
      <c r="E80" s="221" t="s">
        <v>211</v>
      </c>
      <c r="F80" s="221">
        <v>2006</v>
      </c>
    </row>
    <row r="81" spans="2:6">
      <c r="B81" s="254">
        <v>39045</v>
      </c>
      <c r="C81" s="221" t="s">
        <v>395</v>
      </c>
      <c r="D81" s="101">
        <v>15071</v>
      </c>
      <c r="E81" s="221" t="s">
        <v>213</v>
      </c>
      <c r="F81" s="221">
        <v>2006</v>
      </c>
    </row>
    <row r="82" spans="2:6">
      <c r="B82" s="254">
        <v>39331</v>
      </c>
      <c r="C82" s="221" t="s">
        <v>395</v>
      </c>
      <c r="D82" s="101">
        <v>29598</v>
      </c>
      <c r="E82" s="221" t="s">
        <v>213</v>
      </c>
      <c r="F82" s="221">
        <v>2007</v>
      </c>
    </row>
    <row r="83" spans="2:6">
      <c r="B83" s="254">
        <v>39269</v>
      </c>
      <c r="C83" s="221" t="s">
        <v>394</v>
      </c>
      <c r="D83" s="101">
        <v>6850</v>
      </c>
      <c r="E83" s="221" t="s">
        <v>211</v>
      </c>
      <c r="F83" s="221">
        <v>2007</v>
      </c>
    </row>
    <row r="84" spans="2:6">
      <c r="B84" s="254">
        <v>38767</v>
      </c>
      <c r="C84" s="221" t="s">
        <v>398</v>
      </c>
      <c r="D84" s="101">
        <v>33946</v>
      </c>
      <c r="E84" s="221" t="s">
        <v>213</v>
      </c>
      <c r="F84" s="221">
        <v>2006</v>
      </c>
    </row>
    <row r="85" spans="2:6">
      <c r="B85" s="254">
        <v>39257</v>
      </c>
      <c r="C85" s="221" t="s">
        <v>398</v>
      </c>
      <c r="D85" s="101">
        <v>30562</v>
      </c>
      <c r="E85" s="221" t="s">
        <v>211</v>
      </c>
      <c r="F85" s="221">
        <v>2007</v>
      </c>
    </row>
    <row r="86" spans="2:6">
      <c r="B86" s="254">
        <v>38883</v>
      </c>
      <c r="C86" s="221" t="s">
        <v>394</v>
      </c>
      <c r="D86" s="101">
        <v>6100</v>
      </c>
      <c r="E86" s="221" t="s">
        <v>212</v>
      </c>
      <c r="F86" s="221">
        <v>2006</v>
      </c>
    </row>
    <row r="87" spans="2:6">
      <c r="B87" s="254">
        <v>39241</v>
      </c>
      <c r="C87" s="221" t="s">
        <v>398</v>
      </c>
      <c r="D87" s="101">
        <v>15446</v>
      </c>
      <c r="E87" s="221" t="s">
        <v>212</v>
      </c>
      <c r="F87" s="221">
        <v>2007</v>
      </c>
    </row>
    <row r="88" spans="2:6">
      <c r="B88" s="254">
        <v>39118</v>
      </c>
      <c r="C88" s="221" t="s">
        <v>396</v>
      </c>
      <c r="D88" s="101">
        <v>26538</v>
      </c>
      <c r="E88" s="221" t="s">
        <v>210</v>
      </c>
      <c r="F88" s="221">
        <v>2007</v>
      </c>
    </row>
    <row r="89" spans="2:6">
      <c r="B89" s="254">
        <v>39430</v>
      </c>
      <c r="C89" s="221" t="s">
        <v>398</v>
      </c>
      <c r="D89" s="101">
        <v>7455</v>
      </c>
      <c r="E89" s="221" t="s">
        <v>213</v>
      </c>
      <c r="F89" s="221">
        <v>2007</v>
      </c>
    </row>
    <row r="90" spans="2:6">
      <c r="B90" s="254">
        <v>38959</v>
      </c>
      <c r="C90" s="221" t="s">
        <v>398</v>
      </c>
      <c r="D90" s="101">
        <v>37299</v>
      </c>
      <c r="E90" s="221" t="s">
        <v>211</v>
      </c>
      <c r="F90" s="221">
        <v>2006</v>
      </c>
    </row>
    <row r="91" spans="2:6">
      <c r="B91" s="254">
        <v>39594</v>
      </c>
      <c r="C91" s="221" t="s">
        <v>395</v>
      </c>
      <c r="D91" s="101">
        <v>35338</v>
      </c>
      <c r="E91" s="221" t="s">
        <v>213</v>
      </c>
      <c r="F91" s="221">
        <v>2008</v>
      </c>
    </row>
    <row r="92" spans="2:6">
      <c r="B92" s="254">
        <v>39445</v>
      </c>
      <c r="C92" s="221" t="s">
        <v>395</v>
      </c>
      <c r="D92" s="101">
        <v>27093</v>
      </c>
      <c r="E92" s="221" t="s">
        <v>213</v>
      </c>
      <c r="F92" s="221">
        <v>2007</v>
      </c>
    </row>
    <row r="93" spans="2:6">
      <c r="B93" s="254">
        <v>39486</v>
      </c>
      <c r="C93" s="221" t="s">
        <v>396</v>
      </c>
      <c r="D93" s="101">
        <v>34728</v>
      </c>
      <c r="E93" s="221" t="s">
        <v>210</v>
      </c>
      <c r="F93" s="221">
        <v>2008</v>
      </c>
    </row>
    <row r="94" spans="2:6">
      <c r="B94" s="254">
        <v>38808</v>
      </c>
      <c r="C94" s="221" t="s">
        <v>398</v>
      </c>
      <c r="D94" s="101">
        <v>31941</v>
      </c>
      <c r="E94" s="221" t="s">
        <v>211</v>
      </c>
      <c r="F94" s="221">
        <v>2006</v>
      </c>
    </row>
    <row r="95" spans="2:6">
      <c r="B95" s="254">
        <v>39452</v>
      </c>
      <c r="C95" s="221" t="s">
        <v>396</v>
      </c>
      <c r="D95" s="101">
        <v>30310</v>
      </c>
      <c r="E95" s="221" t="s">
        <v>213</v>
      </c>
      <c r="F95" s="221">
        <v>2008</v>
      </c>
    </row>
    <row r="96" spans="2:6">
      <c r="B96" s="254">
        <v>38827</v>
      </c>
      <c r="C96" s="221" t="s">
        <v>395</v>
      </c>
      <c r="D96" s="101">
        <v>35609</v>
      </c>
      <c r="E96" s="221" t="s">
        <v>212</v>
      </c>
      <c r="F96" s="221">
        <v>2006</v>
      </c>
    </row>
    <row r="97" spans="2:6">
      <c r="B97" s="254">
        <v>39245</v>
      </c>
      <c r="C97" s="221" t="s">
        <v>395</v>
      </c>
      <c r="D97" s="101">
        <v>20381</v>
      </c>
      <c r="E97" s="221" t="s">
        <v>213</v>
      </c>
      <c r="F97" s="221">
        <v>2007</v>
      </c>
    </row>
    <row r="98" spans="2:6">
      <c r="B98" s="254">
        <v>39171</v>
      </c>
      <c r="C98" s="221" t="s">
        <v>395</v>
      </c>
      <c r="D98" s="101">
        <v>26213</v>
      </c>
      <c r="E98" s="221" t="s">
        <v>212</v>
      </c>
      <c r="F98" s="221">
        <v>2007</v>
      </c>
    </row>
    <row r="99" spans="2:6">
      <c r="B99" s="254">
        <v>39571</v>
      </c>
      <c r="C99" s="221" t="s">
        <v>395</v>
      </c>
      <c r="D99" s="101">
        <v>14904</v>
      </c>
      <c r="E99" s="221" t="s">
        <v>211</v>
      </c>
      <c r="F99" s="221">
        <v>2008</v>
      </c>
    </row>
    <row r="100" spans="2:6">
      <c r="B100" s="254">
        <v>39363</v>
      </c>
      <c r="C100" s="221" t="s">
        <v>395</v>
      </c>
      <c r="D100" s="101">
        <v>11985</v>
      </c>
      <c r="E100" s="221" t="s">
        <v>210</v>
      </c>
      <c r="F100" s="221">
        <v>2007</v>
      </c>
    </row>
    <row r="101" spans="2:6">
      <c r="B101" s="254">
        <v>39543</v>
      </c>
      <c r="C101" s="221" t="s">
        <v>394</v>
      </c>
      <c r="D101" s="101">
        <v>24065</v>
      </c>
      <c r="E101" s="221" t="s">
        <v>210</v>
      </c>
      <c r="F101" s="221">
        <v>2008</v>
      </c>
    </row>
    <row r="102" spans="2:6">
      <c r="B102" s="254">
        <v>39448</v>
      </c>
      <c r="C102" s="221" t="s">
        <v>394</v>
      </c>
      <c r="D102" s="101">
        <v>18694</v>
      </c>
      <c r="E102" s="221" t="s">
        <v>212</v>
      </c>
      <c r="F102" s="221">
        <v>2008</v>
      </c>
    </row>
    <row r="103" spans="2:6">
      <c r="B103" s="254">
        <v>38997</v>
      </c>
      <c r="C103" s="221" t="s">
        <v>395</v>
      </c>
      <c r="D103" s="101">
        <v>29026</v>
      </c>
      <c r="E103" s="221" t="s">
        <v>210</v>
      </c>
      <c r="F103" s="221">
        <v>2006</v>
      </c>
    </row>
    <row r="104" spans="2:6">
      <c r="B104" s="254">
        <v>39410</v>
      </c>
      <c r="C104" s="221" t="s">
        <v>395</v>
      </c>
      <c r="D104" s="101">
        <v>12006</v>
      </c>
      <c r="E104" s="221" t="s">
        <v>213</v>
      </c>
      <c r="F104" s="221">
        <v>2007</v>
      </c>
    </row>
    <row r="105" spans="2:6">
      <c r="B105" s="254">
        <v>38776</v>
      </c>
      <c r="C105" s="221" t="s">
        <v>398</v>
      </c>
      <c r="D105" s="101">
        <v>35731</v>
      </c>
      <c r="E105" s="221" t="s">
        <v>210</v>
      </c>
      <c r="F105" s="221">
        <v>2006</v>
      </c>
    </row>
    <row r="106" spans="2:6">
      <c r="B106" s="254">
        <v>39042</v>
      </c>
      <c r="C106" s="221" t="s">
        <v>396</v>
      </c>
      <c r="D106" s="101">
        <v>19326</v>
      </c>
      <c r="E106" s="221" t="s">
        <v>210</v>
      </c>
      <c r="F106" s="221">
        <v>2006</v>
      </c>
    </row>
    <row r="107" spans="2:6">
      <c r="B107" s="254">
        <v>39066</v>
      </c>
      <c r="C107" s="221" t="s">
        <v>395</v>
      </c>
      <c r="D107" s="101">
        <v>37983</v>
      </c>
      <c r="E107" s="221" t="s">
        <v>211</v>
      </c>
      <c r="F107" s="221">
        <v>2006</v>
      </c>
    </row>
    <row r="108" spans="2:6">
      <c r="B108" s="254">
        <v>38769</v>
      </c>
      <c r="C108" s="221" t="s">
        <v>396</v>
      </c>
      <c r="D108" s="101">
        <v>24360</v>
      </c>
      <c r="E108" s="221" t="s">
        <v>210</v>
      </c>
      <c r="F108" s="221">
        <v>2006</v>
      </c>
    </row>
    <row r="109" spans="2:6">
      <c r="B109" s="254">
        <v>38812</v>
      </c>
      <c r="C109" s="221" t="s">
        <v>395</v>
      </c>
      <c r="D109" s="101">
        <v>39054</v>
      </c>
      <c r="E109" s="221" t="s">
        <v>211</v>
      </c>
      <c r="F109" s="221">
        <v>2006</v>
      </c>
    </row>
    <row r="110" spans="2:6">
      <c r="B110" s="254">
        <v>39555</v>
      </c>
      <c r="C110" s="221" t="s">
        <v>394</v>
      </c>
      <c r="D110" s="101">
        <v>14801</v>
      </c>
      <c r="E110" s="221" t="s">
        <v>211</v>
      </c>
      <c r="F110" s="221">
        <v>2008</v>
      </c>
    </row>
    <row r="111" spans="2:6">
      <c r="B111" s="254">
        <v>39159</v>
      </c>
      <c r="C111" s="221" t="s">
        <v>395</v>
      </c>
      <c r="D111" s="101">
        <v>5112</v>
      </c>
      <c r="E111" s="221" t="s">
        <v>212</v>
      </c>
      <c r="F111" s="221">
        <v>2007</v>
      </c>
    </row>
    <row r="112" spans="2:6">
      <c r="B112" s="254">
        <v>39324</v>
      </c>
      <c r="C112" s="221" t="s">
        <v>395</v>
      </c>
      <c r="D112" s="101">
        <v>14785</v>
      </c>
      <c r="E112" s="221" t="s">
        <v>213</v>
      </c>
      <c r="F112" s="221">
        <v>2007</v>
      </c>
    </row>
    <row r="113" spans="2:6">
      <c r="B113" s="254">
        <v>39067</v>
      </c>
      <c r="C113" s="221" t="s">
        <v>396</v>
      </c>
      <c r="D113" s="101">
        <v>11239</v>
      </c>
      <c r="E113" s="221" t="s">
        <v>212</v>
      </c>
      <c r="F113" s="221">
        <v>2006</v>
      </c>
    </row>
    <row r="114" spans="2:6">
      <c r="B114" s="254">
        <v>39317</v>
      </c>
      <c r="C114" s="221" t="s">
        <v>394</v>
      </c>
      <c r="D114" s="101">
        <v>33686</v>
      </c>
      <c r="E114" s="221" t="s">
        <v>213</v>
      </c>
      <c r="F114" s="221">
        <v>2007</v>
      </c>
    </row>
    <row r="115" spans="2:6">
      <c r="B115" s="254">
        <v>38854</v>
      </c>
      <c r="C115" s="221" t="s">
        <v>395</v>
      </c>
      <c r="D115" s="101">
        <v>28016</v>
      </c>
      <c r="E115" s="221" t="s">
        <v>210</v>
      </c>
      <c r="F115" s="221">
        <v>2006</v>
      </c>
    </row>
    <row r="116" spans="2:6">
      <c r="B116" s="254">
        <v>39318</v>
      </c>
      <c r="C116" s="221" t="s">
        <v>395</v>
      </c>
      <c r="D116" s="101">
        <v>17054</v>
      </c>
      <c r="E116" s="221" t="s">
        <v>213</v>
      </c>
      <c r="F116" s="221">
        <v>2007</v>
      </c>
    </row>
    <row r="117" spans="2:6">
      <c r="B117" s="254">
        <v>38935</v>
      </c>
      <c r="C117" s="221" t="s">
        <v>395</v>
      </c>
      <c r="D117" s="101">
        <v>27199</v>
      </c>
      <c r="E117" s="221" t="s">
        <v>210</v>
      </c>
      <c r="F117" s="221">
        <v>2006</v>
      </c>
    </row>
    <row r="118" spans="2:6">
      <c r="B118" s="254">
        <v>39593</v>
      </c>
      <c r="C118" s="221" t="s">
        <v>396</v>
      </c>
      <c r="D118" s="101">
        <v>7173</v>
      </c>
      <c r="E118" s="221" t="s">
        <v>213</v>
      </c>
      <c r="F118" s="221">
        <v>2008</v>
      </c>
    </row>
    <row r="119" spans="2:6">
      <c r="B119" s="254">
        <v>38770</v>
      </c>
      <c r="C119" s="221" t="s">
        <v>398</v>
      </c>
      <c r="D119" s="101">
        <v>37867</v>
      </c>
      <c r="E119" s="221" t="s">
        <v>211</v>
      </c>
      <c r="F119" s="221">
        <v>2006</v>
      </c>
    </row>
    <row r="120" spans="2:6">
      <c r="B120" s="254">
        <v>39303</v>
      </c>
      <c r="C120" s="221" t="s">
        <v>395</v>
      </c>
      <c r="D120" s="101">
        <v>12739</v>
      </c>
      <c r="E120" s="221" t="s">
        <v>213</v>
      </c>
      <c r="F120" s="221">
        <v>2007</v>
      </c>
    </row>
    <row r="121" spans="2:6">
      <c r="B121" s="254">
        <v>39476</v>
      </c>
      <c r="C121" s="221" t="s">
        <v>394</v>
      </c>
      <c r="D121" s="101">
        <v>14958</v>
      </c>
      <c r="E121" s="221" t="s">
        <v>211</v>
      </c>
      <c r="F121" s="221">
        <v>2008</v>
      </c>
    </row>
    <row r="122" spans="2:6">
      <c r="B122" s="254">
        <v>38897</v>
      </c>
      <c r="C122" s="221" t="s">
        <v>395</v>
      </c>
      <c r="D122" s="101">
        <v>31630</v>
      </c>
      <c r="E122" s="221" t="s">
        <v>213</v>
      </c>
      <c r="F122" s="221">
        <v>2006</v>
      </c>
    </row>
    <row r="123" spans="2:6">
      <c r="B123" s="254">
        <v>39049</v>
      </c>
      <c r="C123" s="221" t="s">
        <v>394</v>
      </c>
      <c r="D123" s="101">
        <v>21276</v>
      </c>
      <c r="E123" s="221" t="s">
        <v>210</v>
      </c>
      <c r="F123" s="221">
        <v>2006</v>
      </c>
    </row>
    <row r="124" spans="2:6">
      <c r="B124" s="254">
        <v>38928</v>
      </c>
      <c r="C124" s="221" t="s">
        <v>394</v>
      </c>
      <c r="D124" s="101">
        <v>37180</v>
      </c>
      <c r="E124" s="221" t="s">
        <v>213</v>
      </c>
      <c r="F124" s="221">
        <v>2006</v>
      </c>
    </row>
    <row r="125" spans="2:6">
      <c r="B125" s="254">
        <v>39485</v>
      </c>
      <c r="C125" s="221" t="s">
        <v>395</v>
      </c>
      <c r="D125" s="101">
        <v>10985</v>
      </c>
      <c r="E125" s="221" t="s">
        <v>212</v>
      </c>
      <c r="F125" s="221">
        <v>2008</v>
      </c>
    </row>
    <row r="126" spans="2:6">
      <c r="B126" s="254">
        <v>38887</v>
      </c>
      <c r="C126" s="221" t="s">
        <v>398</v>
      </c>
      <c r="D126" s="101">
        <v>12358</v>
      </c>
      <c r="E126" s="221" t="s">
        <v>210</v>
      </c>
      <c r="F126" s="221">
        <v>2006</v>
      </c>
    </row>
    <row r="127" spans="2:6">
      <c r="B127" s="254">
        <v>39379</v>
      </c>
      <c r="C127" s="221" t="s">
        <v>398</v>
      </c>
      <c r="D127" s="101">
        <v>27371</v>
      </c>
      <c r="E127" s="221" t="s">
        <v>212</v>
      </c>
      <c r="F127" s="221">
        <v>2007</v>
      </c>
    </row>
    <row r="128" spans="2:6">
      <c r="B128" s="254">
        <v>38781</v>
      </c>
      <c r="C128" s="221" t="s">
        <v>396</v>
      </c>
      <c r="D128" s="101">
        <v>28076</v>
      </c>
      <c r="E128" s="221" t="s">
        <v>211</v>
      </c>
      <c r="F128" s="221">
        <v>2006</v>
      </c>
    </row>
    <row r="129" spans="2:6">
      <c r="B129" s="254">
        <v>39385</v>
      </c>
      <c r="C129" s="221" t="s">
        <v>396</v>
      </c>
      <c r="D129" s="101">
        <v>21065</v>
      </c>
      <c r="E129" s="221" t="s">
        <v>213</v>
      </c>
      <c r="F129" s="221">
        <v>2007</v>
      </c>
    </row>
    <row r="130" spans="2:6">
      <c r="B130" s="254">
        <v>39590</v>
      </c>
      <c r="C130" s="221" t="s">
        <v>396</v>
      </c>
      <c r="D130" s="101">
        <v>27466</v>
      </c>
      <c r="E130" s="221" t="s">
        <v>213</v>
      </c>
      <c r="F130" s="221">
        <v>2008</v>
      </c>
    </row>
    <row r="131" spans="2:6">
      <c r="B131" s="254">
        <v>39327</v>
      </c>
      <c r="C131" s="221" t="s">
        <v>396</v>
      </c>
      <c r="D131" s="101">
        <v>23876</v>
      </c>
      <c r="E131" s="221" t="s">
        <v>211</v>
      </c>
      <c r="F131" s="221">
        <v>2007</v>
      </c>
    </row>
    <row r="132" spans="2:6">
      <c r="B132" s="254">
        <v>39554</v>
      </c>
      <c r="C132" s="221" t="s">
        <v>396</v>
      </c>
      <c r="D132" s="101">
        <v>28929</v>
      </c>
      <c r="E132" s="221" t="s">
        <v>210</v>
      </c>
      <c r="F132" s="221">
        <v>2008</v>
      </c>
    </row>
    <row r="133" spans="2:6">
      <c r="B133" s="254">
        <v>39012</v>
      </c>
      <c r="C133" s="221" t="s">
        <v>394</v>
      </c>
      <c r="D133" s="101">
        <v>17596</v>
      </c>
      <c r="E133" s="221" t="s">
        <v>210</v>
      </c>
      <c r="F133" s="221">
        <v>2006</v>
      </c>
    </row>
    <row r="134" spans="2:6">
      <c r="B134" s="254">
        <v>39336</v>
      </c>
      <c r="C134" s="221" t="s">
        <v>395</v>
      </c>
      <c r="D134" s="101">
        <v>23904</v>
      </c>
      <c r="E134" s="221" t="s">
        <v>210</v>
      </c>
      <c r="F134" s="221">
        <v>2007</v>
      </c>
    </row>
    <row r="135" spans="2:6">
      <c r="B135" s="254">
        <v>39536</v>
      </c>
      <c r="C135" s="221" t="s">
        <v>396</v>
      </c>
      <c r="D135" s="101">
        <v>19949</v>
      </c>
      <c r="E135" s="221" t="s">
        <v>213</v>
      </c>
      <c r="F135" s="221">
        <v>2008</v>
      </c>
    </row>
    <row r="136" spans="2:6">
      <c r="B136" s="254">
        <v>38908</v>
      </c>
      <c r="C136" s="221" t="s">
        <v>396</v>
      </c>
      <c r="D136" s="101">
        <v>35745</v>
      </c>
      <c r="E136" s="221" t="s">
        <v>212</v>
      </c>
      <c r="F136" s="221">
        <v>2006</v>
      </c>
    </row>
    <row r="137" spans="2:6">
      <c r="B137" s="254">
        <v>39163</v>
      </c>
      <c r="C137" s="221" t="s">
        <v>394</v>
      </c>
      <c r="D137" s="101">
        <v>20071</v>
      </c>
      <c r="E137" s="221" t="s">
        <v>210</v>
      </c>
      <c r="F137" s="221">
        <v>2007</v>
      </c>
    </row>
    <row r="138" spans="2:6">
      <c r="B138" s="254">
        <v>39152</v>
      </c>
      <c r="C138" s="221" t="s">
        <v>398</v>
      </c>
      <c r="D138" s="101">
        <v>9705</v>
      </c>
      <c r="E138" s="221" t="s">
        <v>212</v>
      </c>
      <c r="F138" s="221">
        <v>2007</v>
      </c>
    </row>
    <row r="139" spans="2:6">
      <c r="B139" s="254">
        <v>39286</v>
      </c>
      <c r="C139" s="221" t="s">
        <v>394</v>
      </c>
      <c r="D139" s="101">
        <v>32888</v>
      </c>
      <c r="E139" s="221" t="s">
        <v>213</v>
      </c>
      <c r="F139" s="221">
        <v>2007</v>
      </c>
    </row>
    <row r="140" spans="2:6">
      <c r="B140" s="254">
        <v>39437</v>
      </c>
      <c r="C140" s="221" t="s">
        <v>398</v>
      </c>
      <c r="D140" s="101">
        <v>30039</v>
      </c>
      <c r="E140" s="221" t="s">
        <v>210</v>
      </c>
      <c r="F140" s="221">
        <v>2007</v>
      </c>
    </row>
    <row r="141" spans="2:6">
      <c r="B141" s="254">
        <v>38892</v>
      </c>
      <c r="C141" s="221" t="s">
        <v>396</v>
      </c>
      <c r="D141" s="101">
        <v>25631</v>
      </c>
      <c r="E141" s="221" t="s">
        <v>211</v>
      </c>
      <c r="F141" s="221">
        <v>2006</v>
      </c>
    </row>
    <row r="142" spans="2:6">
      <c r="B142" s="254">
        <v>39140</v>
      </c>
      <c r="C142" s="221" t="s">
        <v>395</v>
      </c>
      <c r="D142" s="101">
        <v>15416</v>
      </c>
      <c r="E142" s="221" t="s">
        <v>213</v>
      </c>
      <c r="F142" s="221">
        <v>2007</v>
      </c>
    </row>
    <row r="143" spans="2:6">
      <c r="B143" s="254">
        <v>39073</v>
      </c>
      <c r="C143" s="221" t="s">
        <v>394</v>
      </c>
      <c r="D143" s="101">
        <v>29354</v>
      </c>
      <c r="E143" s="221" t="s">
        <v>211</v>
      </c>
      <c r="F143" s="221">
        <v>2006</v>
      </c>
    </row>
    <row r="144" spans="2:6">
      <c r="B144" s="254">
        <v>38894</v>
      </c>
      <c r="C144" s="221" t="s">
        <v>395</v>
      </c>
      <c r="D144" s="101">
        <v>21811</v>
      </c>
      <c r="E144" s="221" t="s">
        <v>212</v>
      </c>
      <c r="F144" s="221">
        <v>2006</v>
      </c>
    </row>
    <row r="145" spans="2:6">
      <c r="B145" s="254">
        <v>39388</v>
      </c>
      <c r="C145" s="221" t="s">
        <v>398</v>
      </c>
      <c r="D145" s="101">
        <v>22862</v>
      </c>
      <c r="E145" s="221" t="s">
        <v>211</v>
      </c>
      <c r="F145" s="221">
        <v>2007</v>
      </c>
    </row>
    <row r="146" spans="2:6">
      <c r="B146" s="254">
        <v>38911</v>
      </c>
      <c r="C146" s="221" t="s">
        <v>398</v>
      </c>
      <c r="D146" s="101">
        <v>22050</v>
      </c>
      <c r="E146" s="221" t="s">
        <v>213</v>
      </c>
      <c r="F146" s="221">
        <v>2006</v>
      </c>
    </row>
    <row r="147" spans="2:6">
      <c r="B147" s="254">
        <v>39176</v>
      </c>
      <c r="C147" s="221" t="s">
        <v>396</v>
      </c>
      <c r="D147" s="101">
        <v>32437</v>
      </c>
      <c r="E147" s="221" t="s">
        <v>211</v>
      </c>
      <c r="F147" s="221">
        <v>2007</v>
      </c>
    </row>
    <row r="148" spans="2:6">
      <c r="B148" s="254">
        <v>38788</v>
      </c>
      <c r="C148" s="221" t="s">
        <v>394</v>
      </c>
      <c r="D148" s="101">
        <v>25298</v>
      </c>
      <c r="E148" s="221" t="s">
        <v>210</v>
      </c>
      <c r="F148" s="221">
        <v>2006</v>
      </c>
    </row>
    <row r="149" spans="2:6">
      <c r="B149" s="254">
        <v>38782</v>
      </c>
      <c r="C149" s="221" t="s">
        <v>394</v>
      </c>
      <c r="D149" s="101">
        <v>38701</v>
      </c>
      <c r="E149" s="221" t="s">
        <v>210</v>
      </c>
      <c r="F149" s="221">
        <v>2006</v>
      </c>
    </row>
    <row r="150" spans="2:6">
      <c r="B150" s="254">
        <v>38769</v>
      </c>
      <c r="C150" s="221" t="s">
        <v>396</v>
      </c>
      <c r="D150" s="101">
        <v>10113</v>
      </c>
      <c r="E150" s="221" t="s">
        <v>211</v>
      </c>
      <c r="F150" s="221">
        <v>2006</v>
      </c>
    </row>
    <row r="151" spans="2:6">
      <c r="B151" s="254">
        <v>39070</v>
      </c>
      <c r="C151" s="221" t="s">
        <v>396</v>
      </c>
      <c r="D151" s="101">
        <v>12999</v>
      </c>
      <c r="E151" s="221" t="s">
        <v>212</v>
      </c>
      <c r="F151" s="221">
        <v>2006</v>
      </c>
    </row>
    <row r="152" spans="2:6">
      <c r="B152" s="254">
        <v>39348</v>
      </c>
      <c r="C152" s="221" t="s">
        <v>398</v>
      </c>
      <c r="D152" s="101">
        <v>26222</v>
      </c>
      <c r="E152" s="221" t="s">
        <v>210</v>
      </c>
      <c r="F152" s="221">
        <v>2007</v>
      </c>
    </row>
    <row r="153" spans="2:6">
      <c r="B153" s="254">
        <v>39167</v>
      </c>
      <c r="C153" s="221" t="s">
        <v>395</v>
      </c>
      <c r="D153" s="101">
        <v>35661</v>
      </c>
      <c r="E153" s="221" t="s">
        <v>211</v>
      </c>
      <c r="F153" s="221">
        <v>2007</v>
      </c>
    </row>
    <row r="154" spans="2:6">
      <c r="B154" s="254">
        <v>39037</v>
      </c>
      <c r="C154" s="221" t="s">
        <v>396</v>
      </c>
      <c r="D154" s="101">
        <v>35002</v>
      </c>
      <c r="E154" s="221" t="s">
        <v>210</v>
      </c>
      <c r="F154" s="221">
        <v>2006</v>
      </c>
    </row>
    <row r="155" spans="2:6">
      <c r="B155" s="254">
        <v>39387</v>
      </c>
      <c r="C155" s="221" t="s">
        <v>395</v>
      </c>
      <c r="D155" s="101">
        <v>17237</v>
      </c>
      <c r="E155" s="221" t="s">
        <v>213</v>
      </c>
      <c r="F155" s="221">
        <v>2007</v>
      </c>
    </row>
    <row r="156" spans="2:6">
      <c r="B156" s="254">
        <v>38935</v>
      </c>
      <c r="C156" s="221" t="s">
        <v>395</v>
      </c>
      <c r="D156" s="101">
        <v>16097</v>
      </c>
      <c r="E156" s="221" t="s">
        <v>211</v>
      </c>
      <c r="F156" s="221">
        <v>2006</v>
      </c>
    </row>
    <row r="157" spans="2:6">
      <c r="B157" s="254">
        <v>38927</v>
      </c>
      <c r="C157" s="221" t="s">
        <v>394</v>
      </c>
      <c r="D157" s="101">
        <v>18720</v>
      </c>
      <c r="E157" s="221" t="s">
        <v>211</v>
      </c>
      <c r="F157" s="221">
        <v>2006</v>
      </c>
    </row>
    <row r="158" spans="2:6">
      <c r="B158" s="254">
        <v>39408</v>
      </c>
      <c r="C158" s="221" t="s">
        <v>398</v>
      </c>
      <c r="D158" s="101">
        <v>9159</v>
      </c>
      <c r="E158" s="221" t="s">
        <v>210</v>
      </c>
      <c r="F158" s="221">
        <v>2007</v>
      </c>
    </row>
    <row r="159" spans="2:6">
      <c r="B159" s="254">
        <v>38920</v>
      </c>
      <c r="C159" s="221" t="s">
        <v>394</v>
      </c>
      <c r="D159" s="101">
        <v>8361</v>
      </c>
      <c r="E159" s="221" t="s">
        <v>210</v>
      </c>
      <c r="F159" s="221">
        <v>2006</v>
      </c>
    </row>
    <row r="160" spans="2:6">
      <c r="B160" s="254">
        <v>39132</v>
      </c>
      <c r="C160" s="221" t="s">
        <v>395</v>
      </c>
      <c r="D160" s="101">
        <v>33346</v>
      </c>
      <c r="E160" s="221" t="s">
        <v>213</v>
      </c>
      <c r="F160" s="221">
        <v>2007</v>
      </c>
    </row>
    <row r="161" spans="2:6">
      <c r="B161" s="254">
        <v>39485</v>
      </c>
      <c r="C161" s="221" t="s">
        <v>395</v>
      </c>
      <c r="D161" s="101">
        <v>38569</v>
      </c>
      <c r="E161" s="221" t="s">
        <v>213</v>
      </c>
      <c r="F161" s="221">
        <v>2008</v>
      </c>
    </row>
    <row r="162" spans="2:6">
      <c r="B162" s="254">
        <v>38801</v>
      </c>
      <c r="C162" s="221" t="s">
        <v>395</v>
      </c>
      <c r="D162" s="101">
        <v>5348</v>
      </c>
      <c r="E162" s="221" t="s">
        <v>211</v>
      </c>
      <c r="F162" s="221">
        <v>2006</v>
      </c>
    </row>
    <row r="163" spans="2:6">
      <c r="B163" s="254">
        <v>39190</v>
      </c>
      <c r="C163" s="221" t="s">
        <v>398</v>
      </c>
      <c r="D163" s="101">
        <v>13257</v>
      </c>
      <c r="E163" s="221" t="s">
        <v>212</v>
      </c>
      <c r="F163" s="221">
        <v>2007</v>
      </c>
    </row>
    <row r="164" spans="2:6">
      <c r="B164" s="254">
        <v>39164</v>
      </c>
      <c r="C164" s="221" t="s">
        <v>395</v>
      </c>
      <c r="D164" s="101">
        <v>5942</v>
      </c>
      <c r="E164" s="221" t="s">
        <v>212</v>
      </c>
      <c r="F164" s="221">
        <v>2007</v>
      </c>
    </row>
    <row r="165" spans="2:6">
      <c r="B165" s="254">
        <v>39050</v>
      </c>
      <c r="C165" s="221" t="s">
        <v>395</v>
      </c>
      <c r="D165" s="101">
        <v>13305</v>
      </c>
      <c r="E165" s="221" t="s">
        <v>210</v>
      </c>
      <c r="F165" s="221">
        <v>2006</v>
      </c>
    </row>
    <row r="166" spans="2:6">
      <c r="B166" s="254">
        <v>39569</v>
      </c>
      <c r="C166" s="221" t="s">
        <v>394</v>
      </c>
      <c r="D166" s="101">
        <v>24796</v>
      </c>
      <c r="E166" s="221" t="s">
        <v>213</v>
      </c>
      <c r="F166" s="221">
        <v>2008</v>
      </c>
    </row>
    <row r="167" spans="2:6">
      <c r="B167" s="254">
        <v>39395</v>
      </c>
      <c r="C167" s="221" t="s">
        <v>398</v>
      </c>
      <c r="D167" s="101">
        <v>35707</v>
      </c>
      <c r="E167" s="221" t="s">
        <v>213</v>
      </c>
      <c r="F167" s="221">
        <v>2007</v>
      </c>
    </row>
    <row r="168" spans="2:6">
      <c r="B168" s="254">
        <v>39057</v>
      </c>
      <c r="C168" s="221" t="s">
        <v>395</v>
      </c>
      <c r="D168" s="101">
        <v>28302</v>
      </c>
      <c r="E168" s="221" t="s">
        <v>210</v>
      </c>
      <c r="F168" s="221">
        <v>2006</v>
      </c>
    </row>
    <row r="169" spans="2:6">
      <c r="B169" s="254">
        <v>39607</v>
      </c>
      <c r="C169" s="221" t="s">
        <v>395</v>
      </c>
      <c r="D169" s="101">
        <v>20406</v>
      </c>
      <c r="E169" s="221" t="s">
        <v>210</v>
      </c>
      <c r="F169" s="221">
        <v>2008</v>
      </c>
    </row>
    <row r="170" spans="2:6">
      <c r="B170" s="254">
        <v>39484</v>
      </c>
      <c r="C170" s="221" t="s">
        <v>396</v>
      </c>
      <c r="D170" s="101">
        <v>17204</v>
      </c>
      <c r="E170" s="221" t="s">
        <v>212</v>
      </c>
      <c r="F170" s="221">
        <v>2008</v>
      </c>
    </row>
    <row r="171" spans="2:6">
      <c r="B171" s="254">
        <v>38789</v>
      </c>
      <c r="C171" s="221" t="s">
        <v>394</v>
      </c>
      <c r="D171" s="101">
        <v>39381</v>
      </c>
      <c r="E171" s="221" t="s">
        <v>210</v>
      </c>
      <c r="F171" s="221">
        <v>2006</v>
      </c>
    </row>
    <row r="172" spans="2:6">
      <c r="B172" s="254">
        <v>39460</v>
      </c>
      <c r="C172" s="221" t="s">
        <v>398</v>
      </c>
      <c r="D172" s="101">
        <v>5610</v>
      </c>
      <c r="E172" s="221" t="s">
        <v>212</v>
      </c>
      <c r="F172" s="221">
        <v>2008</v>
      </c>
    </row>
    <row r="173" spans="2:6">
      <c r="B173" s="254">
        <v>38966</v>
      </c>
      <c r="C173" s="221" t="s">
        <v>395</v>
      </c>
      <c r="D173" s="101">
        <v>8021</v>
      </c>
      <c r="E173" s="221" t="s">
        <v>213</v>
      </c>
      <c r="F173" s="221">
        <v>2006</v>
      </c>
    </row>
    <row r="174" spans="2:6">
      <c r="B174" s="254">
        <v>39225</v>
      </c>
      <c r="C174" s="221" t="s">
        <v>394</v>
      </c>
      <c r="D174" s="101">
        <v>8808</v>
      </c>
      <c r="E174" s="221" t="s">
        <v>210</v>
      </c>
      <c r="F174" s="221">
        <v>2007</v>
      </c>
    </row>
    <row r="175" spans="2:6">
      <c r="B175" s="254">
        <v>38956</v>
      </c>
      <c r="C175" s="221" t="s">
        <v>398</v>
      </c>
      <c r="D175" s="101">
        <v>36172</v>
      </c>
      <c r="E175" s="221" t="s">
        <v>212</v>
      </c>
      <c r="F175" s="221">
        <v>2006</v>
      </c>
    </row>
    <row r="176" spans="2:6">
      <c r="B176" s="254">
        <v>38862</v>
      </c>
      <c r="C176" s="221" t="s">
        <v>395</v>
      </c>
      <c r="D176" s="101">
        <v>25061</v>
      </c>
      <c r="E176" s="221" t="s">
        <v>212</v>
      </c>
      <c r="F176" s="221">
        <v>2006</v>
      </c>
    </row>
    <row r="177" spans="2:6">
      <c r="B177" s="254">
        <v>38868</v>
      </c>
      <c r="C177" s="221" t="s">
        <v>398</v>
      </c>
      <c r="D177" s="101">
        <v>34496</v>
      </c>
      <c r="E177" s="221" t="s">
        <v>212</v>
      </c>
      <c r="F177" s="221">
        <v>2006</v>
      </c>
    </row>
    <row r="178" spans="2:6">
      <c r="B178" s="254">
        <v>38915</v>
      </c>
      <c r="C178" s="221" t="s">
        <v>395</v>
      </c>
      <c r="D178" s="101">
        <v>8685</v>
      </c>
      <c r="E178" s="221" t="s">
        <v>213</v>
      </c>
      <c r="F178" s="221">
        <v>2006</v>
      </c>
    </row>
    <row r="179" spans="2:6">
      <c r="B179" s="254">
        <v>38916</v>
      </c>
      <c r="C179" s="221" t="s">
        <v>398</v>
      </c>
      <c r="D179" s="101">
        <v>27432</v>
      </c>
      <c r="E179" s="221" t="s">
        <v>210</v>
      </c>
      <c r="F179" s="221">
        <v>2006</v>
      </c>
    </row>
    <row r="180" spans="2:6">
      <c r="B180" s="254">
        <v>39247</v>
      </c>
      <c r="C180" s="221" t="s">
        <v>394</v>
      </c>
      <c r="D180" s="101">
        <v>26531</v>
      </c>
      <c r="E180" s="221" t="s">
        <v>210</v>
      </c>
      <c r="F180" s="221">
        <v>2007</v>
      </c>
    </row>
    <row r="181" spans="2:6">
      <c r="B181" s="254">
        <v>39278</v>
      </c>
      <c r="C181" s="221" t="s">
        <v>395</v>
      </c>
      <c r="D181" s="101">
        <v>8330</v>
      </c>
      <c r="E181" s="221" t="s">
        <v>211</v>
      </c>
      <c r="F181" s="221">
        <v>2007</v>
      </c>
    </row>
    <row r="182" spans="2:6">
      <c r="B182" s="254">
        <v>39081</v>
      </c>
      <c r="C182" s="221" t="s">
        <v>395</v>
      </c>
      <c r="D182" s="101">
        <v>26194</v>
      </c>
      <c r="E182" s="221" t="s">
        <v>213</v>
      </c>
      <c r="F182" s="221">
        <v>2006</v>
      </c>
    </row>
    <row r="183" spans="2:6">
      <c r="B183" s="254">
        <v>39371</v>
      </c>
      <c r="C183" s="221" t="s">
        <v>394</v>
      </c>
      <c r="D183" s="101">
        <v>36140</v>
      </c>
      <c r="E183" s="221" t="s">
        <v>211</v>
      </c>
      <c r="F183" s="221">
        <v>2007</v>
      </c>
    </row>
    <row r="184" spans="2:6">
      <c r="B184" s="254">
        <v>39090</v>
      </c>
      <c r="C184" s="221" t="s">
        <v>396</v>
      </c>
      <c r="D184" s="101">
        <v>30306</v>
      </c>
      <c r="E184" s="221" t="s">
        <v>210</v>
      </c>
      <c r="F184" s="221">
        <v>2007</v>
      </c>
    </row>
    <row r="185" spans="2:6">
      <c r="B185" s="254">
        <v>39432</v>
      </c>
      <c r="C185" s="221" t="s">
        <v>396</v>
      </c>
      <c r="D185" s="101">
        <v>30059</v>
      </c>
      <c r="E185" s="221" t="s">
        <v>210</v>
      </c>
      <c r="F185" s="221">
        <v>2007</v>
      </c>
    </row>
    <row r="186" spans="2:6">
      <c r="B186" s="254">
        <v>39498</v>
      </c>
      <c r="C186" s="221" t="s">
        <v>398</v>
      </c>
      <c r="D186" s="101">
        <v>14673</v>
      </c>
      <c r="E186" s="221" t="s">
        <v>212</v>
      </c>
      <c r="F186" s="221">
        <v>2008</v>
      </c>
    </row>
    <row r="187" spans="2:6">
      <c r="B187" s="254">
        <v>39053</v>
      </c>
      <c r="C187" s="221" t="s">
        <v>398</v>
      </c>
      <c r="D187" s="101">
        <v>14709</v>
      </c>
      <c r="E187" s="221" t="s">
        <v>211</v>
      </c>
      <c r="F187" s="221">
        <v>2006</v>
      </c>
    </row>
    <row r="188" spans="2:6">
      <c r="B188" s="254">
        <v>38979</v>
      </c>
      <c r="C188" s="221" t="s">
        <v>396</v>
      </c>
      <c r="D188" s="101">
        <v>6853</v>
      </c>
      <c r="E188" s="221" t="s">
        <v>211</v>
      </c>
      <c r="F188" s="221">
        <v>2006</v>
      </c>
    </row>
    <row r="189" spans="2:6">
      <c r="B189" s="254">
        <v>38826</v>
      </c>
      <c r="C189" s="221" t="s">
        <v>396</v>
      </c>
      <c r="D189" s="101">
        <v>28214</v>
      </c>
      <c r="E189" s="221" t="s">
        <v>210</v>
      </c>
      <c r="F189" s="221">
        <v>2006</v>
      </c>
    </row>
    <row r="190" spans="2:6">
      <c r="B190" s="254">
        <v>38798</v>
      </c>
      <c r="C190" s="221" t="s">
        <v>394</v>
      </c>
      <c r="D190" s="101">
        <v>6693</v>
      </c>
      <c r="E190" s="221" t="s">
        <v>210</v>
      </c>
      <c r="F190" s="221">
        <v>2006</v>
      </c>
    </row>
    <row r="191" spans="2:6">
      <c r="B191" s="254">
        <v>39584</v>
      </c>
      <c r="C191" s="221" t="s">
        <v>396</v>
      </c>
      <c r="D191" s="101">
        <v>6646</v>
      </c>
      <c r="E191" s="221" t="s">
        <v>211</v>
      </c>
      <c r="F191" s="221">
        <v>2008</v>
      </c>
    </row>
    <row r="192" spans="2:6">
      <c r="B192" s="254">
        <v>39414</v>
      </c>
      <c r="C192" s="221" t="s">
        <v>396</v>
      </c>
      <c r="D192" s="101">
        <v>10742</v>
      </c>
      <c r="E192" s="221" t="s">
        <v>212</v>
      </c>
      <c r="F192" s="221">
        <v>2007</v>
      </c>
    </row>
    <row r="193" spans="2:6">
      <c r="B193" s="254">
        <v>39355</v>
      </c>
      <c r="C193" s="221" t="s">
        <v>394</v>
      </c>
      <c r="D193" s="101">
        <v>14218</v>
      </c>
      <c r="E193" s="221" t="s">
        <v>210</v>
      </c>
      <c r="F193" s="221">
        <v>2007</v>
      </c>
    </row>
    <row r="194" spans="2:6">
      <c r="B194" s="254">
        <v>38719</v>
      </c>
      <c r="C194" s="221" t="s">
        <v>394</v>
      </c>
      <c r="D194" s="101">
        <v>9593</v>
      </c>
      <c r="E194" s="221" t="s">
        <v>211</v>
      </c>
      <c r="F194" s="221">
        <v>2006</v>
      </c>
    </row>
    <row r="195" spans="2:6">
      <c r="B195" s="254">
        <v>39186</v>
      </c>
      <c r="C195" s="221" t="s">
        <v>394</v>
      </c>
      <c r="D195" s="101">
        <v>10862</v>
      </c>
      <c r="E195" s="221" t="s">
        <v>213</v>
      </c>
      <c r="F195" s="221">
        <v>2007</v>
      </c>
    </row>
    <row r="196" spans="2:6">
      <c r="B196" s="254">
        <v>39172</v>
      </c>
      <c r="C196" s="221" t="s">
        <v>398</v>
      </c>
      <c r="D196" s="101">
        <v>6669</v>
      </c>
      <c r="E196" s="221" t="s">
        <v>213</v>
      </c>
      <c r="F196" s="221">
        <v>2007</v>
      </c>
    </row>
    <row r="197" spans="2:6">
      <c r="B197" s="254">
        <v>39591</v>
      </c>
      <c r="C197" s="221" t="s">
        <v>395</v>
      </c>
      <c r="D197" s="101">
        <v>8595</v>
      </c>
      <c r="E197" s="221" t="s">
        <v>213</v>
      </c>
      <c r="F197" s="221">
        <v>2008</v>
      </c>
    </row>
    <row r="198" spans="2:6">
      <c r="B198" s="254">
        <v>39427</v>
      </c>
      <c r="C198" s="221" t="s">
        <v>394</v>
      </c>
      <c r="D198" s="101">
        <v>15990</v>
      </c>
      <c r="E198" s="221" t="s">
        <v>213</v>
      </c>
      <c r="F198" s="221">
        <v>2007</v>
      </c>
    </row>
    <row r="199" spans="2:6">
      <c r="B199" s="254">
        <v>38771</v>
      </c>
      <c r="C199" s="221" t="s">
        <v>398</v>
      </c>
      <c r="D199" s="101">
        <v>38653</v>
      </c>
      <c r="E199" s="221" t="s">
        <v>211</v>
      </c>
      <c r="F199" s="221">
        <v>2006</v>
      </c>
    </row>
    <row r="200" spans="2:6">
      <c r="B200" s="254">
        <v>38973</v>
      </c>
      <c r="C200" s="221" t="s">
        <v>395</v>
      </c>
      <c r="D200" s="101">
        <v>36391</v>
      </c>
      <c r="E200" s="221" t="s">
        <v>213</v>
      </c>
      <c r="F200" s="221">
        <v>2006</v>
      </c>
    </row>
    <row r="201" spans="2:6">
      <c r="B201" s="254">
        <v>39128</v>
      </c>
      <c r="C201" s="221" t="s">
        <v>395</v>
      </c>
      <c r="D201" s="101">
        <v>38682</v>
      </c>
      <c r="E201" s="221" t="s">
        <v>210</v>
      </c>
      <c r="F201" s="221">
        <v>2007</v>
      </c>
    </row>
    <row r="202" spans="2:6">
      <c r="B202" s="254">
        <v>39393</v>
      </c>
      <c r="C202" s="221" t="s">
        <v>398</v>
      </c>
      <c r="D202" s="101">
        <v>26495</v>
      </c>
      <c r="E202" s="221" t="s">
        <v>212</v>
      </c>
      <c r="F202" s="221">
        <v>2007</v>
      </c>
    </row>
    <row r="203" spans="2:6">
      <c r="B203" s="254">
        <v>38981</v>
      </c>
      <c r="C203" s="221" t="s">
        <v>398</v>
      </c>
      <c r="D203" s="101">
        <v>36791</v>
      </c>
      <c r="E203" s="221" t="s">
        <v>210</v>
      </c>
      <c r="F203" s="221">
        <v>2006</v>
      </c>
    </row>
    <row r="204" spans="2:6">
      <c r="B204" s="254">
        <v>39056</v>
      </c>
      <c r="C204" s="221" t="s">
        <v>394</v>
      </c>
      <c r="D204" s="101">
        <v>33999</v>
      </c>
      <c r="E204" s="221" t="s">
        <v>211</v>
      </c>
      <c r="F204" s="221">
        <v>2006</v>
      </c>
    </row>
    <row r="205" spans="2:6">
      <c r="B205" s="254">
        <v>38759</v>
      </c>
      <c r="C205" s="221" t="s">
        <v>398</v>
      </c>
      <c r="D205" s="101">
        <v>7739</v>
      </c>
      <c r="E205" s="221" t="s">
        <v>212</v>
      </c>
      <c r="F205" s="221">
        <v>2006</v>
      </c>
    </row>
    <row r="206" spans="2:6">
      <c r="B206" s="254">
        <v>39561</v>
      </c>
      <c r="C206" s="221" t="s">
        <v>396</v>
      </c>
      <c r="D206" s="101">
        <v>6412</v>
      </c>
      <c r="E206" s="221" t="s">
        <v>211</v>
      </c>
      <c r="F206" s="221">
        <v>2008</v>
      </c>
    </row>
    <row r="207" spans="2:6">
      <c r="B207" s="254">
        <v>39268</v>
      </c>
      <c r="C207" s="221" t="s">
        <v>395</v>
      </c>
      <c r="D207" s="101">
        <v>32893</v>
      </c>
      <c r="E207" s="221" t="s">
        <v>212</v>
      </c>
      <c r="F207" s="221">
        <v>2007</v>
      </c>
    </row>
    <row r="208" spans="2:6">
      <c r="B208" s="254">
        <v>39267</v>
      </c>
      <c r="C208" s="221" t="s">
        <v>398</v>
      </c>
      <c r="D208" s="101">
        <v>5755</v>
      </c>
      <c r="E208" s="221" t="s">
        <v>213</v>
      </c>
      <c r="F208" s="221">
        <v>2007</v>
      </c>
    </row>
    <row r="209" spans="2:6">
      <c r="B209" s="254">
        <v>39398</v>
      </c>
      <c r="C209" s="221" t="s">
        <v>395</v>
      </c>
      <c r="D209" s="101">
        <v>39019</v>
      </c>
      <c r="E209" s="221" t="s">
        <v>213</v>
      </c>
      <c r="F209" s="221">
        <v>2007</v>
      </c>
    </row>
    <row r="210" spans="2:6">
      <c r="B210" s="254">
        <v>38816</v>
      </c>
      <c r="C210" s="221" t="s">
        <v>398</v>
      </c>
      <c r="D210" s="101">
        <v>28987</v>
      </c>
      <c r="E210" s="221" t="s">
        <v>211</v>
      </c>
      <c r="F210" s="221">
        <v>2006</v>
      </c>
    </row>
    <row r="211" spans="2:6">
      <c r="B211" s="254">
        <v>39566</v>
      </c>
      <c r="C211" s="221" t="s">
        <v>394</v>
      </c>
      <c r="D211" s="101">
        <v>33089</v>
      </c>
      <c r="E211" s="221" t="s">
        <v>213</v>
      </c>
      <c r="F211" s="221">
        <v>2008</v>
      </c>
    </row>
    <row r="212" spans="2:6">
      <c r="B212" s="254">
        <v>39304</v>
      </c>
      <c r="C212" s="221" t="s">
        <v>394</v>
      </c>
      <c r="D212" s="101">
        <v>35314</v>
      </c>
      <c r="E212" s="221" t="s">
        <v>211</v>
      </c>
      <c r="F212" s="221">
        <v>2007</v>
      </c>
    </row>
    <row r="213" spans="2:6">
      <c r="B213" s="254">
        <v>39599</v>
      </c>
      <c r="C213" s="221" t="s">
        <v>396</v>
      </c>
      <c r="D213" s="101">
        <v>35800</v>
      </c>
      <c r="E213" s="221" t="s">
        <v>210</v>
      </c>
      <c r="F213" s="221">
        <v>2008</v>
      </c>
    </row>
    <row r="214" spans="2:6">
      <c r="B214" s="254">
        <v>38834</v>
      </c>
      <c r="C214" s="221" t="s">
        <v>398</v>
      </c>
      <c r="D214" s="101">
        <v>28396</v>
      </c>
      <c r="E214" s="221" t="s">
        <v>211</v>
      </c>
      <c r="F214" s="221">
        <v>2006</v>
      </c>
    </row>
    <row r="215" spans="2:6">
      <c r="B215" s="254">
        <v>38990</v>
      </c>
      <c r="C215" s="221" t="s">
        <v>395</v>
      </c>
      <c r="D215" s="101">
        <v>6076</v>
      </c>
      <c r="E215" s="221" t="s">
        <v>210</v>
      </c>
      <c r="F215" s="221">
        <v>2006</v>
      </c>
    </row>
    <row r="216" spans="2:6">
      <c r="B216" s="254">
        <v>38897</v>
      </c>
      <c r="C216" s="221" t="s">
        <v>394</v>
      </c>
      <c r="D216" s="101">
        <v>10305</v>
      </c>
      <c r="E216" s="221" t="s">
        <v>212</v>
      </c>
      <c r="F216" s="221">
        <v>2006</v>
      </c>
    </row>
    <row r="217" spans="2:6">
      <c r="B217" s="254">
        <v>39178</v>
      </c>
      <c r="C217" s="221" t="s">
        <v>398</v>
      </c>
      <c r="D217" s="101">
        <v>14988</v>
      </c>
      <c r="E217" s="221" t="s">
        <v>211</v>
      </c>
      <c r="F217" s="221">
        <v>2007</v>
      </c>
    </row>
    <row r="218" spans="2:6">
      <c r="B218" s="254">
        <v>39390</v>
      </c>
      <c r="C218" s="221" t="s">
        <v>394</v>
      </c>
      <c r="D218" s="101">
        <v>25010</v>
      </c>
      <c r="E218" s="221" t="s">
        <v>210</v>
      </c>
      <c r="F218" s="221">
        <v>2007</v>
      </c>
    </row>
    <row r="219" spans="2:6">
      <c r="B219" s="254">
        <v>39017</v>
      </c>
      <c r="C219" s="221" t="s">
        <v>395</v>
      </c>
      <c r="D219" s="101">
        <v>31233</v>
      </c>
      <c r="E219" s="221" t="s">
        <v>212</v>
      </c>
      <c r="F219" s="221">
        <v>2006</v>
      </c>
    </row>
    <row r="220" spans="2:6">
      <c r="B220" s="254">
        <v>39493</v>
      </c>
      <c r="C220" s="221" t="s">
        <v>394</v>
      </c>
      <c r="D220" s="101">
        <v>21995</v>
      </c>
      <c r="E220" s="221" t="s">
        <v>213</v>
      </c>
      <c r="F220" s="221">
        <v>2008</v>
      </c>
    </row>
    <row r="221" spans="2:6">
      <c r="B221" s="254">
        <v>39615</v>
      </c>
      <c r="C221" s="221" t="s">
        <v>395</v>
      </c>
      <c r="D221" s="101">
        <v>19542</v>
      </c>
      <c r="E221" s="221" t="s">
        <v>213</v>
      </c>
      <c r="F221" s="221">
        <v>2008</v>
      </c>
    </row>
    <row r="222" spans="2:6">
      <c r="B222" s="254">
        <v>39509</v>
      </c>
      <c r="C222" s="221" t="s">
        <v>395</v>
      </c>
      <c r="D222" s="101">
        <v>39369</v>
      </c>
      <c r="E222" s="221" t="s">
        <v>210</v>
      </c>
      <c r="F222" s="221">
        <v>2008</v>
      </c>
    </row>
    <row r="223" spans="2:6">
      <c r="B223" s="254">
        <v>38912</v>
      </c>
      <c r="C223" s="221" t="s">
        <v>395</v>
      </c>
      <c r="D223" s="101">
        <v>37326</v>
      </c>
      <c r="E223" s="221" t="s">
        <v>212</v>
      </c>
      <c r="F223" s="221">
        <v>2006</v>
      </c>
    </row>
    <row r="224" spans="2:6">
      <c r="B224" s="254">
        <v>39377</v>
      </c>
      <c r="C224" s="221" t="s">
        <v>398</v>
      </c>
      <c r="D224" s="101">
        <v>26164</v>
      </c>
      <c r="E224" s="221" t="s">
        <v>212</v>
      </c>
      <c r="F224" s="221">
        <v>2007</v>
      </c>
    </row>
    <row r="225" spans="2:6">
      <c r="B225" s="254">
        <v>39263</v>
      </c>
      <c r="C225" s="221" t="s">
        <v>396</v>
      </c>
      <c r="D225" s="101">
        <v>10156</v>
      </c>
      <c r="E225" s="221" t="s">
        <v>211</v>
      </c>
      <c r="F225" s="221">
        <v>2007</v>
      </c>
    </row>
    <row r="226" spans="2:6">
      <c r="B226" s="254">
        <v>38744</v>
      </c>
      <c r="C226" s="221" t="s">
        <v>394</v>
      </c>
      <c r="D226" s="101">
        <v>32023</v>
      </c>
      <c r="E226" s="221" t="s">
        <v>211</v>
      </c>
      <c r="F226" s="221">
        <v>2006</v>
      </c>
    </row>
    <row r="227" spans="2:6">
      <c r="B227" s="254">
        <v>39270</v>
      </c>
      <c r="C227" s="221" t="s">
        <v>395</v>
      </c>
      <c r="D227" s="101">
        <v>28877</v>
      </c>
      <c r="E227" s="221" t="s">
        <v>212</v>
      </c>
      <c r="F227" s="221">
        <v>2007</v>
      </c>
    </row>
    <row r="228" spans="2:6">
      <c r="B228" s="254">
        <v>38852</v>
      </c>
      <c r="C228" s="221" t="s">
        <v>396</v>
      </c>
      <c r="D228" s="101">
        <v>20439</v>
      </c>
      <c r="E228" s="221" t="s">
        <v>212</v>
      </c>
      <c r="F228" s="221">
        <v>2006</v>
      </c>
    </row>
    <row r="229" spans="2:6">
      <c r="B229" s="254">
        <v>38724</v>
      </c>
      <c r="C229" s="221" t="s">
        <v>394</v>
      </c>
      <c r="D229" s="101">
        <v>17651</v>
      </c>
      <c r="E229" s="221" t="s">
        <v>210</v>
      </c>
      <c r="F229" s="221">
        <v>2006</v>
      </c>
    </row>
    <row r="230" spans="2:6">
      <c r="B230" s="254">
        <v>38848</v>
      </c>
      <c r="C230" s="221" t="s">
        <v>398</v>
      </c>
      <c r="D230" s="101">
        <v>29136</v>
      </c>
      <c r="E230" s="221" t="s">
        <v>211</v>
      </c>
      <c r="F230" s="221">
        <v>2006</v>
      </c>
    </row>
    <row r="231" spans="2:6">
      <c r="B231" s="254">
        <v>39130</v>
      </c>
      <c r="C231" s="221" t="s">
        <v>398</v>
      </c>
      <c r="D231" s="101">
        <v>19689</v>
      </c>
      <c r="E231" s="221" t="s">
        <v>210</v>
      </c>
      <c r="F231" s="221">
        <v>2007</v>
      </c>
    </row>
    <row r="232" spans="2:6">
      <c r="B232" s="254">
        <v>39206</v>
      </c>
      <c r="C232" s="221" t="s">
        <v>398</v>
      </c>
      <c r="D232" s="101">
        <v>15232</v>
      </c>
      <c r="E232" s="221" t="s">
        <v>210</v>
      </c>
      <c r="F232" s="221">
        <v>2007</v>
      </c>
    </row>
    <row r="233" spans="2:6">
      <c r="B233" s="254">
        <v>39113</v>
      </c>
      <c r="C233" s="221" t="s">
        <v>395</v>
      </c>
      <c r="D233" s="101">
        <v>30662</v>
      </c>
      <c r="E233" s="221" t="s">
        <v>211</v>
      </c>
      <c r="F233" s="221">
        <v>2007</v>
      </c>
    </row>
    <row r="234" spans="2:6">
      <c r="B234" s="254">
        <v>39039</v>
      </c>
      <c r="C234" s="221" t="s">
        <v>396</v>
      </c>
      <c r="D234" s="101">
        <v>19993</v>
      </c>
      <c r="E234" s="221" t="s">
        <v>213</v>
      </c>
      <c r="F234" s="221">
        <v>2006</v>
      </c>
    </row>
    <row r="235" spans="2:6">
      <c r="B235" s="254">
        <v>39405</v>
      </c>
      <c r="C235" s="221" t="s">
        <v>394</v>
      </c>
      <c r="D235" s="101">
        <v>31460</v>
      </c>
      <c r="E235" s="221" t="s">
        <v>211</v>
      </c>
      <c r="F235" s="221">
        <v>2007</v>
      </c>
    </row>
    <row r="236" spans="2:6">
      <c r="B236" s="254">
        <v>39237</v>
      </c>
      <c r="C236" s="221" t="s">
        <v>394</v>
      </c>
      <c r="D236" s="101">
        <v>31942</v>
      </c>
      <c r="E236" s="221" t="s">
        <v>211</v>
      </c>
      <c r="F236" s="221">
        <v>2007</v>
      </c>
    </row>
    <row r="237" spans="2:6">
      <c r="B237" s="254">
        <v>39135</v>
      </c>
      <c r="C237" s="221" t="s">
        <v>395</v>
      </c>
      <c r="D237" s="101">
        <v>8560</v>
      </c>
      <c r="E237" s="221" t="s">
        <v>212</v>
      </c>
      <c r="F237" s="221">
        <v>2007</v>
      </c>
    </row>
    <row r="238" spans="2:6">
      <c r="B238" s="254">
        <v>39176</v>
      </c>
      <c r="C238" s="221" t="s">
        <v>398</v>
      </c>
      <c r="D238" s="101">
        <v>21962</v>
      </c>
      <c r="E238" s="221" t="s">
        <v>212</v>
      </c>
      <c r="F238" s="221">
        <v>2007</v>
      </c>
    </row>
    <row r="239" spans="2:6">
      <c r="B239" s="254">
        <v>39530</v>
      </c>
      <c r="C239" s="221" t="s">
        <v>396</v>
      </c>
      <c r="D239" s="101">
        <v>24365</v>
      </c>
      <c r="E239" s="221" t="s">
        <v>212</v>
      </c>
      <c r="F239" s="221">
        <v>2008</v>
      </c>
    </row>
    <row r="240" spans="2:6">
      <c r="B240" s="254">
        <v>39304</v>
      </c>
      <c r="C240" s="221" t="s">
        <v>396</v>
      </c>
      <c r="D240" s="101">
        <v>6825</v>
      </c>
      <c r="E240" s="221" t="s">
        <v>212</v>
      </c>
      <c r="F240" s="221">
        <v>2007</v>
      </c>
    </row>
    <row r="241" spans="2:6">
      <c r="B241" s="254">
        <v>39387</v>
      </c>
      <c r="C241" s="221" t="s">
        <v>396</v>
      </c>
      <c r="D241" s="101">
        <v>13496</v>
      </c>
      <c r="E241" s="221" t="s">
        <v>210</v>
      </c>
      <c r="F241" s="221">
        <v>2007</v>
      </c>
    </row>
    <row r="242" spans="2:6">
      <c r="B242" s="254">
        <v>38767</v>
      </c>
      <c r="C242" s="221" t="s">
        <v>394</v>
      </c>
      <c r="D242" s="101">
        <v>5767</v>
      </c>
      <c r="E242" s="221" t="s">
        <v>211</v>
      </c>
      <c r="F242" s="221">
        <v>2006</v>
      </c>
    </row>
    <row r="243" spans="2:6">
      <c r="B243" s="254">
        <v>38971</v>
      </c>
      <c r="C243" s="221" t="s">
        <v>394</v>
      </c>
      <c r="D243" s="101">
        <v>15765</v>
      </c>
      <c r="E243" s="221" t="s">
        <v>212</v>
      </c>
      <c r="F243" s="221">
        <v>2006</v>
      </c>
    </row>
    <row r="244" spans="2:6">
      <c r="B244" s="254">
        <v>38886</v>
      </c>
      <c r="C244" s="221" t="s">
        <v>396</v>
      </c>
      <c r="D244" s="101">
        <v>27920</v>
      </c>
      <c r="E244" s="221" t="s">
        <v>210</v>
      </c>
      <c r="F244" s="221">
        <v>2006</v>
      </c>
    </row>
    <row r="245" spans="2:6">
      <c r="B245" s="254">
        <v>39413</v>
      </c>
      <c r="C245" s="221" t="s">
        <v>395</v>
      </c>
      <c r="D245" s="101">
        <v>36930</v>
      </c>
      <c r="E245" s="221" t="s">
        <v>211</v>
      </c>
      <c r="F245" s="221">
        <v>2007</v>
      </c>
    </row>
    <row r="246" spans="2:6">
      <c r="B246" s="254">
        <v>39227</v>
      </c>
      <c r="C246" s="221" t="s">
        <v>396</v>
      </c>
      <c r="D246" s="101">
        <v>35814</v>
      </c>
      <c r="E246" s="221" t="s">
        <v>211</v>
      </c>
      <c r="F246" s="221">
        <v>2007</v>
      </c>
    </row>
    <row r="247" spans="2:6">
      <c r="B247" s="254">
        <v>39365</v>
      </c>
      <c r="C247" s="221" t="s">
        <v>398</v>
      </c>
      <c r="D247" s="101">
        <v>32260</v>
      </c>
      <c r="E247" s="221" t="s">
        <v>213</v>
      </c>
      <c r="F247" s="221">
        <v>2007</v>
      </c>
    </row>
    <row r="248" spans="2:6">
      <c r="B248" s="254">
        <v>39246</v>
      </c>
      <c r="C248" s="221" t="s">
        <v>394</v>
      </c>
      <c r="D248" s="101">
        <v>37109</v>
      </c>
      <c r="E248" s="221" t="s">
        <v>210</v>
      </c>
      <c r="F248" s="221">
        <v>2007</v>
      </c>
    </row>
    <row r="249" spans="2:6">
      <c r="B249" s="254">
        <v>39421</v>
      </c>
      <c r="C249" s="221" t="s">
        <v>396</v>
      </c>
      <c r="D249" s="101">
        <v>22221</v>
      </c>
      <c r="E249" s="221" t="s">
        <v>213</v>
      </c>
      <c r="F249" s="221">
        <v>2007</v>
      </c>
    </row>
    <row r="250" spans="2:6">
      <c r="B250" s="254">
        <v>38778</v>
      </c>
      <c r="C250" s="221" t="s">
        <v>395</v>
      </c>
      <c r="D250" s="101">
        <v>16218</v>
      </c>
      <c r="E250" s="221" t="s">
        <v>212</v>
      </c>
      <c r="F250" s="221">
        <v>2006</v>
      </c>
    </row>
    <row r="251" spans="2:6">
      <c r="B251" s="254">
        <v>39523</v>
      </c>
      <c r="C251" s="221" t="s">
        <v>398</v>
      </c>
      <c r="D251" s="101">
        <v>34659</v>
      </c>
      <c r="E251" s="221" t="s">
        <v>212</v>
      </c>
      <c r="F251" s="221">
        <v>2008</v>
      </c>
    </row>
    <row r="252" spans="2:6">
      <c r="B252" s="254">
        <v>39500</v>
      </c>
      <c r="C252" s="221" t="s">
        <v>394</v>
      </c>
      <c r="D252" s="101">
        <v>14376</v>
      </c>
      <c r="E252" s="221" t="s">
        <v>213</v>
      </c>
      <c r="F252" s="221">
        <v>2008</v>
      </c>
    </row>
    <row r="253" spans="2:6">
      <c r="B253" s="254">
        <v>39021</v>
      </c>
      <c r="C253" s="221" t="s">
        <v>394</v>
      </c>
      <c r="D253" s="101">
        <v>25771</v>
      </c>
      <c r="E253" s="221" t="s">
        <v>210</v>
      </c>
      <c r="F253" s="221">
        <v>2006</v>
      </c>
    </row>
    <row r="254" spans="2:6">
      <c r="B254" s="254">
        <v>39373</v>
      </c>
      <c r="C254" s="221" t="s">
        <v>396</v>
      </c>
      <c r="D254" s="101">
        <v>14191</v>
      </c>
      <c r="E254" s="221" t="s">
        <v>211</v>
      </c>
      <c r="F254" s="221">
        <v>2007</v>
      </c>
    </row>
    <row r="255" spans="2:6">
      <c r="B255" s="254">
        <v>39046</v>
      </c>
      <c r="C255" s="221" t="s">
        <v>398</v>
      </c>
      <c r="D255" s="101">
        <v>18922</v>
      </c>
      <c r="E255" s="221" t="s">
        <v>210</v>
      </c>
      <c r="F255" s="221">
        <v>2006</v>
      </c>
    </row>
    <row r="256" spans="2:6">
      <c r="B256" s="254">
        <v>38836</v>
      </c>
      <c r="C256" s="221" t="s">
        <v>394</v>
      </c>
      <c r="D256" s="101">
        <v>21436</v>
      </c>
      <c r="E256" s="221" t="s">
        <v>211</v>
      </c>
      <c r="F256" s="221">
        <v>2006</v>
      </c>
    </row>
    <row r="257" spans="2:6">
      <c r="B257" s="254">
        <v>39341</v>
      </c>
      <c r="C257" s="221" t="s">
        <v>394</v>
      </c>
      <c r="D257" s="101">
        <v>32513</v>
      </c>
      <c r="E257" s="221" t="s">
        <v>212</v>
      </c>
      <c r="F257" s="221">
        <v>2007</v>
      </c>
    </row>
    <row r="258" spans="2:6">
      <c r="B258" s="254">
        <v>38994</v>
      </c>
      <c r="C258" s="221" t="s">
        <v>398</v>
      </c>
      <c r="D258" s="101">
        <v>12769</v>
      </c>
      <c r="E258" s="221" t="s">
        <v>211</v>
      </c>
      <c r="F258" s="221">
        <v>2006</v>
      </c>
    </row>
    <row r="259" spans="2:6">
      <c r="B259" s="254">
        <v>38738</v>
      </c>
      <c r="C259" s="221" t="s">
        <v>396</v>
      </c>
      <c r="D259" s="101">
        <v>17120</v>
      </c>
      <c r="E259" s="221" t="s">
        <v>210</v>
      </c>
      <c r="F259" s="221">
        <v>2006</v>
      </c>
    </row>
    <row r="260" spans="2:6">
      <c r="B260" s="254">
        <v>39012</v>
      </c>
      <c r="C260" s="221" t="s">
        <v>396</v>
      </c>
      <c r="D260" s="101">
        <v>31575</v>
      </c>
      <c r="E260" s="221" t="s">
        <v>213</v>
      </c>
      <c r="F260" s="221">
        <v>2006</v>
      </c>
    </row>
    <row r="261" spans="2:6">
      <c r="B261" s="254">
        <v>38964</v>
      </c>
      <c r="C261" s="221" t="s">
        <v>396</v>
      </c>
      <c r="D261" s="101">
        <v>36599</v>
      </c>
      <c r="E261" s="221" t="s">
        <v>212</v>
      </c>
      <c r="F261" s="221">
        <v>2006</v>
      </c>
    </row>
    <row r="262" spans="2:6">
      <c r="B262" s="254">
        <v>39065</v>
      </c>
      <c r="C262" s="221" t="s">
        <v>396</v>
      </c>
      <c r="D262" s="101">
        <v>27619</v>
      </c>
      <c r="E262" s="221" t="s">
        <v>210</v>
      </c>
      <c r="F262" s="221">
        <v>2006</v>
      </c>
    </row>
    <row r="263" spans="2:6">
      <c r="B263" s="254">
        <v>39229</v>
      </c>
      <c r="C263" s="221" t="s">
        <v>395</v>
      </c>
      <c r="D263" s="101">
        <v>19987</v>
      </c>
      <c r="E263" s="221" t="s">
        <v>210</v>
      </c>
      <c r="F263" s="221">
        <v>2007</v>
      </c>
    </row>
    <row r="264" spans="2:6">
      <c r="B264" s="254">
        <v>39480</v>
      </c>
      <c r="C264" s="221" t="s">
        <v>396</v>
      </c>
      <c r="D264" s="101">
        <v>20176</v>
      </c>
      <c r="E264" s="221" t="s">
        <v>210</v>
      </c>
      <c r="F264" s="221">
        <v>2008</v>
      </c>
    </row>
    <row r="265" spans="2:6">
      <c r="B265" s="254">
        <v>38787</v>
      </c>
      <c r="C265" s="221" t="s">
        <v>398</v>
      </c>
      <c r="D265" s="101">
        <v>12813</v>
      </c>
      <c r="E265" s="221" t="s">
        <v>213</v>
      </c>
      <c r="F265" s="221">
        <v>2006</v>
      </c>
    </row>
    <row r="266" spans="2:6">
      <c r="B266" s="254">
        <v>38731</v>
      </c>
      <c r="C266" s="221" t="s">
        <v>394</v>
      </c>
      <c r="D266" s="101">
        <v>12699</v>
      </c>
      <c r="E266" s="221" t="s">
        <v>212</v>
      </c>
      <c r="F266" s="221">
        <v>2006</v>
      </c>
    </row>
    <row r="267" spans="2:6">
      <c r="B267" s="254">
        <v>39567</v>
      </c>
      <c r="C267" s="221" t="s">
        <v>398</v>
      </c>
      <c r="D267" s="101">
        <v>11181</v>
      </c>
      <c r="E267" s="221" t="s">
        <v>213</v>
      </c>
      <c r="F267" s="221">
        <v>2008</v>
      </c>
    </row>
    <row r="268" spans="2:6">
      <c r="B268" s="254">
        <v>39532</v>
      </c>
      <c r="C268" s="221" t="s">
        <v>395</v>
      </c>
      <c r="D268" s="101">
        <v>30246</v>
      </c>
      <c r="E268" s="221" t="s">
        <v>210</v>
      </c>
      <c r="F268" s="221">
        <v>2008</v>
      </c>
    </row>
    <row r="269" spans="2:6">
      <c r="B269" s="254">
        <v>38929</v>
      </c>
      <c r="C269" s="221" t="s">
        <v>398</v>
      </c>
      <c r="D269" s="101">
        <v>12097</v>
      </c>
      <c r="E269" s="221" t="s">
        <v>213</v>
      </c>
      <c r="F269" s="221">
        <v>2006</v>
      </c>
    </row>
    <row r="270" spans="2:6">
      <c r="B270" s="254">
        <v>39129</v>
      </c>
      <c r="C270" s="221" t="s">
        <v>394</v>
      </c>
      <c r="D270" s="101">
        <v>33542</v>
      </c>
      <c r="E270" s="221" t="s">
        <v>210</v>
      </c>
      <c r="F270" s="221">
        <v>2007</v>
      </c>
    </row>
    <row r="271" spans="2:6">
      <c r="B271" s="254">
        <v>39511</v>
      </c>
      <c r="C271" s="221" t="s">
        <v>394</v>
      </c>
      <c r="D271" s="101">
        <v>13620</v>
      </c>
      <c r="E271" s="221" t="s">
        <v>210</v>
      </c>
      <c r="F271" s="221">
        <v>2008</v>
      </c>
    </row>
    <row r="272" spans="2:6">
      <c r="B272" s="254">
        <v>38801</v>
      </c>
      <c r="C272" s="221" t="s">
        <v>394</v>
      </c>
      <c r="D272" s="101">
        <v>5603</v>
      </c>
      <c r="E272" s="221" t="s">
        <v>212</v>
      </c>
      <c r="F272" s="221">
        <v>2006</v>
      </c>
    </row>
    <row r="273" spans="2:6">
      <c r="B273" s="254">
        <v>39162</v>
      </c>
      <c r="C273" s="221" t="s">
        <v>396</v>
      </c>
      <c r="D273" s="101">
        <v>39437</v>
      </c>
      <c r="E273" s="221" t="s">
        <v>211</v>
      </c>
      <c r="F273" s="221">
        <v>2007</v>
      </c>
    </row>
    <row r="274" spans="2:6">
      <c r="B274" s="254">
        <v>39243</v>
      </c>
      <c r="C274" s="221" t="s">
        <v>394</v>
      </c>
      <c r="D274" s="101">
        <v>29543</v>
      </c>
      <c r="E274" s="221" t="s">
        <v>211</v>
      </c>
      <c r="F274" s="221">
        <v>2007</v>
      </c>
    </row>
    <row r="275" spans="2:6">
      <c r="B275" s="254">
        <v>39589</v>
      </c>
      <c r="C275" s="221" t="s">
        <v>394</v>
      </c>
      <c r="D275" s="101">
        <v>38396</v>
      </c>
      <c r="E275" s="221" t="s">
        <v>213</v>
      </c>
      <c r="F275" s="221">
        <v>2008</v>
      </c>
    </row>
    <row r="276" spans="2:6">
      <c r="B276" s="254">
        <v>39545</v>
      </c>
      <c r="C276" s="221" t="s">
        <v>394</v>
      </c>
      <c r="D276" s="101">
        <v>30365</v>
      </c>
      <c r="E276" s="221" t="s">
        <v>210</v>
      </c>
      <c r="F276" s="221">
        <v>2008</v>
      </c>
    </row>
    <row r="277" spans="2:6">
      <c r="B277" s="254">
        <v>39360</v>
      </c>
      <c r="C277" s="221" t="s">
        <v>398</v>
      </c>
      <c r="D277" s="101">
        <v>9990</v>
      </c>
      <c r="E277" s="221" t="s">
        <v>210</v>
      </c>
      <c r="F277" s="221">
        <v>2007</v>
      </c>
    </row>
    <row r="278" spans="2:6">
      <c r="B278" s="254">
        <v>39222</v>
      </c>
      <c r="C278" s="221" t="s">
        <v>394</v>
      </c>
      <c r="D278" s="101">
        <v>5143</v>
      </c>
      <c r="E278" s="221" t="s">
        <v>213</v>
      </c>
      <c r="F278" s="221">
        <v>2007</v>
      </c>
    </row>
    <row r="279" spans="2:6">
      <c r="B279" s="254">
        <v>39345</v>
      </c>
      <c r="C279" s="221" t="s">
        <v>395</v>
      </c>
      <c r="D279" s="101">
        <v>39950</v>
      </c>
      <c r="E279" s="221" t="s">
        <v>212</v>
      </c>
      <c r="F279" s="221">
        <v>2007</v>
      </c>
    </row>
    <row r="280" spans="2:6">
      <c r="B280" s="254">
        <v>38994</v>
      </c>
      <c r="C280" s="221" t="s">
        <v>398</v>
      </c>
      <c r="D280" s="101">
        <v>19300</v>
      </c>
      <c r="E280" s="221" t="s">
        <v>211</v>
      </c>
      <c r="F280" s="221">
        <v>2006</v>
      </c>
    </row>
    <row r="281" spans="2:6">
      <c r="B281" s="254">
        <v>38955</v>
      </c>
      <c r="C281" s="221" t="s">
        <v>395</v>
      </c>
      <c r="D281" s="101">
        <v>24848</v>
      </c>
      <c r="E281" s="221" t="s">
        <v>211</v>
      </c>
      <c r="F281" s="221">
        <v>2006</v>
      </c>
    </row>
    <row r="282" spans="2:6">
      <c r="B282" s="254">
        <v>38840</v>
      </c>
      <c r="C282" s="221" t="s">
        <v>396</v>
      </c>
      <c r="D282" s="101">
        <v>24535</v>
      </c>
      <c r="E282" s="221" t="s">
        <v>211</v>
      </c>
      <c r="F282" s="221">
        <v>2006</v>
      </c>
    </row>
    <row r="283" spans="2:6">
      <c r="B283" s="254">
        <v>39053</v>
      </c>
      <c r="C283" s="221" t="s">
        <v>396</v>
      </c>
      <c r="D283" s="101">
        <v>15488</v>
      </c>
      <c r="E283" s="221" t="s">
        <v>210</v>
      </c>
      <c r="F283" s="221">
        <v>2006</v>
      </c>
    </row>
    <row r="284" spans="2:6">
      <c r="B284" s="254">
        <v>39340</v>
      </c>
      <c r="C284" s="221" t="s">
        <v>398</v>
      </c>
      <c r="D284" s="101">
        <v>7504</v>
      </c>
      <c r="E284" s="221" t="s">
        <v>213</v>
      </c>
      <c r="F284" s="221">
        <v>2007</v>
      </c>
    </row>
    <row r="285" spans="2:6">
      <c r="B285" s="254">
        <v>39005</v>
      </c>
      <c r="C285" s="221" t="s">
        <v>394</v>
      </c>
      <c r="D285" s="101">
        <v>16231</v>
      </c>
      <c r="E285" s="221" t="s">
        <v>213</v>
      </c>
      <c r="F285" s="221">
        <v>2006</v>
      </c>
    </row>
    <row r="286" spans="2:6">
      <c r="B286" s="254">
        <v>39452</v>
      </c>
      <c r="C286" s="221" t="s">
        <v>398</v>
      </c>
      <c r="D286" s="101">
        <v>35079</v>
      </c>
      <c r="E286" s="221" t="s">
        <v>210</v>
      </c>
      <c r="F286" s="221">
        <v>2008</v>
      </c>
    </row>
    <row r="287" spans="2:6">
      <c r="B287" s="254">
        <v>38827</v>
      </c>
      <c r="C287" s="221" t="s">
        <v>398</v>
      </c>
      <c r="D287" s="101">
        <v>16210</v>
      </c>
      <c r="E287" s="221" t="s">
        <v>211</v>
      </c>
      <c r="F287" s="221">
        <v>2006</v>
      </c>
    </row>
    <row r="288" spans="2:6">
      <c r="B288" s="254">
        <v>39161</v>
      </c>
      <c r="C288" s="221" t="s">
        <v>396</v>
      </c>
      <c r="D288" s="101">
        <v>29904</v>
      </c>
      <c r="E288" s="221" t="s">
        <v>213</v>
      </c>
      <c r="F288" s="221">
        <v>2007</v>
      </c>
    </row>
    <row r="289" spans="2:6">
      <c r="B289" s="254">
        <v>39368</v>
      </c>
      <c r="C289" s="221" t="s">
        <v>394</v>
      </c>
      <c r="D289" s="101">
        <v>13924</v>
      </c>
      <c r="E289" s="221" t="s">
        <v>213</v>
      </c>
      <c r="F289" s="221">
        <v>2007</v>
      </c>
    </row>
    <row r="290" spans="2:6">
      <c r="B290" s="254">
        <v>39143</v>
      </c>
      <c r="C290" s="221" t="s">
        <v>396</v>
      </c>
      <c r="D290" s="101">
        <v>15133</v>
      </c>
      <c r="E290" s="221" t="s">
        <v>210</v>
      </c>
      <c r="F290" s="221">
        <v>2007</v>
      </c>
    </row>
    <row r="291" spans="2:6">
      <c r="B291" s="254">
        <v>39579</v>
      </c>
      <c r="C291" s="221" t="s">
        <v>394</v>
      </c>
      <c r="D291" s="101">
        <v>32553</v>
      </c>
      <c r="E291" s="221" t="s">
        <v>213</v>
      </c>
      <c r="F291" s="221">
        <v>2008</v>
      </c>
    </row>
    <row r="292" spans="2:6">
      <c r="B292" s="254">
        <v>38780</v>
      </c>
      <c r="C292" s="221" t="s">
        <v>396</v>
      </c>
      <c r="D292" s="101">
        <v>12182</v>
      </c>
      <c r="E292" s="221" t="s">
        <v>213</v>
      </c>
      <c r="F292" s="221">
        <v>2006</v>
      </c>
    </row>
    <row r="293" spans="2:6">
      <c r="B293" s="254">
        <v>39539</v>
      </c>
      <c r="C293" s="221" t="s">
        <v>396</v>
      </c>
      <c r="D293" s="101">
        <v>39843</v>
      </c>
      <c r="E293" s="221" t="s">
        <v>210</v>
      </c>
      <c r="F293" s="221">
        <v>2008</v>
      </c>
    </row>
    <row r="294" spans="2:6">
      <c r="B294" s="254">
        <v>39460</v>
      </c>
      <c r="C294" s="221" t="s">
        <v>398</v>
      </c>
      <c r="D294" s="101">
        <v>19515</v>
      </c>
      <c r="E294" s="221" t="s">
        <v>212</v>
      </c>
      <c r="F294" s="221">
        <v>2008</v>
      </c>
    </row>
    <row r="295" spans="2:6">
      <c r="B295" s="254">
        <v>39327</v>
      </c>
      <c r="C295" s="221" t="s">
        <v>396</v>
      </c>
      <c r="D295" s="101">
        <v>32431</v>
      </c>
      <c r="E295" s="221" t="s">
        <v>213</v>
      </c>
      <c r="F295" s="221">
        <v>2007</v>
      </c>
    </row>
    <row r="296" spans="2:6">
      <c r="B296" s="254">
        <v>39339</v>
      </c>
      <c r="C296" s="221" t="s">
        <v>398</v>
      </c>
      <c r="D296" s="101">
        <v>31011</v>
      </c>
      <c r="E296" s="221" t="s">
        <v>213</v>
      </c>
      <c r="F296" s="221">
        <v>2007</v>
      </c>
    </row>
    <row r="297" spans="2:6">
      <c r="B297" s="254">
        <v>38779</v>
      </c>
      <c r="C297" s="221" t="s">
        <v>395</v>
      </c>
      <c r="D297" s="101">
        <v>16357</v>
      </c>
      <c r="E297" s="221" t="s">
        <v>210</v>
      </c>
      <c r="F297" s="221">
        <v>2006</v>
      </c>
    </row>
    <row r="298" spans="2:6">
      <c r="B298" s="254">
        <v>39235</v>
      </c>
      <c r="C298" s="221" t="s">
        <v>394</v>
      </c>
      <c r="D298" s="101">
        <v>12629</v>
      </c>
      <c r="E298" s="221" t="s">
        <v>210</v>
      </c>
      <c r="F298" s="221">
        <v>2007</v>
      </c>
    </row>
    <row r="299" spans="2:6">
      <c r="B299" s="254">
        <v>39165</v>
      </c>
      <c r="C299" s="221" t="s">
        <v>394</v>
      </c>
      <c r="D299" s="101">
        <v>6463</v>
      </c>
      <c r="E299" s="221" t="s">
        <v>210</v>
      </c>
      <c r="F299" s="221">
        <v>2007</v>
      </c>
    </row>
    <row r="300" spans="2:6">
      <c r="B300" s="254">
        <v>39147</v>
      </c>
      <c r="C300" s="221" t="s">
        <v>398</v>
      </c>
      <c r="D300" s="101">
        <v>12394</v>
      </c>
      <c r="E300" s="221" t="s">
        <v>211</v>
      </c>
      <c r="F300" s="221">
        <v>2007</v>
      </c>
    </row>
    <row r="301" spans="2:6">
      <c r="B301" s="254">
        <v>38903</v>
      </c>
      <c r="C301" s="221" t="s">
        <v>396</v>
      </c>
      <c r="D301" s="101">
        <v>11162</v>
      </c>
      <c r="E301" s="221" t="s">
        <v>212</v>
      </c>
      <c r="F301" s="221">
        <v>2006</v>
      </c>
    </row>
    <row r="302" spans="2:6">
      <c r="B302" s="254">
        <v>39133</v>
      </c>
      <c r="C302" s="221" t="s">
        <v>398</v>
      </c>
      <c r="D302" s="101">
        <v>33370</v>
      </c>
      <c r="E302" s="221" t="s">
        <v>213</v>
      </c>
      <c r="F302" s="221">
        <v>2007</v>
      </c>
    </row>
    <row r="303" spans="2:6">
      <c r="B303" s="254">
        <v>38990</v>
      </c>
      <c r="C303" s="221" t="s">
        <v>396</v>
      </c>
      <c r="D303" s="101">
        <v>39220</v>
      </c>
      <c r="E303" s="221" t="s">
        <v>213</v>
      </c>
      <c r="F303" s="221">
        <v>2006</v>
      </c>
    </row>
    <row r="304" spans="2:6">
      <c r="B304" s="254">
        <v>39295</v>
      </c>
      <c r="C304" s="221" t="s">
        <v>398</v>
      </c>
      <c r="D304" s="101">
        <v>17524</v>
      </c>
      <c r="E304" s="221" t="s">
        <v>210</v>
      </c>
      <c r="F304" s="221">
        <v>2007</v>
      </c>
    </row>
    <row r="305" spans="2:6">
      <c r="B305" s="254">
        <v>39339</v>
      </c>
      <c r="C305" s="221" t="s">
        <v>396</v>
      </c>
      <c r="D305" s="101">
        <v>31471</v>
      </c>
      <c r="E305" s="221" t="s">
        <v>210</v>
      </c>
      <c r="F305" s="221">
        <v>2007</v>
      </c>
    </row>
    <row r="306" spans="2:6">
      <c r="B306" s="254">
        <v>38783</v>
      </c>
      <c r="C306" s="221" t="s">
        <v>396</v>
      </c>
      <c r="D306" s="101">
        <v>37833</v>
      </c>
      <c r="E306" s="221" t="s">
        <v>213</v>
      </c>
      <c r="F306" s="221">
        <v>2006</v>
      </c>
    </row>
    <row r="307" spans="2:6">
      <c r="B307" s="254">
        <v>39022</v>
      </c>
      <c r="C307" s="221" t="s">
        <v>395</v>
      </c>
      <c r="D307" s="101">
        <v>12077</v>
      </c>
      <c r="E307" s="221" t="s">
        <v>211</v>
      </c>
      <c r="F307" s="221">
        <v>2006</v>
      </c>
    </row>
    <row r="308" spans="2:6">
      <c r="B308" s="254">
        <v>39252</v>
      </c>
      <c r="C308" s="221" t="s">
        <v>396</v>
      </c>
      <c r="D308" s="101">
        <v>29772</v>
      </c>
      <c r="E308" s="221" t="s">
        <v>210</v>
      </c>
      <c r="F308" s="221">
        <v>2007</v>
      </c>
    </row>
    <row r="309" spans="2:6">
      <c r="B309" s="254">
        <v>38815</v>
      </c>
      <c r="C309" s="221" t="s">
        <v>395</v>
      </c>
      <c r="D309" s="101">
        <v>7834</v>
      </c>
      <c r="E309" s="221" t="s">
        <v>212</v>
      </c>
      <c r="F309" s="221">
        <v>2006</v>
      </c>
    </row>
    <row r="310" spans="2:6">
      <c r="B310" s="254">
        <v>39349</v>
      </c>
      <c r="C310" s="221" t="s">
        <v>394</v>
      </c>
      <c r="D310" s="101">
        <v>18394</v>
      </c>
      <c r="E310" s="221" t="s">
        <v>213</v>
      </c>
      <c r="F310" s="221">
        <v>2007</v>
      </c>
    </row>
    <row r="311" spans="2:6">
      <c r="B311" s="254">
        <v>39348</v>
      </c>
      <c r="C311" s="221" t="s">
        <v>398</v>
      </c>
      <c r="D311" s="101">
        <v>6918</v>
      </c>
      <c r="E311" s="221" t="s">
        <v>211</v>
      </c>
      <c r="F311" s="221">
        <v>2007</v>
      </c>
    </row>
    <row r="312" spans="2:6">
      <c r="B312" s="254">
        <v>39515</v>
      </c>
      <c r="C312" s="221" t="s">
        <v>398</v>
      </c>
      <c r="D312" s="101">
        <v>13975</v>
      </c>
      <c r="E312" s="221" t="s">
        <v>210</v>
      </c>
      <c r="F312" s="221">
        <v>2008</v>
      </c>
    </row>
    <row r="313" spans="2:6">
      <c r="B313" s="254">
        <v>39328</v>
      </c>
      <c r="C313" s="221" t="s">
        <v>396</v>
      </c>
      <c r="D313" s="101">
        <v>5295</v>
      </c>
      <c r="E313" s="221" t="s">
        <v>213</v>
      </c>
      <c r="F313" s="221">
        <v>2007</v>
      </c>
    </row>
    <row r="314" spans="2:6">
      <c r="B314" s="254">
        <v>39139</v>
      </c>
      <c r="C314" s="221" t="s">
        <v>395</v>
      </c>
      <c r="D314" s="101">
        <v>29955</v>
      </c>
      <c r="E314" s="221" t="s">
        <v>213</v>
      </c>
      <c r="F314" s="221">
        <v>2007</v>
      </c>
    </row>
    <row r="315" spans="2:6">
      <c r="B315" s="254">
        <v>38855</v>
      </c>
      <c r="C315" s="221" t="s">
        <v>394</v>
      </c>
      <c r="D315" s="101">
        <v>28927</v>
      </c>
      <c r="E315" s="221" t="s">
        <v>212</v>
      </c>
      <c r="F315" s="221">
        <v>2006</v>
      </c>
    </row>
    <row r="316" spans="2:6">
      <c r="B316" s="254">
        <v>39202</v>
      </c>
      <c r="C316" s="221" t="s">
        <v>396</v>
      </c>
      <c r="D316" s="101">
        <v>11454</v>
      </c>
      <c r="E316" s="221" t="s">
        <v>212</v>
      </c>
      <c r="F316" s="221">
        <v>2007</v>
      </c>
    </row>
    <row r="317" spans="2:6">
      <c r="B317" s="254">
        <v>39485</v>
      </c>
      <c r="C317" s="221" t="s">
        <v>398</v>
      </c>
      <c r="D317" s="101">
        <v>35275</v>
      </c>
      <c r="E317" s="221" t="s">
        <v>211</v>
      </c>
      <c r="F317" s="221">
        <v>2008</v>
      </c>
    </row>
    <row r="318" spans="2:6">
      <c r="B318" s="254">
        <v>39216</v>
      </c>
      <c r="C318" s="221" t="s">
        <v>396</v>
      </c>
      <c r="D318" s="101">
        <v>29301</v>
      </c>
      <c r="E318" s="221" t="s">
        <v>212</v>
      </c>
      <c r="F318" s="221">
        <v>2007</v>
      </c>
    </row>
    <row r="319" spans="2:6">
      <c r="B319" s="254">
        <v>38768</v>
      </c>
      <c r="C319" s="221" t="s">
        <v>394</v>
      </c>
      <c r="D319" s="101">
        <v>36817</v>
      </c>
      <c r="E319" s="221" t="s">
        <v>210</v>
      </c>
      <c r="F319" s="221">
        <v>2006</v>
      </c>
    </row>
    <row r="320" spans="2:6">
      <c r="B320" s="254">
        <v>38881</v>
      </c>
      <c r="C320" s="221" t="s">
        <v>394</v>
      </c>
      <c r="D320" s="101">
        <v>39987</v>
      </c>
      <c r="E320" s="221" t="s">
        <v>211</v>
      </c>
      <c r="F320" s="221">
        <v>2006</v>
      </c>
    </row>
    <row r="321" spans="2:6">
      <c r="B321" s="254">
        <v>39219</v>
      </c>
      <c r="C321" s="221" t="s">
        <v>394</v>
      </c>
      <c r="D321" s="101">
        <v>39574</v>
      </c>
      <c r="E321" s="221" t="s">
        <v>210</v>
      </c>
      <c r="F321" s="221">
        <v>2007</v>
      </c>
    </row>
    <row r="322" spans="2:6">
      <c r="B322" s="254">
        <v>38772</v>
      </c>
      <c r="C322" s="221" t="s">
        <v>394</v>
      </c>
      <c r="D322" s="101">
        <v>25220</v>
      </c>
      <c r="E322" s="221" t="s">
        <v>210</v>
      </c>
      <c r="F322" s="221">
        <v>2006</v>
      </c>
    </row>
    <row r="323" spans="2:6">
      <c r="B323" s="254">
        <v>38935</v>
      </c>
      <c r="C323" s="221" t="s">
        <v>398</v>
      </c>
      <c r="D323" s="101">
        <v>25788</v>
      </c>
      <c r="E323" s="221" t="s">
        <v>212</v>
      </c>
      <c r="F323" s="221">
        <v>2006</v>
      </c>
    </row>
    <row r="324" spans="2:6">
      <c r="B324" s="254">
        <v>39187</v>
      </c>
      <c r="C324" s="221" t="s">
        <v>394</v>
      </c>
      <c r="D324" s="101">
        <v>28599</v>
      </c>
      <c r="E324" s="221" t="s">
        <v>210</v>
      </c>
      <c r="F324" s="221">
        <v>2007</v>
      </c>
    </row>
    <row r="325" spans="2:6">
      <c r="B325" s="254">
        <v>39411</v>
      </c>
      <c r="C325" s="221" t="s">
        <v>396</v>
      </c>
      <c r="D325" s="101">
        <v>9997</v>
      </c>
      <c r="E325" s="221" t="s">
        <v>211</v>
      </c>
      <c r="F325" s="221">
        <v>2007</v>
      </c>
    </row>
    <row r="326" spans="2:6">
      <c r="B326" s="254">
        <v>39097</v>
      </c>
      <c r="C326" s="221" t="s">
        <v>398</v>
      </c>
      <c r="D326" s="101">
        <v>17683</v>
      </c>
      <c r="E326" s="221" t="s">
        <v>213</v>
      </c>
      <c r="F326" s="221">
        <v>2007</v>
      </c>
    </row>
    <row r="327" spans="2:6">
      <c r="B327" s="254">
        <v>39580</v>
      </c>
      <c r="C327" s="221" t="s">
        <v>394</v>
      </c>
      <c r="D327" s="101">
        <v>20872</v>
      </c>
      <c r="E327" s="221" t="s">
        <v>211</v>
      </c>
      <c r="F327" s="221">
        <v>2008</v>
      </c>
    </row>
    <row r="328" spans="2:6">
      <c r="B328" s="254">
        <v>39249</v>
      </c>
      <c r="C328" s="221" t="s">
        <v>395</v>
      </c>
      <c r="D328" s="101">
        <v>28089</v>
      </c>
      <c r="E328" s="221" t="s">
        <v>210</v>
      </c>
      <c r="F328" s="221">
        <v>2007</v>
      </c>
    </row>
    <row r="329" spans="2:6">
      <c r="B329" s="254">
        <v>39216</v>
      </c>
      <c r="C329" s="221" t="s">
        <v>398</v>
      </c>
      <c r="D329" s="101">
        <v>39641</v>
      </c>
      <c r="E329" s="221" t="s">
        <v>210</v>
      </c>
      <c r="F329" s="221">
        <v>2007</v>
      </c>
    </row>
    <row r="330" spans="2:6">
      <c r="B330" s="254">
        <v>38998</v>
      </c>
      <c r="C330" s="221" t="s">
        <v>395</v>
      </c>
      <c r="D330" s="101">
        <v>27542</v>
      </c>
      <c r="E330" s="221" t="s">
        <v>212</v>
      </c>
      <c r="F330" s="221">
        <v>2006</v>
      </c>
    </row>
    <row r="331" spans="2:6">
      <c r="B331" s="254">
        <v>39184</v>
      </c>
      <c r="C331" s="221" t="s">
        <v>394</v>
      </c>
      <c r="D331" s="101">
        <v>38816</v>
      </c>
      <c r="E331" s="221" t="s">
        <v>213</v>
      </c>
      <c r="F331" s="221">
        <v>2007</v>
      </c>
    </row>
    <row r="332" spans="2:6">
      <c r="B332" s="254">
        <v>39270</v>
      </c>
      <c r="C332" s="221" t="s">
        <v>396</v>
      </c>
      <c r="D332" s="101">
        <v>31474</v>
      </c>
      <c r="E332" s="221" t="s">
        <v>211</v>
      </c>
      <c r="F332" s="221">
        <v>2007</v>
      </c>
    </row>
    <row r="333" spans="2:6">
      <c r="B333" s="254">
        <v>39269</v>
      </c>
      <c r="C333" s="221" t="s">
        <v>396</v>
      </c>
      <c r="D333" s="101">
        <v>31791</v>
      </c>
      <c r="E333" s="221" t="s">
        <v>211</v>
      </c>
      <c r="F333" s="221">
        <v>2007</v>
      </c>
    </row>
    <row r="334" spans="2:6">
      <c r="B334" s="254">
        <v>39098</v>
      </c>
      <c r="C334" s="221" t="s">
        <v>394</v>
      </c>
      <c r="D334" s="101">
        <v>36342</v>
      </c>
      <c r="E334" s="221" t="s">
        <v>212</v>
      </c>
      <c r="F334" s="221">
        <v>2007</v>
      </c>
    </row>
    <row r="335" spans="2:6">
      <c r="B335" s="254">
        <v>39075</v>
      </c>
      <c r="C335" s="221" t="s">
        <v>398</v>
      </c>
      <c r="D335" s="101">
        <v>27500</v>
      </c>
      <c r="E335" s="221" t="s">
        <v>213</v>
      </c>
      <c r="F335" s="221">
        <v>2006</v>
      </c>
    </row>
    <row r="336" spans="2:6">
      <c r="B336" s="254">
        <v>38876</v>
      </c>
      <c r="C336" s="221" t="s">
        <v>396</v>
      </c>
      <c r="D336" s="101">
        <v>35427</v>
      </c>
      <c r="E336" s="221" t="s">
        <v>212</v>
      </c>
      <c r="F336" s="221">
        <v>2006</v>
      </c>
    </row>
    <row r="337" spans="2:6">
      <c r="B337" s="254">
        <v>38887</v>
      </c>
      <c r="C337" s="221" t="s">
        <v>396</v>
      </c>
      <c r="D337" s="101">
        <v>7221</v>
      </c>
      <c r="E337" s="221" t="s">
        <v>213</v>
      </c>
      <c r="F337" s="221">
        <v>2006</v>
      </c>
    </row>
    <row r="338" spans="2:6">
      <c r="B338" s="254">
        <v>38909</v>
      </c>
      <c r="C338" s="221" t="s">
        <v>395</v>
      </c>
      <c r="D338" s="101">
        <v>37793</v>
      </c>
      <c r="E338" s="221" t="s">
        <v>213</v>
      </c>
      <c r="F338" s="221">
        <v>2006</v>
      </c>
    </row>
    <row r="339" spans="2:6">
      <c r="B339" s="254">
        <v>39126</v>
      </c>
      <c r="C339" s="221" t="s">
        <v>396</v>
      </c>
      <c r="D339" s="101">
        <v>14617</v>
      </c>
      <c r="E339" s="221" t="s">
        <v>211</v>
      </c>
      <c r="F339" s="221">
        <v>2007</v>
      </c>
    </row>
    <row r="340" spans="2:6">
      <c r="B340" s="254">
        <v>39017</v>
      </c>
      <c r="C340" s="221" t="s">
        <v>396</v>
      </c>
      <c r="D340" s="101">
        <v>28239</v>
      </c>
      <c r="E340" s="221" t="s">
        <v>211</v>
      </c>
      <c r="F340" s="221">
        <v>2006</v>
      </c>
    </row>
    <row r="341" spans="2:6">
      <c r="B341" s="254">
        <v>39589</v>
      </c>
      <c r="C341" s="221" t="s">
        <v>395</v>
      </c>
      <c r="D341" s="101">
        <v>9170</v>
      </c>
      <c r="E341" s="221" t="s">
        <v>210</v>
      </c>
      <c r="F341" s="221">
        <v>2008</v>
      </c>
    </row>
    <row r="342" spans="2:6">
      <c r="B342" s="254">
        <v>39441</v>
      </c>
      <c r="C342" s="221" t="s">
        <v>394</v>
      </c>
      <c r="D342" s="101">
        <v>11027</v>
      </c>
      <c r="E342" s="221" t="s">
        <v>211</v>
      </c>
      <c r="F342" s="221">
        <v>2007</v>
      </c>
    </row>
    <row r="343" spans="2:6">
      <c r="B343" s="254">
        <v>38825</v>
      </c>
      <c r="C343" s="221" t="s">
        <v>398</v>
      </c>
      <c r="D343" s="101">
        <v>22966</v>
      </c>
      <c r="E343" s="221" t="s">
        <v>211</v>
      </c>
      <c r="F343" s="221">
        <v>2006</v>
      </c>
    </row>
    <row r="344" spans="2:6">
      <c r="B344" s="254">
        <v>39068</v>
      </c>
      <c r="C344" s="221" t="s">
        <v>396</v>
      </c>
      <c r="D344" s="101">
        <v>34075</v>
      </c>
      <c r="E344" s="221" t="s">
        <v>213</v>
      </c>
      <c r="F344" s="221">
        <v>2006</v>
      </c>
    </row>
    <row r="345" spans="2:6">
      <c r="B345" s="254">
        <v>39482</v>
      </c>
      <c r="C345" s="221" t="s">
        <v>395</v>
      </c>
      <c r="D345" s="101">
        <v>5971</v>
      </c>
      <c r="E345" s="221" t="s">
        <v>210</v>
      </c>
      <c r="F345" s="221">
        <v>2008</v>
      </c>
    </row>
    <row r="346" spans="2:6">
      <c r="B346" s="254">
        <v>39158</v>
      </c>
      <c r="C346" s="221" t="s">
        <v>395</v>
      </c>
      <c r="D346" s="101">
        <v>32354</v>
      </c>
      <c r="E346" s="221" t="s">
        <v>212</v>
      </c>
      <c r="F346" s="221">
        <v>2007</v>
      </c>
    </row>
    <row r="347" spans="2:6">
      <c r="B347" s="254">
        <v>39200</v>
      </c>
      <c r="C347" s="221" t="s">
        <v>396</v>
      </c>
      <c r="D347" s="101">
        <v>25207</v>
      </c>
      <c r="E347" s="221" t="s">
        <v>213</v>
      </c>
      <c r="F347" s="221">
        <v>2007</v>
      </c>
    </row>
    <row r="348" spans="2:6">
      <c r="B348" s="254">
        <v>38894</v>
      </c>
      <c r="C348" s="221" t="s">
        <v>395</v>
      </c>
      <c r="D348" s="101">
        <v>39409</v>
      </c>
      <c r="E348" s="221" t="s">
        <v>213</v>
      </c>
      <c r="F348" s="221">
        <v>2006</v>
      </c>
    </row>
    <row r="349" spans="2:6">
      <c r="B349" s="254">
        <v>39143</v>
      </c>
      <c r="C349" s="221" t="s">
        <v>394</v>
      </c>
      <c r="D349" s="101">
        <v>34257</v>
      </c>
      <c r="E349" s="221" t="s">
        <v>213</v>
      </c>
      <c r="F349" s="221">
        <v>2007</v>
      </c>
    </row>
    <row r="350" spans="2:6">
      <c r="B350" s="254">
        <v>38905</v>
      </c>
      <c r="C350" s="221" t="s">
        <v>394</v>
      </c>
      <c r="D350" s="101">
        <v>33369</v>
      </c>
      <c r="E350" s="221" t="s">
        <v>210</v>
      </c>
      <c r="F350" s="221">
        <v>2006</v>
      </c>
    </row>
    <row r="351" spans="2:6">
      <c r="B351" s="254">
        <v>39368</v>
      </c>
      <c r="C351" s="221" t="s">
        <v>395</v>
      </c>
      <c r="D351" s="101">
        <v>9613</v>
      </c>
      <c r="E351" s="221" t="s">
        <v>211</v>
      </c>
      <c r="F351" s="221">
        <v>2007</v>
      </c>
    </row>
    <row r="352" spans="2:6">
      <c r="B352" s="254">
        <v>39540</v>
      </c>
      <c r="C352" s="221" t="s">
        <v>395</v>
      </c>
      <c r="D352" s="101">
        <v>37940</v>
      </c>
      <c r="E352" s="221" t="s">
        <v>210</v>
      </c>
      <c r="F352" s="221">
        <v>2008</v>
      </c>
    </row>
    <row r="353" spans="2:6">
      <c r="B353" s="254">
        <v>39285</v>
      </c>
      <c r="C353" s="221" t="s">
        <v>394</v>
      </c>
      <c r="D353" s="101">
        <v>15906</v>
      </c>
      <c r="E353" s="221" t="s">
        <v>213</v>
      </c>
      <c r="F353" s="221">
        <v>2007</v>
      </c>
    </row>
    <row r="354" spans="2:6">
      <c r="B354" s="254">
        <v>39202</v>
      </c>
      <c r="C354" s="221" t="s">
        <v>398</v>
      </c>
      <c r="D354" s="101">
        <v>25842</v>
      </c>
      <c r="E354" s="221" t="s">
        <v>211</v>
      </c>
      <c r="F354" s="221">
        <v>2007</v>
      </c>
    </row>
    <row r="355" spans="2:6">
      <c r="B355" s="254">
        <v>39556</v>
      </c>
      <c r="C355" s="221" t="s">
        <v>395</v>
      </c>
      <c r="D355" s="101">
        <v>30271</v>
      </c>
      <c r="E355" s="221" t="s">
        <v>210</v>
      </c>
      <c r="F355" s="221">
        <v>2008</v>
      </c>
    </row>
    <row r="356" spans="2:6">
      <c r="B356" s="254">
        <v>39565</v>
      </c>
      <c r="C356" s="221" t="s">
        <v>394</v>
      </c>
      <c r="D356" s="101">
        <v>31955</v>
      </c>
      <c r="E356" s="221" t="s">
        <v>211</v>
      </c>
      <c r="F356" s="221">
        <v>2008</v>
      </c>
    </row>
    <row r="357" spans="2:6">
      <c r="B357" s="254">
        <v>39435</v>
      </c>
      <c r="C357" s="221" t="s">
        <v>394</v>
      </c>
      <c r="D357" s="101">
        <v>10407</v>
      </c>
      <c r="E357" s="221" t="s">
        <v>211</v>
      </c>
      <c r="F357" s="221">
        <v>2007</v>
      </c>
    </row>
    <row r="358" spans="2:6">
      <c r="B358" s="254">
        <v>39495</v>
      </c>
      <c r="C358" s="221" t="s">
        <v>396</v>
      </c>
      <c r="D358" s="101">
        <v>17527</v>
      </c>
      <c r="E358" s="221" t="s">
        <v>211</v>
      </c>
      <c r="F358" s="221">
        <v>2008</v>
      </c>
    </row>
    <row r="359" spans="2:6">
      <c r="B359" s="254">
        <v>39247</v>
      </c>
      <c r="C359" s="221" t="s">
        <v>396</v>
      </c>
      <c r="D359" s="101">
        <v>33604</v>
      </c>
      <c r="E359" s="221" t="s">
        <v>213</v>
      </c>
      <c r="F359" s="221">
        <v>2007</v>
      </c>
    </row>
    <row r="360" spans="2:6">
      <c r="B360" s="254">
        <v>38876</v>
      </c>
      <c r="C360" s="221" t="s">
        <v>398</v>
      </c>
      <c r="D360" s="101">
        <v>28250</v>
      </c>
      <c r="E360" s="221" t="s">
        <v>212</v>
      </c>
      <c r="F360" s="221">
        <v>2006</v>
      </c>
    </row>
    <row r="361" spans="2:6">
      <c r="B361" s="254">
        <v>39521</v>
      </c>
      <c r="C361" s="221" t="s">
        <v>395</v>
      </c>
      <c r="D361" s="101">
        <v>35464</v>
      </c>
      <c r="E361" s="221" t="s">
        <v>212</v>
      </c>
      <c r="F361" s="221">
        <v>2008</v>
      </c>
    </row>
    <row r="362" spans="2:6">
      <c r="B362" s="254">
        <v>39119</v>
      </c>
      <c r="C362" s="221" t="s">
        <v>396</v>
      </c>
      <c r="D362" s="101">
        <v>22897</v>
      </c>
      <c r="E362" s="221" t="s">
        <v>213</v>
      </c>
      <c r="F362" s="221">
        <v>2007</v>
      </c>
    </row>
    <row r="363" spans="2:6">
      <c r="B363" s="254">
        <v>39451</v>
      </c>
      <c r="C363" s="221" t="s">
        <v>394</v>
      </c>
      <c r="D363" s="101">
        <v>28107</v>
      </c>
      <c r="E363" s="221" t="s">
        <v>212</v>
      </c>
      <c r="F363" s="221">
        <v>2008</v>
      </c>
    </row>
    <row r="364" spans="2:6">
      <c r="B364" s="254">
        <v>39617</v>
      </c>
      <c r="C364" s="221" t="s">
        <v>395</v>
      </c>
      <c r="D364" s="101">
        <v>9609</v>
      </c>
      <c r="E364" s="221" t="s">
        <v>212</v>
      </c>
      <c r="F364" s="221">
        <v>2008</v>
      </c>
    </row>
    <row r="365" spans="2:6">
      <c r="B365" s="254">
        <v>39107</v>
      </c>
      <c r="C365" s="221" t="s">
        <v>394</v>
      </c>
      <c r="D365" s="101">
        <v>11195</v>
      </c>
      <c r="E365" s="221" t="s">
        <v>213</v>
      </c>
      <c r="F365" s="221">
        <v>2007</v>
      </c>
    </row>
    <row r="366" spans="2:6">
      <c r="B366" s="254">
        <v>39047</v>
      </c>
      <c r="C366" s="221" t="s">
        <v>395</v>
      </c>
      <c r="D366" s="101">
        <v>22885</v>
      </c>
      <c r="E366" s="221" t="s">
        <v>212</v>
      </c>
      <c r="F366" s="221">
        <v>2006</v>
      </c>
    </row>
    <row r="367" spans="2:6">
      <c r="B367" s="254">
        <v>39409</v>
      </c>
      <c r="C367" s="221" t="s">
        <v>398</v>
      </c>
      <c r="D367" s="101">
        <v>5481</v>
      </c>
      <c r="E367" s="221" t="s">
        <v>213</v>
      </c>
      <c r="F367" s="221">
        <v>2007</v>
      </c>
    </row>
    <row r="368" spans="2:6">
      <c r="B368" s="254">
        <v>39184</v>
      </c>
      <c r="C368" s="221" t="s">
        <v>396</v>
      </c>
      <c r="D368" s="101">
        <v>12996</v>
      </c>
      <c r="E368" s="221" t="s">
        <v>211</v>
      </c>
      <c r="F368" s="221">
        <v>2007</v>
      </c>
    </row>
    <row r="369" spans="2:6">
      <c r="B369" s="254">
        <v>39338</v>
      </c>
      <c r="C369" s="221" t="s">
        <v>394</v>
      </c>
      <c r="D369" s="101">
        <v>34409</v>
      </c>
      <c r="E369" s="221" t="s">
        <v>211</v>
      </c>
      <c r="F369" s="221">
        <v>2007</v>
      </c>
    </row>
    <row r="370" spans="2:6">
      <c r="B370" s="254">
        <v>39199</v>
      </c>
      <c r="C370" s="221" t="s">
        <v>395</v>
      </c>
      <c r="D370" s="101">
        <v>22871</v>
      </c>
      <c r="E370" s="221" t="s">
        <v>213</v>
      </c>
      <c r="F370" s="221">
        <v>2007</v>
      </c>
    </row>
    <row r="371" spans="2:6">
      <c r="B371" s="254">
        <v>39431</v>
      </c>
      <c r="C371" s="221" t="s">
        <v>398</v>
      </c>
      <c r="D371" s="101">
        <v>38174</v>
      </c>
      <c r="E371" s="221" t="s">
        <v>211</v>
      </c>
      <c r="F371" s="221">
        <v>2007</v>
      </c>
    </row>
    <row r="372" spans="2:6">
      <c r="B372" s="254">
        <v>39067</v>
      </c>
      <c r="C372" s="221" t="s">
        <v>395</v>
      </c>
      <c r="D372" s="101">
        <v>24668</v>
      </c>
      <c r="E372" s="221" t="s">
        <v>211</v>
      </c>
      <c r="F372" s="221">
        <v>2006</v>
      </c>
    </row>
    <row r="373" spans="2:6">
      <c r="B373" s="254">
        <v>39530</v>
      </c>
      <c r="C373" s="221" t="s">
        <v>394</v>
      </c>
      <c r="D373" s="101">
        <v>27215</v>
      </c>
      <c r="E373" s="221" t="s">
        <v>213</v>
      </c>
      <c r="F373" s="221">
        <v>2008</v>
      </c>
    </row>
    <row r="374" spans="2:6">
      <c r="B374" s="254">
        <v>38919</v>
      </c>
      <c r="C374" s="221" t="s">
        <v>394</v>
      </c>
      <c r="D374" s="101">
        <v>32720</v>
      </c>
      <c r="E374" s="221" t="s">
        <v>212</v>
      </c>
      <c r="F374" s="221">
        <v>2006</v>
      </c>
    </row>
    <row r="375" spans="2:6">
      <c r="B375" s="254">
        <v>39015</v>
      </c>
      <c r="C375" s="221" t="s">
        <v>395</v>
      </c>
      <c r="D375" s="101">
        <v>33669</v>
      </c>
      <c r="E375" s="221" t="s">
        <v>210</v>
      </c>
      <c r="F375" s="221">
        <v>2006</v>
      </c>
    </row>
    <row r="376" spans="2:6">
      <c r="B376" s="254">
        <v>38856</v>
      </c>
      <c r="C376" s="221" t="s">
        <v>398</v>
      </c>
      <c r="D376" s="101">
        <v>25720</v>
      </c>
      <c r="E376" s="221" t="s">
        <v>210</v>
      </c>
      <c r="F376" s="221">
        <v>2006</v>
      </c>
    </row>
    <row r="377" spans="2:6">
      <c r="B377" s="254">
        <v>39608</v>
      </c>
      <c r="C377" s="221" t="s">
        <v>394</v>
      </c>
      <c r="D377" s="101">
        <v>29008</v>
      </c>
      <c r="E377" s="221" t="s">
        <v>212</v>
      </c>
      <c r="F377" s="221">
        <v>2008</v>
      </c>
    </row>
    <row r="378" spans="2:6">
      <c r="B378" s="254">
        <v>39302</v>
      </c>
      <c r="C378" s="221" t="s">
        <v>398</v>
      </c>
      <c r="D378" s="101">
        <v>9218</v>
      </c>
      <c r="E378" s="221" t="s">
        <v>211</v>
      </c>
      <c r="F378" s="221">
        <v>2007</v>
      </c>
    </row>
    <row r="379" spans="2:6">
      <c r="B379" s="254">
        <v>39526</v>
      </c>
      <c r="C379" s="221" t="s">
        <v>398</v>
      </c>
      <c r="D379" s="101">
        <v>39565</v>
      </c>
      <c r="E379" s="221" t="s">
        <v>213</v>
      </c>
      <c r="F379" s="221">
        <v>2008</v>
      </c>
    </row>
    <row r="380" spans="2:6">
      <c r="B380" s="254">
        <v>39403</v>
      </c>
      <c r="C380" s="221" t="s">
        <v>394</v>
      </c>
      <c r="D380" s="101">
        <v>8310</v>
      </c>
      <c r="E380" s="221" t="s">
        <v>212</v>
      </c>
      <c r="F380" s="221">
        <v>2007</v>
      </c>
    </row>
    <row r="381" spans="2:6">
      <c r="B381" s="254">
        <v>39219</v>
      </c>
      <c r="C381" s="221" t="s">
        <v>395</v>
      </c>
      <c r="D381" s="101">
        <v>39168</v>
      </c>
      <c r="E381" s="221" t="s">
        <v>212</v>
      </c>
      <c r="F381" s="221">
        <v>2007</v>
      </c>
    </row>
    <row r="382" spans="2:6">
      <c r="B382" s="254">
        <v>39410</v>
      </c>
      <c r="C382" s="221" t="s">
        <v>395</v>
      </c>
      <c r="D382" s="101">
        <v>26135</v>
      </c>
      <c r="E382" s="221" t="s">
        <v>211</v>
      </c>
      <c r="F382" s="221">
        <v>2007</v>
      </c>
    </row>
    <row r="383" spans="2:6">
      <c r="B383" s="254">
        <v>38854</v>
      </c>
      <c r="C383" s="221" t="s">
        <v>395</v>
      </c>
      <c r="D383" s="101">
        <v>31565</v>
      </c>
      <c r="E383" s="221" t="s">
        <v>212</v>
      </c>
      <c r="F383" s="221">
        <v>2006</v>
      </c>
    </row>
    <row r="384" spans="2:6">
      <c r="B384" s="254">
        <v>39013</v>
      </c>
      <c r="C384" s="221" t="s">
        <v>398</v>
      </c>
      <c r="D384" s="101">
        <v>24397</v>
      </c>
      <c r="E384" s="221" t="s">
        <v>210</v>
      </c>
      <c r="F384" s="221">
        <v>2006</v>
      </c>
    </row>
    <row r="385" spans="2:6">
      <c r="B385" s="254">
        <v>38975</v>
      </c>
      <c r="C385" s="221" t="s">
        <v>396</v>
      </c>
      <c r="D385" s="101">
        <v>14690</v>
      </c>
      <c r="E385" s="221" t="s">
        <v>211</v>
      </c>
      <c r="F385" s="221">
        <v>2006</v>
      </c>
    </row>
    <row r="386" spans="2:6">
      <c r="B386" s="254">
        <v>39232</v>
      </c>
      <c r="C386" s="221" t="s">
        <v>396</v>
      </c>
      <c r="D386" s="101">
        <v>26689</v>
      </c>
      <c r="E386" s="221" t="s">
        <v>211</v>
      </c>
      <c r="F386" s="221">
        <v>2007</v>
      </c>
    </row>
    <row r="387" spans="2:6">
      <c r="B387" s="254">
        <v>39464</v>
      </c>
      <c r="C387" s="221" t="s">
        <v>398</v>
      </c>
      <c r="D387" s="101">
        <v>8523</v>
      </c>
      <c r="E387" s="221" t="s">
        <v>212</v>
      </c>
      <c r="F387" s="221">
        <v>2008</v>
      </c>
    </row>
    <row r="388" spans="2:6">
      <c r="B388" s="254">
        <v>38948</v>
      </c>
      <c r="C388" s="221" t="s">
        <v>398</v>
      </c>
      <c r="D388" s="101">
        <v>39652</v>
      </c>
      <c r="E388" s="221" t="s">
        <v>213</v>
      </c>
      <c r="F388" s="221">
        <v>2006</v>
      </c>
    </row>
    <row r="389" spans="2:6">
      <c r="B389" s="254">
        <v>38914</v>
      </c>
      <c r="C389" s="221" t="s">
        <v>394</v>
      </c>
      <c r="D389" s="101">
        <v>9059</v>
      </c>
      <c r="E389" s="221" t="s">
        <v>211</v>
      </c>
      <c r="F389" s="221">
        <v>2006</v>
      </c>
    </row>
    <row r="390" spans="2:6">
      <c r="B390" s="254">
        <v>39169</v>
      </c>
      <c r="C390" s="221" t="s">
        <v>394</v>
      </c>
      <c r="D390" s="101">
        <v>32931</v>
      </c>
      <c r="E390" s="221" t="s">
        <v>213</v>
      </c>
      <c r="F390" s="221">
        <v>2007</v>
      </c>
    </row>
    <row r="391" spans="2:6">
      <c r="B391" s="254">
        <v>39408</v>
      </c>
      <c r="C391" s="221" t="s">
        <v>396</v>
      </c>
      <c r="D391" s="101">
        <v>28328</v>
      </c>
      <c r="E391" s="221" t="s">
        <v>211</v>
      </c>
      <c r="F391" s="221">
        <v>2007</v>
      </c>
    </row>
    <row r="392" spans="2:6">
      <c r="B392" s="254">
        <v>39578</v>
      </c>
      <c r="C392" s="221" t="s">
        <v>394</v>
      </c>
      <c r="D392" s="101">
        <v>20207</v>
      </c>
      <c r="E392" s="221" t="s">
        <v>213</v>
      </c>
      <c r="F392" s="221">
        <v>2008</v>
      </c>
    </row>
    <row r="393" spans="2:6">
      <c r="B393" s="254">
        <v>39353</v>
      </c>
      <c r="C393" s="221" t="s">
        <v>398</v>
      </c>
      <c r="D393" s="101">
        <v>39189</v>
      </c>
      <c r="E393" s="221" t="s">
        <v>210</v>
      </c>
      <c r="F393" s="221">
        <v>2007</v>
      </c>
    </row>
    <row r="394" spans="2:6">
      <c r="B394" s="254">
        <v>39254</v>
      </c>
      <c r="C394" s="221" t="s">
        <v>396</v>
      </c>
      <c r="D394" s="101">
        <v>13127</v>
      </c>
      <c r="E394" s="221" t="s">
        <v>212</v>
      </c>
      <c r="F394" s="221">
        <v>2007</v>
      </c>
    </row>
    <row r="395" spans="2:6">
      <c r="B395" s="254">
        <v>38798</v>
      </c>
      <c r="C395" s="221" t="s">
        <v>394</v>
      </c>
      <c r="D395" s="101">
        <v>26691</v>
      </c>
      <c r="E395" s="221" t="s">
        <v>212</v>
      </c>
      <c r="F395" s="221">
        <v>2006</v>
      </c>
    </row>
    <row r="396" spans="2:6">
      <c r="B396" s="254">
        <v>39403</v>
      </c>
      <c r="C396" s="221" t="s">
        <v>398</v>
      </c>
      <c r="D396" s="101">
        <v>11110</v>
      </c>
      <c r="E396" s="221" t="s">
        <v>213</v>
      </c>
      <c r="F396" s="221">
        <v>2007</v>
      </c>
    </row>
    <row r="397" spans="2:6">
      <c r="B397" s="254">
        <v>38949</v>
      </c>
      <c r="C397" s="221" t="s">
        <v>394</v>
      </c>
      <c r="D397" s="101">
        <v>20306</v>
      </c>
      <c r="E397" s="221" t="s">
        <v>213</v>
      </c>
      <c r="F397" s="221">
        <v>2006</v>
      </c>
    </row>
    <row r="398" spans="2:6">
      <c r="B398" s="254">
        <v>39406</v>
      </c>
      <c r="C398" s="221" t="s">
        <v>396</v>
      </c>
      <c r="D398" s="101">
        <v>14307</v>
      </c>
      <c r="E398" s="221" t="s">
        <v>210</v>
      </c>
      <c r="F398" s="221">
        <v>2007</v>
      </c>
    </row>
    <row r="399" spans="2:6">
      <c r="B399" s="254">
        <v>39112</v>
      </c>
      <c r="C399" s="221" t="s">
        <v>396</v>
      </c>
      <c r="D399" s="101">
        <v>19361</v>
      </c>
      <c r="E399" s="221" t="s">
        <v>213</v>
      </c>
      <c r="F399" s="221">
        <v>2007</v>
      </c>
    </row>
    <row r="400" spans="2:6">
      <c r="B400" s="254">
        <v>39588</v>
      </c>
      <c r="C400" s="221" t="s">
        <v>394</v>
      </c>
      <c r="D400" s="101">
        <v>26905</v>
      </c>
      <c r="E400" s="221" t="s">
        <v>210</v>
      </c>
      <c r="F400" s="221">
        <v>2008</v>
      </c>
    </row>
    <row r="401" spans="2:6">
      <c r="B401" s="254">
        <v>38842</v>
      </c>
      <c r="C401" s="221" t="s">
        <v>396</v>
      </c>
      <c r="D401" s="101">
        <v>14769</v>
      </c>
      <c r="E401" s="221" t="s">
        <v>212</v>
      </c>
      <c r="F401" s="221">
        <v>2006</v>
      </c>
    </row>
    <row r="402" spans="2:6">
      <c r="B402" s="254">
        <v>39024</v>
      </c>
      <c r="C402" s="221" t="s">
        <v>398</v>
      </c>
      <c r="D402" s="101">
        <v>9754</v>
      </c>
      <c r="E402" s="221" t="s">
        <v>211</v>
      </c>
      <c r="F402" s="221">
        <v>2006</v>
      </c>
    </row>
    <row r="403" spans="2:6">
      <c r="B403" s="254">
        <v>39052</v>
      </c>
      <c r="C403" s="221" t="s">
        <v>398</v>
      </c>
      <c r="D403" s="101">
        <v>30257</v>
      </c>
      <c r="E403" s="221" t="s">
        <v>210</v>
      </c>
      <c r="F403" s="221">
        <v>2006</v>
      </c>
    </row>
    <row r="404" spans="2:6">
      <c r="B404" s="254">
        <v>39544</v>
      </c>
      <c r="C404" s="221" t="s">
        <v>396</v>
      </c>
      <c r="D404" s="101">
        <v>16068</v>
      </c>
      <c r="E404" s="221" t="s">
        <v>211</v>
      </c>
      <c r="F404" s="221">
        <v>2008</v>
      </c>
    </row>
    <row r="405" spans="2:6">
      <c r="B405" s="254">
        <v>39517</v>
      </c>
      <c r="C405" s="221" t="s">
        <v>394</v>
      </c>
      <c r="D405" s="101">
        <v>35768</v>
      </c>
      <c r="E405" s="221" t="s">
        <v>212</v>
      </c>
      <c r="F405" s="221">
        <v>2008</v>
      </c>
    </row>
    <row r="406" spans="2:6">
      <c r="B406" s="254">
        <v>39591</v>
      </c>
      <c r="C406" s="221" t="s">
        <v>398</v>
      </c>
      <c r="D406" s="101">
        <v>38117</v>
      </c>
      <c r="E406" s="221" t="s">
        <v>211</v>
      </c>
      <c r="F406" s="221">
        <v>2008</v>
      </c>
    </row>
    <row r="407" spans="2:6">
      <c r="B407" s="254">
        <v>39359</v>
      </c>
      <c r="C407" s="221" t="s">
        <v>394</v>
      </c>
      <c r="D407" s="101">
        <v>12838</v>
      </c>
      <c r="E407" s="221" t="s">
        <v>210</v>
      </c>
      <c r="F407" s="221">
        <v>2007</v>
      </c>
    </row>
    <row r="408" spans="2:6">
      <c r="B408" s="254">
        <v>38814</v>
      </c>
      <c r="C408" s="221" t="s">
        <v>394</v>
      </c>
      <c r="D408" s="101">
        <v>16253</v>
      </c>
      <c r="E408" s="221" t="s">
        <v>210</v>
      </c>
      <c r="F408" s="221">
        <v>2006</v>
      </c>
    </row>
    <row r="409" spans="2:6">
      <c r="B409" s="254">
        <v>39387</v>
      </c>
      <c r="C409" s="221" t="s">
        <v>398</v>
      </c>
      <c r="D409" s="101">
        <v>33351</v>
      </c>
      <c r="E409" s="221" t="s">
        <v>213</v>
      </c>
      <c r="F409" s="221">
        <v>2007</v>
      </c>
    </row>
    <row r="410" spans="2:6">
      <c r="B410" s="254">
        <v>39120</v>
      </c>
      <c r="C410" s="221" t="s">
        <v>394</v>
      </c>
      <c r="D410" s="101">
        <v>5418</v>
      </c>
      <c r="E410" s="221" t="s">
        <v>213</v>
      </c>
      <c r="F410" s="221">
        <v>2007</v>
      </c>
    </row>
    <row r="411" spans="2:6">
      <c r="B411" s="254">
        <v>39282</v>
      </c>
      <c r="C411" s="221" t="s">
        <v>394</v>
      </c>
      <c r="D411" s="101">
        <v>21464</v>
      </c>
      <c r="E411" s="221" t="s">
        <v>212</v>
      </c>
      <c r="F411" s="221">
        <v>2007</v>
      </c>
    </row>
    <row r="412" spans="2:6">
      <c r="B412" s="254">
        <v>39434</v>
      </c>
      <c r="C412" s="221" t="s">
        <v>394</v>
      </c>
      <c r="D412" s="101">
        <v>18495</v>
      </c>
      <c r="E412" s="221" t="s">
        <v>211</v>
      </c>
      <c r="F412" s="221">
        <v>2007</v>
      </c>
    </row>
    <row r="413" spans="2:6">
      <c r="B413" s="254">
        <v>38869</v>
      </c>
      <c r="C413" s="221" t="s">
        <v>398</v>
      </c>
      <c r="D413" s="101">
        <v>16255</v>
      </c>
      <c r="E413" s="221" t="s">
        <v>213</v>
      </c>
      <c r="F413" s="221">
        <v>2006</v>
      </c>
    </row>
    <row r="414" spans="2:6">
      <c r="B414" s="254">
        <v>39187</v>
      </c>
      <c r="C414" s="221" t="s">
        <v>396</v>
      </c>
      <c r="D414" s="101">
        <v>7018</v>
      </c>
      <c r="E414" s="221" t="s">
        <v>210</v>
      </c>
      <c r="F414" s="221">
        <v>2007</v>
      </c>
    </row>
    <row r="415" spans="2:6">
      <c r="B415" s="254">
        <v>38786</v>
      </c>
      <c r="C415" s="221" t="s">
        <v>396</v>
      </c>
      <c r="D415" s="101">
        <v>8435</v>
      </c>
      <c r="E415" s="221" t="s">
        <v>210</v>
      </c>
      <c r="F415" s="221">
        <v>2006</v>
      </c>
    </row>
    <row r="416" spans="2:6">
      <c r="B416" s="254">
        <v>39565</v>
      </c>
      <c r="C416" s="221" t="s">
        <v>398</v>
      </c>
      <c r="D416" s="101">
        <v>35284</v>
      </c>
      <c r="E416" s="221" t="s">
        <v>211</v>
      </c>
      <c r="F416" s="221">
        <v>2008</v>
      </c>
    </row>
    <row r="417" spans="2:6">
      <c r="B417" s="254">
        <v>38796</v>
      </c>
      <c r="C417" s="221" t="s">
        <v>395</v>
      </c>
      <c r="D417" s="101">
        <v>14096</v>
      </c>
      <c r="E417" s="221" t="s">
        <v>210</v>
      </c>
      <c r="F417" s="221">
        <v>2006</v>
      </c>
    </row>
    <row r="418" spans="2:6">
      <c r="B418" s="254">
        <v>39001</v>
      </c>
      <c r="C418" s="221" t="s">
        <v>398</v>
      </c>
      <c r="D418" s="101">
        <v>20320</v>
      </c>
      <c r="E418" s="221" t="s">
        <v>212</v>
      </c>
      <c r="F418" s="221">
        <v>2006</v>
      </c>
    </row>
    <row r="419" spans="2:6">
      <c r="B419" s="254">
        <v>39080</v>
      </c>
      <c r="C419" s="221" t="s">
        <v>396</v>
      </c>
      <c r="D419" s="101">
        <v>6554</v>
      </c>
      <c r="E419" s="221" t="s">
        <v>211</v>
      </c>
      <c r="F419" s="221">
        <v>2006</v>
      </c>
    </row>
    <row r="420" spans="2:6">
      <c r="B420" s="254">
        <v>39599</v>
      </c>
      <c r="C420" s="221" t="s">
        <v>395</v>
      </c>
      <c r="D420" s="101">
        <v>34398</v>
      </c>
      <c r="E420" s="221" t="s">
        <v>211</v>
      </c>
      <c r="F420" s="221">
        <v>2008</v>
      </c>
    </row>
    <row r="421" spans="2:6">
      <c r="B421" s="254">
        <v>39131</v>
      </c>
      <c r="C421" s="221" t="s">
        <v>395</v>
      </c>
      <c r="D421" s="101">
        <v>27803</v>
      </c>
      <c r="E421" s="221" t="s">
        <v>213</v>
      </c>
      <c r="F421" s="221">
        <v>2007</v>
      </c>
    </row>
    <row r="422" spans="2:6">
      <c r="B422" s="254">
        <v>39534</v>
      </c>
      <c r="C422" s="221" t="s">
        <v>398</v>
      </c>
      <c r="D422" s="101">
        <v>19387</v>
      </c>
      <c r="E422" s="221" t="s">
        <v>212</v>
      </c>
      <c r="F422" s="221">
        <v>2008</v>
      </c>
    </row>
    <row r="423" spans="2:6">
      <c r="B423" s="254">
        <v>38954</v>
      </c>
      <c r="C423" s="221" t="s">
        <v>396</v>
      </c>
      <c r="D423" s="101">
        <v>15961</v>
      </c>
      <c r="E423" s="221" t="s">
        <v>213</v>
      </c>
      <c r="F423" s="221">
        <v>2006</v>
      </c>
    </row>
    <row r="424" spans="2:6">
      <c r="B424" s="254">
        <v>39265</v>
      </c>
      <c r="C424" s="221" t="s">
        <v>395</v>
      </c>
      <c r="D424" s="101">
        <v>28097</v>
      </c>
      <c r="E424" s="221" t="s">
        <v>210</v>
      </c>
      <c r="F424" s="221">
        <v>2007</v>
      </c>
    </row>
    <row r="425" spans="2:6">
      <c r="B425" s="254">
        <v>39350</v>
      </c>
      <c r="C425" s="221" t="s">
        <v>394</v>
      </c>
      <c r="D425" s="101">
        <v>33232</v>
      </c>
      <c r="E425" s="221" t="s">
        <v>213</v>
      </c>
      <c r="F425" s="221">
        <v>2007</v>
      </c>
    </row>
    <row r="426" spans="2:6">
      <c r="B426" s="254">
        <v>38852</v>
      </c>
      <c r="C426" s="221" t="s">
        <v>394</v>
      </c>
      <c r="D426" s="101">
        <v>37903</v>
      </c>
      <c r="E426" s="221" t="s">
        <v>211</v>
      </c>
      <c r="F426" s="221">
        <v>2006</v>
      </c>
    </row>
    <row r="427" spans="2:6">
      <c r="B427" s="254">
        <v>38834</v>
      </c>
      <c r="C427" s="221" t="s">
        <v>395</v>
      </c>
      <c r="D427" s="101">
        <v>21020</v>
      </c>
      <c r="E427" s="221" t="s">
        <v>213</v>
      </c>
      <c r="F427" s="221">
        <v>2006</v>
      </c>
    </row>
    <row r="428" spans="2:6">
      <c r="B428" s="254">
        <v>38776</v>
      </c>
      <c r="C428" s="221" t="s">
        <v>398</v>
      </c>
      <c r="D428" s="101">
        <v>11958</v>
      </c>
      <c r="E428" s="221" t="s">
        <v>213</v>
      </c>
      <c r="F428" s="221">
        <v>2006</v>
      </c>
    </row>
    <row r="429" spans="2:6">
      <c r="B429" s="254">
        <v>39242</v>
      </c>
      <c r="C429" s="221" t="s">
        <v>394</v>
      </c>
      <c r="D429" s="101">
        <v>36909</v>
      </c>
      <c r="E429" s="221" t="s">
        <v>211</v>
      </c>
      <c r="F429" s="221">
        <v>2007</v>
      </c>
    </row>
    <row r="430" spans="2:6">
      <c r="B430" s="254">
        <v>39547</v>
      </c>
      <c r="C430" s="221" t="s">
        <v>394</v>
      </c>
      <c r="D430" s="101">
        <v>12981</v>
      </c>
      <c r="E430" s="221" t="s">
        <v>211</v>
      </c>
      <c r="F430" s="221">
        <v>2008</v>
      </c>
    </row>
    <row r="431" spans="2:6">
      <c r="B431" s="254">
        <v>39465</v>
      </c>
      <c r="C431" s="221" t="s">
        <v>395</v>
      </c>
      <c r="D431" s="101">
        <v>16556</v>
      </c>
      <c r="E431" s="221" t="s">
        <v>211</v>
      </c>
      <c r="F431" s="221">
        <v>2008</v>
      </c>
    </row>
    <row r="432" spans="2:6">
      <c r="B432" s="254">
        <v>38969</v>
      </c>
      <c r="C432" s="221" t="s">
        <v>396</v>
      </c>
      <c r="D432" s="101">
        <v>33297</v>
      </c>
      <c r="E432" s="221" t="s">
        <v>210</v>
      </c>
      <c r="F432" s="221">
        <v>2006</v>
      </c>
    </row>
    <row r="433" spans="2:6">
      <c r="B433" s="254">
        <v>38792</v>
      </c>
      <c r="C433" s="221" t="s">
        <v>398</v>
      </c>
      <c r="D433" s="101">
        <v>29283</v>
      </c>
      <c r="E433" s="221" t="s">
        <v>212</v>
      </c>
      <c r="F433" s="221">
        <v>2006</v>
      </c>
    </row>
    <row r="434" spans="2:6">
      <c r="B434" s="254">
        <v>38925</v>
      </c>
      <c r="C434" s="221" t="s">
        <v>394</v>
      </c>
      <c r="D434" s="101">
        <v>26584</v>
      </c>
      <c r="E434" s="221" t="s">
        <v>212</v>
      </c>
      <c r="F434" s="221">
        <v>2006</v>
      </c>
    </row>
    <row r="435" spans="2:6">
      <c r="B435" s="254">
        <v>39069</v>
      </c>
      <c r="C435" s="221" t="s">
        <v>395</v>
      </c>
      <c r="D435" s="101">
        <v>31841</v>
      </c>
      <c r="E435" s="221" t="s">
        <v>210</v>
      </c>
      <c r="F435" s="221">
        <v>2006</v>
      </c>
    </row>
    <row r="436" spans="2:6">
      <c r="B436" s="254">
        <v>38985</v>
      </c>
      <c r="C436" s="221" t="s">
        <v>398</v>
      </c>
      <c r="D436" s="101">
        <v>13232</v>
      </c>
      <c r="E436" s="221" t="s">
        <v>213</v>
      </c>
      <c r="F436" s="221">
        <v>2006</v>
      </c>
    </row>
    <row r="437" spans="2:6">
      <c r="B437" s="254">
        <v>38926</v>
      </c>
      <c r="C437" s="221" t="s">
        <v>396</v>
      </c>
      <c r="D437" s="101">
        <v>16065</v>
      </c>
      <c r="E437" s="221" t="s">
        <v>213</v>
      </c>
      <c r="F437" s="221">
        <v>2006</v>
      </c>
    </row>
    <row r="438" spans="2:6">
      <c r="B438" s="254">
        <v>39217</v>
      </c>
      <c r="C438" s="221" t="s">
        <v>398</v>
      </c>
      <c r="D438" s="101">
        <v>35299</v>
      </c>
      <c r="E438" s="221" t="s">
        <v>212</v>
      </c>
      <c r="F438" s="221">
        <v>2007</v>
      </c>
    </row>
    <row r="439" spans="2:6">
      <c r="B439" s="254">
        <v>39346</v>
      </c>
      <c r="C439" s="221" t="s">
        <v>398</v>
      </c>
      <c r="D439" s="101">
        <v>13661</v>
      </c>
      <c r="E439" s="221" t="s">
        <v>211</v>
      </c>
      <c r="F439" s="221">
        <v>2007</v>
      </c>
    </row>
    <row r="440" spans="2:6">
      <c r="B440" s="254">
        <v>39025</v>
      </c>
      <c r="C440" s="221" t="s">
        <v>396</v>
      </c>
      <c r="D440" s="101">
        <v>15719</v>
      </c>
      <c r="E440" s="221" t="s">
        <v>212</v>
      </c>
      <c r="F440" s="221">
        <v>2006</v>
      </c>
    </row>
    <row r="441" spans="2:6">
      <c r="B441" s="254">
        <v>39613</v>
      </c>
      <c r="C441" s="221" t="s">
        <v>394</v>
      </c>
      <c r="D441" s="101">
        <v>11957</v>
      </c>
      <c r="E441" s="221" t="s">
        <v>212</v>
      </c>
      <c r="F441" s="221">
        <v>2008</v>
      </c>
    </row>
    <row r="442" spans="2:6">
      <c r="B442" s="254">
        <v>38864</v>
      </c>
      <c r="C442" s="221" t="s">
        <v>398</v>
      </c>
      <c r="D442" s="101">
        <v>9765</v>
      </c>
      <c r="E442" s="221" t="s">
        <v>210</v>
      </c>
      <c r="F442" s="221">
        <v>2006</v>
      </c>
    </row>
    <row r="443" spans="2:6">
      <c r="B443" s="254">
        <v>39473</v>
      </c>
      <c r="C443" s="221" t="s">
        <v>395</v>
      </c>
      <c r="D443" s="101">
        <v>12153</v>
      </c>
      <c r="E443" s="221" t="s">
        <v>213</v>
      </c>
      <c r="F443" s="221">
        <v>2008</v>
      </c>
    </row>
    <row r="444" spans="2:6">
      <c r="B444" s="254">
        <v>39359</v>
      </c>
      <c r="C444" s="221" t="s">
        <v>394</v>
      </c>
      <c r="D444" s="101">
        <v>15808</v>
      </c>
      <c r="E444" s="221" t="s">
        <v>211</v>
      </c>
      <c r="F444" s="221">
        <v>2007</v>
      </c>
    </row>
    <row r="445" spans="2:6">
      <c r="B445" s="254">
        <v>39227</v>
      </c>
      <c r="C445" s="221" t="s">
        <v>396</v>
      </c>
      <c r="D445" s="101">
        <v>21257</v>
      </c>
      <c r="E445" s="221" t="s">
        <v>213</v>
      </c>
      <c r="F445" s="221">
        <v>2007</v>
      </c>
    </row>
    <row r="446" spans="2:6">
      <c r="B446" s="254">
        <v>39044</v>
      </c>
      <c r="C446" s="221" t="s">
        <v>396</v>
      </c>
      <c r="D446" s="101">
        <v>31487</v>
      </c>
      <c r="E446" s="221" t="s">
        <v>210</v>
      </c>
      <c r="F446" s="221">
        <v>2006</v>
      </c>
    </row>
    <row r="447" spans="2:6">
      <c r="B447" s="254">
        <v>38725</v>
      </c>
      <c r="C447" s="221" t="s">
        <v>394</v>
      </c>
      <c r="D447" s="101">
        <v>34430</v>
      </c>
      <c r="E447" s="221" t="s">
        <v>212</v>
      </c>
      <c r="F447" s="221">
        <v>2006</v>
      </c>
    </row>
    <row r="448" spans="2:6">
      <c r="B448" s="254">
        <v>38948</v>
      </c>
      <c r="C448" s="221" t="s">
        <v>396</v>
      </c>
      <c r="D448" s="101">
        <v>22228</v>
      </c>
      <c r="E448" s="221" t="s">
        <v>211</v>
      </c>
      <c r="F448" s="221">
        <v>2006</v>
      </c>
    </row>
    <row r="449" spans="2:6">
      <c r="B449" s="254">
        <v>39160</v>
      </c>
      <c r="C449" s="221" t="s">
        <v>396</v>
      </c>
      <c r="D449" s="101">
        <v>39175</v>
      </c>
      <c r="E449" s="221" t="s">
        <v>213</v>
      </c>
      <c r="F449" s="221">
        <v>2007</v>
      </c>
    </row>
    <row r="450" spans="2:6">
      <c r="B450" s="254">
        <v>39357</v>
      </c>
      <c r="C450" s="221" t="s">
        <v>395</v>
      </c>
      <c r="D450" s="101">
        <v>7641</v>
      </c>
      <c r="E450" s="221" t="s">
        <v>212</v>
      </c>
      <c r="F450" s="221">
        <v>2007</v>
      </c>
    </row>
    <row r="451" spans="2:6">
      <c r="B451" s="254">
        <v>38899</v>
      </c>
      <c r="C451" s="221" t="s">
        <v>394</v>
      </c>
      <c r="D451" s="101">
        <v>17918</v>
      </c>
      <c r="E451" s="221" t="s">
        <v>210</v>
      </c>
      <c r="F451" s="221">
        <v>2006</v>
      </c>
    </row>
    <row r="452" spans="2:6">
      <c r="B452" s="254">
        <v>38964</v>
      </c>
      <c r="C452" s="221" t="s">
        <v>394</v>
      </c>
      <c r="D452" s="101">
        <v>14060</v>
      </c>
      <c r="E452" s="221" t="s">
        <v>213</v>
      </c>
      <c r="F452" s="221">
        <v>2006</v>
      </c>
    </row>
    <row r="453" spans="2:6">
      <c r="B453" s="254">
        <v>39013</v>
      </c>
      <c r="C453" s="221" t="s">
        <v>395</v>
      </c>
      <c r="D453" s="101">
        <v>24304</v>
      </c>
      <c r="E453" s="221" t="s">
        <v>210</v>
      </c>
      <c r="F453" s="221">
        <v>2006</v>
      </c>
    </row>
    <row r="454" spans="2:6">
      <c r="B454" s="254">
        <v>39157</v>
      </c>
      <c r="C454" s="221" t="s">
        <v>396</v>
      </c>
      <c r="D454" s="101">
        <v>32012</v>
      </c>
      <c r="E454" s="221" t="s">
        <v>213</v>
      </c>
      <c r="F454" s="221">
        <v>2007</v>
      </c>
    </row>
    <row r="455" spans="2:6">
      <c r="B455" s="254">
        <v>39448</v>
      </c>
      <c r="C455" s="221" t="s">
        <v>395</v>
      </c>
      <c r="D455" s="101">
        <v>22995</v>
      </c>
      <c r="E455" s="221" t="s">
        <v>211</v>
      </c>
      <c r="F455" s="221">
        <v>2008</v>
      </c>
    </row>
    <row r="456" spans="2:6">
      <c r="B456" s="254">
        <v>38911</v>
      </c>
      <c r="C456" s="221" t="s">
        <v>395</v>
      </c>
      <c r="D456" s="101">
        <v>32098</v>
      </c>
      <c r="E456" s="221" t="s">
        <v>211</v>
      </c>
      <c r="F456" s="221">
        <v>2006</v>
      </c>
    </row>
    <row r="457" spans="2:6">
      <c r="B457" s="254">
        <v>38904</v>
      </c>
      <c r="C457" s="221" t="s">
        <v>395</v>
      </c>
      <c r="D457" s="101">
        <v>23888</v>
      </c>
      <c r="E457" s="221" t="s">
        <v>211</v>
      </c>
      <c r="F457" s="221">
        <v>2006</v>
      </c>
    </row>
    <row r="458" spans="2:6">
      <c r="B458" s="254">
        <v>39176</v>
      </c>
      <c r="C458" s="221" t="s">
        <v>396</v>
      </c>
      <c r="D458" s="101">
        <v>31118</v>
      </c>
      <c r="E458" s="221" t="s">
        <v>212</v>
      </c>
      <c r="F458" s="221">
        <v>2007</v>
      </c>
    </row>
    <row r="459" spans="2:6">
      <c r="B459" s="254">
        <v>38988</v>
      </c>
      <c r="C459" s="221" t="s">
        <v>398</v>
      </c>
      <c r="D459" s="101">
        <v>11418</v>
      </c>
      <c r="E459" s="221" t="s">
        <v>211</v>
      </c>
      <c r="F459" s="221">
        <v>2006</v>
      </c>
    </row>
    <row r="460" spans="2:6">
      <c r="B460" s="254">
        <v>39140</v>
      </c>
      <c r="C460" s="221" t="s">
        <v>395</v>
      </c>
      <c r="D460" s="101">
        <v>10006</v>
      </c>
      <c r="E460" s="221" t="s">
        <v>212</v>
      </c>
      <c r="F460" s="221">
        <v>2007</v>
      </c>
    </row>
    <row r="461" spans="2:6">
      <c r="B461" s="254">
        <v>39216</v>
      </c>
      <c r="C461" s="221" t="s">
        <v>394</v>
      </c>
      <c r="D461" s="101">
        <v>35320</v>
      </c>
      <c r="E461" s="221" t="s">
        <v>213</v>
      </c>
      <c r="F461" s="221">
        <v>2007</v>
      </c>
    </row>
    <row r="462" spans="2:6">
      <c r="B462" s="254">
        <v>38941</v>
      </c>
      <c r="C462" s="221" t="s">
        <v>398</v>
      </c>
      <c r="D462" s="101">
        <v>22282</v>
      </c>
      <c r="E462" s="221" t="s">
        <v>212</v>
      </c>
      <c r="F462" s="221">
        <v>2006</v>
      </c>
    </row>
    <row r="463" spans="2:6">
      <c r="B463" s="254">
        <v>39370</v>
      </c>
      <c r="C463" s="221" t="s">
        <v>398</v>
      </c>
      <c r="D463" s="101">
        <v>33933</v>
      </c>
      <c r="E463" s="221" t="s">
        <v>211</v>
      </c>
      <c r="F463" s="221">
        <v>2007</v>
      </c>
    </row>
    <row r="464" spans="2:6">
      <c r="B464" s="254">
        <v>39064</v>
      </c>
      <c r="C464" s="221" t="s">
        <v>396</v>
      </c>
      <c r="D464" s="101">
        <v>12905</v>
      </c>
      <c r="E464" s="221" t="s">
        <v>212</v>
      </c>
      <c r="F464" s="221">
        <v>2006</v>
      </c>
    </row>
    <row r="465" spans="2:6">
      <c r="B465" s="254">
        <v>39368</v>
      </c>
      <c r="C465" s="221" t="s">
        <v>395</v>
      </c>
      <c r="D465" s="101">
        <v>5816</v>
      </c>
      <c r="E465" s="221" t="s">
        <v>213</v>
      </c>
      <c r="F465" s="221">
        <v>2007</v>
      </c>
    </row>
    <row r="466" spans="2:6">
      <c r="B466" s="254">
        <v>39084</v>
      </c>
      <c r="C466" s="221" t="s">
        <v>394</v>
      </c>
      <c r="D466" s="101">
        <v>7796</v>
      </c>
      <c r="E466" s="221" t="s">
        <v>210</v>
      </c>
      <c r="F466" s="221">
        <v>2007</v>
      </c>
    </row>
    <row r="467" spans="2:6">
      <c r="B467" s="254">
        <v>38975</v>
      </c>
      <c r="C467" s="221" t="s">
        <v>398</v>
      </c>
      <c r="D467" s="101">
        <v>5569</v>
      </c>
      <c r="E467" s="221" t="s">
        <v>211</v>
      </c>
      <c r="F467" s="221">
        <v>2006</v>
      </c>
    </row>
    <row r="468" spans="2:6">
      <c r="B468" s="254">
        <v>38950</v>
      </c>
      <c r="C468" s="221" t="s">
        <v>395</v>
      </c>
      <c r="D468" s="101">
        <v>31819</v>
      </c>
      <c r="E468" s="221" t="s">
        <v>212</v>
      </c>
      <c r="F468" s="221">
        <v>2006</v>
      </c>
    </row>
    <row r="469" spans="2:6">
      <c r="B469" s="254">
        <v>38924</v>
      </c>
      <c r="C469" s="221" t="s">
        <v>398</v>
      </c>
      <c r="D469" s="101">
        <v>31268</v>
      </c>
      <c r="E469" s="221" t="s">
        <v>211</v>
      </c>
      <c r="F469" s="221">
        <v>2006</v>
      </c>
    </row>
    <row r="470" spans="2:6">
      <c r="B470" s="254">
        <v>39350</v>
      </c>
      <c r="C470" s="221" t="s">
        <v>396</v>
      </c>
      <c r="D470" s="101">
        <v>36527</v>
      </c>
      <c r="E470" s="221" t="s">
        <v>212</v>
      </c>
      <c r="F470" s="221">
        <v>2007</v>
      </c>
    </row>
    <row r="471" spans="2:6">
      <c r="B471" s="254">
        <v>38851</v>
      </c>
      <c r="C471" s="221" t="s">
        <v>396</v>
      </c>
      <c r="D471" s="101">
        <v>33790</v>
      </c>
      <c r="E471" s="221" t="s">
        <v>212</v>
      </c>
      <c r="F471" s="221">
        <v>2006</v>
      </c>
    </row>
    <row r="472" spans="2:6">
      <c r="B472" s="254">
        <v>38897</v>
      </c>
      <c r="C472" s="221" t="s">
        <v>395</v>
      </c>
      <c r="D472" s="101">
        <v>28406</v>
      </c>
      <c r="E472" s="221" t="s">
        <v>210</v>
      </c>
      <c r="F472" s="221">
        <v>2006</v>
      </c>
    </row>
    <row r="473" spans="2:6">
      <c r="B473" s="254">
        <v>38904</v>
      </c>
      <c r="C473" s="221" t="s">
        <v>395</v>
      </c>
      <c r="D473" s="101">
        <v>15760</v>
      </c>
      <c r="E473" s="221" t="s">
        <v>210</v>
      </c>
      <c r="F473" s="221">
        <v>2006</v>
      </c>
    </row>
    <row r="474" spans="2:6">
      <c r="B474" s="254">
        <v>39553</v>
      </c>
      <c r="C474" s="221" t="s">
        <v>395</v>
      </c>
      <c r="D474" s="101">
        <v>11188</v>
      </c>
      <c r="E474" s="221" t="s">
        <v>213</v>
      </c>
      <c r="F474" s="221">
        <v>2008</v>
      </c>
    </row>
    <row r="475" spans="2:6">
      <c r="B475" s="254">
        <v>39493</v>
      </c>
      <c r="C475" s="221" t="s">
        <v>398</v>
      </c>
      <c r="D475" s="101">
        <v>13313</v>
      </c>
      <c r="E475" s="221" t="s">
        <v>211</v>
      </c>
      <c r="F475" s="221">
        <v>2008</v>
      </c>
    </row>
    <row r="476" spans="2:6">
      <c r="B476" s="254">
        <v>38860</v>
      </c>
      <c r="C476" s="221" t="s">
        <v>396</v>
      </c>
      <c r="D476" s="101">
        <v>29785</v>
      </c>
      <c r="E476" s="221" t="s">
        <v>213</v>
      </c>
      <c r="F476" s="221">
        <v>2006</v>
      </c>
    </row>
    <row r="477" spans="2:6">
      <c r="B477" s="254">
        <v>38835</v>
      </c>
      <c r="C477" s="221" t="s">
        <v>396</v>
      </c>
      <c r="D477" s="101">
        <v>5832</v>
      </c>
      <c r="E477" s="221" t="s">
        <v>211</v>
      </c>
      <c r="F477" s="221">
        <v>2006</v>
      </c>
    </row>
    <row r="478" spans="2:6">
      <c r="B478" s="254">
        <v>38905</v>
      </c>
      <c r="C478" s="221" t="s">
        <v>398</v>
      </c>
      <c r="D478" s="101">
        <v>17185</v>
      </c>
      <c r="E478" s="221" t="s">
        <v>212</v>
      </c>
      <c r="F478" s="221">
        <v>2006</v>
      </c>
    </row>
    <row r="479" spans="2:6">
      <c r="B479" s="254">
        <v>39058</v>
      </c>
      <c r="C479" s="221" t="s">
        <v>395</v>
      </c>
      <c r="D479" s="101">
        <v>35194</v>
      </c>
      <c r="E479" s="221" t="s">
        <v>211</v>
      </c>
      <c r="F479" s="221">
        <v>2006</v>
      </c>
    </row>
    <row r="480" spans="2:6">
      <c r="B480" s="254">
        <v>39203</v>
      </c>
      <c r="C480" s="221" t="s">
        <v>398</v>
      </c>
      <c r="D480" s="101">
        <v>36571</v>
      </c>
      <c r="E480" s="221" t="s">
        <v>213</v>
      </c>
      <c r="F480" s="221">
        <v>2007</v>
      </c>
    </row>
    <row r="481" spans="2:6">
      <c r="B481" s="254">
        <v>39034</v>
      </c>
      <c r="C481" s="221" t="s">
        <v>396</v>
      </c>
      <c r="D481" s="101">
        <v>25928</v>
      </c>
      <c r="E481" s="221" t="s">
        <v>210</v>
      </c>
      <c r="F481" s="221">
        <v>2006</v>
      </c>
    </row>
    <row r="482" spans="2:6">
      <c r="B482" s="254">
        <v>38740</v>
      </c>
      <c r="C482" s="221" t="s">
        <v>395</v>
      </c>
      <c r="D482" s="101">
        <v>31914</v>
      </c>
      <c r="E482" s="221" t="s">
        <v>213</v>
      </c>
      <c r="F482" s="221">
        <v>2006</v>
      </c>
    </row>
    <row r="483" spans="2:6">
      <c r="B483" s="254">
        <v>38776</v>
      </c>
      <c r="C483" s="221" t="s">
        <v>396</v>
      </c>
      <c r="D483" s="101">
        <v>16415</v>
      </c>
      <c r="E483" s="221" t="s">
        <v>213</v>
      </c>
      <c r="F483" s="221">
        <v>2006</v>
      </c>
    </row>
    <row r="484" spans="2:6">
      <c r="B484" s="254">
        <v>39529</v>
      </c>
      <c r="C484" s="221" t="s">
        <v>394</v>
      </c>
      <c r="D484" s="101">
        <v>29864</v>
      </c>
      <c r="E484" s="221" t="s">
        <v>212</v>
      </c>
      <c r="F484" s="221">
        <v>2008</v>
      </c>
    </row>
    <row r="485" spans="2:6">
      <c r="B485" s="254">
        <v>38891</v>
      </c>
      <c r="C485" s="221" t="s">
        <v>395</v>
      </c>
      <c r="D485" s="101">
        <v>11227</v>
      </c>
      <c r="E485" s="221" t="s">
        <v>212</v>
      </c>
      <c r="F485" s="221">
        <v>2006</v>
      </c>
    </row>
    <row r="486" spans="2:6">
      <c r="B486" s="254">
        <v>39542</v>
      </c>
      <c r="C486" s="221" t="s">
        <v>395</v>
      </c>
      <c r="D486" s="101">
        <v>9090</v>
      </c>
      <c r="E486" s="221" t="s">
        <v>212</v>
      </c>
      <c r="F486" s="221">
        <v>2008</v>
      </c>
    </row>
    <row r="487" spans="2:6">
      <c r="B487" s="254">
        <v>39478</v>
      </c>
      <c r="C487" s="221" t="s">
        <v>396</v>
      </c>
      <c r="D487" s="101">
        <v>9021</v>
      </c>
      <c r="E487" s="221" t="s">
        <v>212</v>
      </c>
      <c r="F487" s="221">
        <v>2008</v>
      </c>
    </row>
    <row r="488" spans="2:6">
      <c r="B488" s="254">
        <v>39561</v>
      </c>
      <c r="C488" s="221" t="s">
        <v>396</v>
      </c>
      <c r="D488" s="101">
        <v>22615</v>
      </c>
      <c r="E488" s="221" t="s">
        <v>213</v>
      </c>
      <c r="F488" s="221">
        <v>2008</v>
      </c>
    </row>
    <row r="489" spans="2:6">
      <c r="B489" s="254">
        <v>39045</v>
      </c>
      <c r="C489" s="221" t="s">
        <v>394</v>
      </c>
      <c r="D489" s="101">
        <v>14747</v>
      </c>
      <c r="E489" s="221" t="s">
        <v>212</v>
      </c>
      <c r="F489" s="221">
        <v>2006</v>
      </c>
    </row>
    <row r="490" spans="2:6">
      <c r="B490" s="254">
        <v>39169</v>
      </c>
      <c r="C490" s="221" t="s">
        <v>396</v>
      </c>
      <c r="D490" s="101">
        <v>38685</v>
      </c>
      <c r="E490" s="221" t="s">
        <v>212</v>
      </c>
      <c r="F490" s="221">
        <v>2007</v>
      </c>
    </row>
    <row r="491" spans="2:6">
      <c r="B491" s="254">
        <v>39457</v>
      </c>
      <c r="C491" s="221" t="s">
        <v>398</v>
      </c>
      <c r="D491" s="101">
        <v>29614</v>
      </c>
      <c r="E491" s="221" t="s">
        <v>213</v>
      </c>
      <c r="F491" s="221">
        <v>2008</v>
      </c>
    </row>
    <row r="492" spans="2:6">
      <c r="B492" s="254">
        <v>39554</v>
      </c>
      <c r="C492" s="221" t="s">
        <v>395</v>
      </c>
      <c r="D492" s="101">
        <v>19224</v>
      </c>
      <c r="E492" s="221" t="s">
        <v>211</v>
      </c>
      <c r="F492" s="221">
        <v>2008</v>
      </c>
    </row>
    <row r="493" spans="2:6">
      <c r="B493" s="254">
        <v>39128</v>
      </c>
      <c r="C493" s="221" t="s">
        <v>395</v>
      </c>
      <c r="D493" s="101">
        <v>20715</v>
      </c>
      <c r="E493" s="221" t="s">
        <v>213</v>
      </c>
      <c r="F493" s="221">
        <v>2007</v>
      </c>
    </row>
    <row r="494" spans="2:6">
      <c r="B494" s="254">
        <v>38721</v>
      </c>
      <c r="C494" s="221" t="s">
        <v>398</v>
      </c>
      <c r="D494" s="101">
        <v>15784</v>
      </c>
      <c r="E494" s="221" t="s">
        <v>210</v>
      </c>
      <c r="F494" s="221">
        <v>2006</v>
      </c>
    </row>
    <row r="495" spans="2:6">
      <c r="B495" s="254">
        <v>38862</v>
      </c>
      <c r="C495" s="221" t="s">
        <v>396</v>
      </c>
      <c r="D495" s="101">
        <v>7133</v>
      </c>
      <c r="E495" s="221" t="s">
        <v>211</v>
      </c>
      <c r="F495" s="221">
        <v>2006</v>
      </c>
    </row>
    <row r="496" spans="2:6">
      <c r="B496" s="254">
        <v>39050</v>
      </c>
      <c r="C496" s="221" t="s">
        <v>396</v>
      </c>
      <c r="D496" s="101">
        <v>35990</v>
      </c>
      <c r="E496" s="221" t="s">
        <v>211</v>
      </c>
      <c r="F496" s="221">
        <v>2006</v>
      </c>
    </row>
    <row r="497" spans="2:6">
      <c r="B497" s="254">
        <v>38898</v>
      </c>
      <c r="C497" s="221" t="s">
        <v>396</v>
      </c>
      <c r="D497" s="101">
        <v>11183</v>
      </c>
      <c r="E497" s="221" t="s">
        <v>213</v>
      </c>
      <c r="F497" s="221">
        <v>2006</v>
      </c>
    </row>
    <row r="498" spans="2:6">
      <c r="B498" s="254">
        <v>39446</v>
      </c>
      <c r="C498" s="221" t="s">
        <v>396</v>
      </c>
      <c r="D498" s="101">
        <v>33064</v>
      </c>
      <c r="E498" s="221" t="s">
        <v>210</v>
      </c>
      <c r="F498" s="221">
        <v>2007</v>
      </c>
    </row>
    <row r="499" spans="2:6">
      <c r="B499" s="254">
        <v>39172</v>
      </c>
      <c r="C499" s="221" t="s">
        <v>396</v>
      </c>
      <c r="D499" s="101">
        <v>36044</v>
      </c>
      <c r="E499" s="221" t="s">
        <v>212</v>
      </c>
      <c r="F499" s="221">
        <v>2007</v>
      </c>
    </row>
    <row r="500" spans="2:6">
      <c r="B500" s="254">
        <v>39170</v>
      </c>
      <c r="C500" s="221" t="s">
        <v>394</v>
      </c>
      <c r="D500" s="101">
        <v>28358</v>
      </c>
      <c r="E500" s="221" t="s">
        <v>211</v>
      </c>
      <c r="F500" s="221">
        <v>2007</v>
      </c>
    </row>
    <row r="501" spans="2:6">
      <c r="B501" s="254">
        <v>38901</v>
      </c>
      <c r="C501" s="221" t="s">
        <v>395</v>
      </c>
      <c r="D501" s="101">
        <v>37400</v>
      </c>
      <c r="E501" s="221" t="s">
        <v>213</v>
      </c>
      <c r="F501" s="221">
        <v>2006</v>
      </c>
    </row>
    <row r="502" spans="2:6">
      <c r="B502" s="254">
        <v>39571</v>
      </c>
      <c r="C502" s="221" t="s">
        <v>394</v>
      </c>
      <c r="D502" s="101">
        <v>24455</v>
      </c>
      <c r="E502" s="221" t="s">
        <v>211</v>
      </c>
      <c r="F502" s="221">
        <v>2008</v>
      </c>
    </row>
    <row r="503" spans="2:6">
      <c r="B503" s="254">
        <v>39257</v>
      </c>
      <c r="C503" s="221" t="s">
        <v>394</v>
      </c>
      <c r="D503" s="101">
        <v>14584</v>
      </c>
      <c r="E503" s="221" t="s">
        <v>210</v>
      </c>
      <c r="F503" s="221">
        <v>2007</v>
      </c>
    </row>
    <row r="504" spans="2:6">
      <c r="B504" s="254">
        <v>39315</v>
      </c>
      <c r="C504" s="221" t="s">
        <v>395</v>
      </c>
      <c r="D504" s="101">
        <v>31595</v>
      </c>
      <c r="E504" s="221" t="s">
        <v>212</v>
      </c>
      <c r="F504" s="221">
        <v>2007</v>
      </c>
    </row>
    <row r="505" spans="2:6">
      <c r="B505" s="254">
        <v>39296</v>
      </c>
      <c r="C505" s="221" t="s">
        <v>398</v>
      </c>
      <c r="D505" s="101">
        <v>38126</v>
      </c>
      <c r="E505" s="221" t="s">
        <v>211</v>
      </c>
      <c r="F505" s="221">
        <v>2007</v>
      </c>
    </row>
    <row r="506" spans="2:6">
      <c r="B506" s="254">
        <v>39522</v>
      </c>
      <c r="C506" s="221" t="s">
        <v>398</v>
      </c>
      <c r="D506" s="101">
        <v>14855</v>
      </c>
      <c r="E506" s="221" t="s">
        <v>212</v>
      </c>
      <c r="F506" s="221">
        <v>2008</v>
      </c>
    </row>
    <row r="507" spans="2:6">
      <c r="B507" s="254">
        <v>39070</v>
      </c>
      <c r="C507" s="221" t="s">
        <v>396</v>
      </c>
      <c r="D507" s="101">
        <v>32868</v>
      </c>
      <c r="E507" s="221" t="s">
        <v>212</v>
      </c>
      <c r="F507" s="221">
        <v>2006</v>
      </c>
    </row>
    <row r="508" spans="2:6">
      <c r="B508" s="254">
        <v>39524</v>
      </c>
      <c r="C508" s="221" t="s">
        <v>395</v>
      </c>
      <c r="D508" s="101">
        <v>10564</v>
      </c>
      <c r="E508" s="221" t="s">
        <v>211</v>
      </c>
      <c r="F508" s="221">
        <v>2008</v>
      </c>
    </row>
    <row r="509" spans="2:6">
      <c r="B509" s="254">
        <v>39264</v>
      </c>
      <c r="C509" s="221" t="s">
        <v>396</v>
      </c>
      <c r="D509" s="101">
        <v>18800</v>
      </c>
      <c r="E509" s="221" t="s">
        <v>212</v>
      </c>
      <c r="F509" s="221">
        <v>2007</v>
      </c>
    </row>
    <row r="510" spans="2:6">
      <c r="B510" s="254">
        <v>39216</v>
      </c>
      <c r="C510" s="221" t="s">
        <v>396</v>
      </c>
      <c r="D510" s="101">
        <v>30754</v>
      </c>
      <c r="E510" s="221" t="s">
        <v>212</v>
      </c>
      <c r="F510" s="221">
        <v>2007</v>
      </c>
    </row>
    <row r="511" spans="2:6">
      <c r="B511" s="254">
        <v>38738</v>
      </c>
      <c r="C511" s="221" t="s">
        <v>396</v>
      </c>
      <c r="D511" s="101">
        <v>34257</v>
      </c>
      <c r="E511" s="221" t="s">
        <v>210</v>
      </c>
      <c r="F511" s="221">
        <v>2006</v>
      </c>
    </row>
    <row r="512" spans="2:6">
      <c r="B512" s="254">
        <v>38979</v>
      </c>
      <c r="C512" s="221" t="s">
        <v>398</v>
      </c>
      <c r="D512" s="101">
        <v>34814</v>
      </c>
      <c r="E512" s="221" t="s">
        <v>211</v>
      </c>
      <c r="F512" s="221">
        <v>2006</v>
      </c>
    </row>
    <row r="513" spans="2:6">
      <c r="B513" s="254">
        <v>39145</v>
      </c>
      <c r="C513" s="221" t="s">
        <v>395</v>
      </c>
      <c r="D513" s="101">
        <v>33691</v>
      </c>
      <c r="E513" s="221" t="s">
        <v>212</v>
      </c>
      <c r="F513" s="221">
        <v>2007</v>
      </c>
    </row>
    <row r="514" spans="2:6">
      <c r="B514" s="254">
        <v>39478</v>
      </c>
      <c r="C514" s="221" t="s">
        <v>398</v>
      </c>
      <c r="D514" s="101">
        <v>13552</v>
      </c>
      <c r="E514" s="221" t="s">
        <v>211</v>
      </c>
      <c r="F514" s="221">
        <v>2008</v>
      </c>
    </row>
    <row r="515" spans="2:6">
      <c r="B515" s="254">
        <v>38924</v>
      </c>
      <c r="C515" s="221" t="s">
        <v>395</v>
      </c>
      <c r="D515" s="101">
        <v>8890</v>
      </c>
      <c r="E515" s="221" t="s">
        <v>210</v>
      </c>
      <c r="F515" s="221">
        <v>2006</v>
      </c>
    </row>
    <row r="516" spans="2:6">
      <c r="B516" s="254">
        <v>39042</v>
      </c>
      <c r="C516" s="221" t="s">
        <v>396</v>
      </c>
      <c r="D516" s="101">
        <v>39352</v>
      </c>
      <c r="E516" s="221" t="s">
        <v>212</v>
      </c>
      <c r="F516" s="221">
        <v>2006</v>
      </c>
    </row>
    <row r="517" spans="2:6">
      <c r="B517" s="254">
        <v>38784</v>
      </c>
      <c r="C517" s="221" t="s">
        <v>398</v>
      </c>
      <c r="D517" s="101">
        <v>19305</v>
      </c>
      <c r="E517" s="221" t="s">
        <v>210</v>
      </c>
      <c r="F517" s="221">
        <v>2006</v>
      </c>
    </row>
    <row r="518" spans="2:6">
      <c r="B518" s="254">
        <v>39161</v>
      </c>
      <c r="C518" s="221" t="s">
        <v>396</v>
      </c>
      <c r="D518" s="101">
        <v>26514</v>
      </c>
      <c r="E518" s="221" t="s">
        <v>211</v>
      </c>
      <c r="F518" s="221">
        <v>2007</v>
      </c>
    </row>
    <row r="519" spans="2:6">
      <c r="B519" s="254">
        <v>38966</v>
      </c>
      <c r="C519" s="221" t="s">
        <v>394</v>
      </c>
      <c r="D519" s="101">
        <v>13477</v>
      </c>
      <c r="E519" s="221" t="s">
        <v>212</v>
      </c>
      <c r="F519" s="221">
        <v>2006</v>
      </c>
    </row>
    <row r="520" spans="2:6">
      <c r="B520" s="254">
        <v>39193</v>
      </c>
      <c r="C520" s="221" t="s">
        <v>396</v>
      </c>
      <c r="D520" s="101">
        <v>10713</v>
      </c>
      <c r="E520" s="221" t="s">
        <v>211</v>
      </c>
      <c r="F520" s="221">
        <v>2007</v>
      </c>
    </row>
    <row r="521" spans="2:6">
      <c r="B521" s="254">
        <v>39203</v>
      </c>
      <c r="C521" s="221" t="s">
        <v>395</v>
      </c>
      <c r="D521" s="101">
        <v>39719</v>
      </c>
      <c r="E521" s="221" t="s">
        <v>211</v>
      </c>
      <c r="F521" s="221">
        <v>2007</v>
      </c>
    </row>
    <row r="522" spans="2:6">
      <c r="B522" s="254">
        <v>39078</v>
      </c>
      <c r="C522" s="221" t="s">
        <v>398</v>
      </c>
      <c r="D522" s="101">
        <v>22170</v>
      </c>
      <c r="E522" s="221" t="s">
        <v>213</v>
      </c>
      <c r="F522" s="221">
        <v>2006</v>
      </c>
    </row>
    <row r="523" spans="2:6">
      <c r="B523" s="254">
        <v>39301</v>
      </c>
      <c r="C523" s="221" t="s">
        <v>395</v>
      </c>
      <c r="D523" s="101">
        <v>13296</v>
      </c>
      <c r="E523" s="221" t="s">
        <v>211</v>
      </c>
      <c r="F523" s="221">
        <v>2007</v>
      </c>
    </row>
    <row r="524" spans="2:6">
      <c r="B524" s="254">
        <v>38997</v>
      </c>
      <c r="C524" s="221" t="s">
        <v>396</v>
      </c>
      <c r="D524" s="101">
        <v>31670</v>
      </c>
      <c r="E524" s="221" t="s">
        <v>213</v>
      </c>
      <c r="F524" s="221">
        <v>2006</v>
      </c>
    </row>
    <row r="525" spans="2:6">
      <c r="B525" s="254">
        <v>39453</v>
      </c>
      <c r="C525" s="221" t="s">
        <v>398</v>
      </c>
      <c r="D525" s="101">
        <v>18724</v>
      </c>
      <c r="E525" s="221" t="s">
        <v>213</v>
      </c>
      <c r="F525" s="221">
        <v>2008</v>
      </c>
    </row>
    <row r="526" spans="2:6">
      <c r="B526" s="254">
        <v>39328</v>
      </c>
      <c r="C526" s="221" t="s">
        <v>394</v>
      </c>
      <c r="D526" s="101">
        <v>31180</v>
      </c>
      <c r="E526" s="221" t="s">
        <v>211</v>
      </c>
      <c r="F526" s="221">
        <v>2007</v>
      </c>
    </row>
    <row r="527" spans="2:6">
      <c r="B527" s="254">
        <v>38801</v>
      </c>
      <c r="C527" s="221" t="s">
        <v>395</v>
      </c>
      <c r="D527" s="101">
        <v>26747</v>
      </c>
      <c r="E527" s="221" t="s">
        <v>210</v>
      </c>
      <c r="F527" s="221">
        <v>2006</v>
      </c>
    </row>
    <row r="528" spans="2:6">
      <c r="B528" s="254">
        <v>39559</v>
      </c>
      <c r="C528" s="221" t="s">
        <v>398</v>
      </c>
      <c r="D528" s="101">
        <v>27845</v>
      </c>
      <c r="E528" s="221" t="s">
        <v>211</v>
      </c>
      <c r="F528" s="221">
        <v>2008</v>
      </c>
    </row>
    <row r="529" spans="2:6">
      <c r="B529" s="254">
        <v>39459</v>
      </c>
      <c r="C529" s="221" t="s">
        <v>396</v>
      </c>
      <c r="D529" s="101">
        <v>31816</v>
      </c>
      <c r="E529" s="221" t="s">
        <v>213</v>
      </c>
      <c r="F529" s="221">
        <v>2008</v>
      </c>
    </row>
    <row r="530" spans="2:6">
      <c r="B530" s="254">
        <v>39141</v>
      </c>
      <c r="C530" s="221" t="s">
        <v>398</v>
      </c>
      <c r="D530" s="101">
        <v>5407</v>
      </c>
      <c r="E530" s="221" t="s">
        <v>213</v>
      </c>
      <c r="F530" s="221">
        <v>2007</v>
      </c>
    </row>
    <row r="531" spans="2:6">
      <c r="B531" s="254">
        <v>38747</v>
      </c>
      <c r="C531" s="221" t="s">
        <v>394</v>
      </c>
      <c r="D531" s="101">
        <v>8396</v>
      </c>
      <c r="E531" s="221" t="s">
        <v>211</v>
      </c>
      <c r="F531" s="221">
        <v>2006</v>
      </c>
    </row>
    <row r="532" spans="2:6">
      <c r="B532" s="254">
        <v>39137</v>
      </c>
      <c r="C532" s="221" t="s">
        <v>398</v>
      </c>
      <c r="D532" s="101">
        <v>30518</v>
      </c>
      <c r="E532" s="221" t="s">
        <v>210</v>
      </c>
      <c r="F532" s="221">
        <v>2007</v>
      </c>
    </row>
    <row r="533" spans="2:6">
      <c r="B533" s="254">
        <v>38792</v>
      </c>
      <c r="C533" s="221" t="s">
        <v>398</v>
      </c>
      <c r="D533" s="101">
        <v>24284</v>
      </c>
      <c r="E533" s="221" t="s">
        <v>211</v>
      </c>
      <c r="F533" s="221">
        <v>2006</v>
      </c>
    </row>
    <row r="534" spans="2:6">
      <c r="B534" s="254">
        <v>39603</v>
      </c>
      <c r="C534" s="221" t="s">
        <v>395</v>
      </c>
      <c r="D534" s="101">
        <v>23533</v>
      </c>
      <c r="E534" s="221" t="s">
        <v>212</v>
      </c>
      <c r="F534" s="221">
        <v>2008</v>
      </c>
    </row>
    <row r="535" spans="2:6">
      <c r="B535" s="254">
        <v>38850</v>
      </c>
      <c r="C535" s="221" t="s">
        <v>394</v>
      </c>
      <c r="D535" s="101">
        <v>30363</v>
      </c>
      <c r="E535" s="221" t="s">
        <v>211</v>
      </c>
      <c r="F535" s="221">
        <v>2006</v>
      </c>
    </row>
    <row r="536" spans="2:6">
      <c r="B536" s="254">
        <v>39259</v>
      </c>
      <c r="C536" s="221" t="s">
        <v>395</v>
      </c>
      <c r="D536" s="101">
        <v>31824</v>
      </c>
      <c r="E536" s="221" t="s">
        <v>213</v>
      </c>
      <c r="F536" s="221">
        <v>2007</v>
      </c>
    </row>
    <row r="537" spans="2:6">
      <c r="B537" s="254">
        <v>39519</v>
      </c>
      <c r="C537" s="221" t="s">
        <v>398</v>
      </c>
      <c r="D537" s="101">
        <v>37747</v>
      </c>
      <c r="E537" s="221" t="s">
        <v>212</v>
      </c>
      <c r="F537" s="221">
        <v>2008</v>
      </c>
    </row>
    <row r="538" spans="2:6">
      <c r="B538" s="254">
        <v>39026</v>
      </c>
      <c r="C538" s="221" t="s">
        <v>395</v>
      </c>
      <c r="D538" s="101">
        <v>27243</v>
      </c>
      <c r="E538" s="221" t="s">
        <v>213</v>
      </c>
      <c r="F538" s="221">
        <v>2006</v>
      </c>
    </row>
    <row r="539" spans="2:6">
      <c r="B539" s="254">
        <v>39347</v>
      </c>
      <c r="C539" s="221" t="s">
        <v>394</v>
      </c>
      <c r="D539" s="101">
        <v>35196</v>
      </c>
      <c r="E539" s="221" t="s">
        <v>212</v>
      </c>
      <c r="F539" s="221">
        <v>2007</v>
      </c>
    </row>
    <row r="540" spans="2:6">
      <c r="B540" s="254">
        <v>39513</v>
      </c>
      <c r="C540" s="221" t="s">
        <v>396</v>
      </c>
      <c r="D540" s="101">
        <v>34236</v>
      </c>
      <c r="E540" s="221" t="s">
        <v>213</v>
      </c>
      <c r="F540" s="221">
        <v>2008</v>
      </c>
    </row>
    <row r="541" spans="2:6">
      <c r="B541" s="254">
        <v>39354</v>
      </c>
      <c r="C541" s="221" t="s">
        <v>395</v>
      </c>
      <c r="D541" s="101">
        <v>23137</v>
      </c>
      <c r="E541" s="221" t="s">
        <v>210</v>
      </c>
      <c r="F541" s="221">
        <v>2007</v>
      </c>
    </row>
    <row r="542" spans="2:6">
      <c r="B542" s="254">
        <v>39065</v>
      </c>
      <c r="C542" s="221" t="s">
        <v>398</v>
      </c>
      <c r="D542" s="101">
        <v>12216</v>
      </c>
      <c r="E542" s="221" t="s">
        <v>213</v>
      </c>
      <c r="F542" s="221">
        <v>2006</v>
      </c>
    </row>
    <row r="543" spans="2:6">
      <c r="B543" s="254">
        <v>39346</v>
      </c>
      <c r="C543" s="221" t="s">
        <v>396</v>
      </c>
      <c r="D543" s="101">
        <v>35164</v>
      </c>
      <c r="E543" s="221" t="s">
        <v>210</v>
      </c>
      <c r="F543" s="221">
        <v>2007</v>
      </c>
    </row>
    <row r="544" spans="2:6">
      <c r="B544" s="254">
        <v>39528</v>
      </c>
      <c r="C544" s="221" t="s">
        <v>395</v>
      </c>
      <c r="D544" s="101">
        <v>10755</v>
      </c>
      <c r="E544" s="221" t="s">
        <v>210</v>
      </c>
      <c r="F544" s="221">
        <v>2008</v>
      </c>
    </row>
    <row r="545" spans="2:6">
      <c r="B545" s="254">
        <v>39493</v>
      </c>
      <c r="C545" s="221" t="s">
        <v>398</v>
      </c>
      <c r="D545" s="101">
        <v>23325</v>
      </c>
      <c r="E545" s="221" t="s">
        <v>210</v>
      </c>
      <c r="F545" s="221">
        <v>2008</v>
      </c>
    </row>
    <row r="546" spans="2:6">
      <c r="B546" s="254">
        <v>39505</v>
      </c>
      <c r="C546" s="221" t="s">
        <v>394</v>
      </c>
      <c r="D546" s="101">
        <v>27298</v>
      </c>
      <c r="E546" s="221" t="s">
        <v>210</v>
      </c>
      <c r="F546" s="221">
        <v>2008</v>
      </c>
    </row>
    <row r="547" spans="2:6">
      <c r="B547" s="254">
        <v>38778</v>
      </c>
      <c r="C547" s="221" t="s">
        <v>394</v>
      </c>
      <c r="D547" s="101">
        <v>11035</v>
      </c>
      <c r="E547" s="221" t="s">
        <v>211</v>
      </c>
      <c r="F547" s="221">
        <v>2006</v>
      </c>
    </row>
    <row r="548" spans="2:6">
      <c r="B548" s="254">
        <v>39129</v>
      </c>
      <c r="C548" s="221" t="s">
        <v>395</v>
      </c>
      <c r="D548" s="101">
        <v>33945</v>
      </c>
      <c r="E548" s="221" t="s">
        <v>213</v>
      </c>
      <c r="F548" s="221">
        <v>2007</v>
      </c>
    </row>
    <row r="549" spans="2:6">
      <c r="B549" s="254">
        <v>38948</v>
      </c>
      <c r="C549" s="221" t="s">
        <v>398</v>
      </c>
      <c r="D549" s="101">
        <v>33878</v>
      </c>
      <c r="E549" s="221" t="s">
        <v>212</v>
      </c>
      <c r="F549" s="221">
        <v>2006</v>
      </c>
    </row>
    <row r="550" spans="2:6">
      <c r="B550" s="254">
        <v>39453</v>
      </c>
      <c r="C550" s="221" t="s">
        <v>395</v>
      </c>
      <c r="D550" s="101">
        <v>33932</v>
      </c>
      <c r="E550" s="221" t="s">
        <v>210</v>
      </c>
      <c r="F550" s="221">
        <v>2008</v>
      </c>
    </row>
    <row r="551" spans="2:6">
      <c r="B551" s="254">
        <v>39328</v>
      </c>
      <c r="C551" s="221" t="s">
        <v>394</v>
      </c>
      <c r="D551" s="101">
        <v>18435</v>
      </c>
      <c r="E551" s="221" t="s">
        <v>212</v>
      </c>
      <c r="F551" s="221">
        <v>2007</v>
      </c>
    </row>
    <row r="552" spans="2:6">
      <c r="B552" s="254">
        <v>39344</v>
      </c>
      <c r="C552" s="221" t="s">
        <v>396</v>
      </c>
      <c r="D552" s="101">
        <v>20963</v>
      </c>
      <c r="E552" s="221" t="s">
        <v>210</v>
      </c>
      <c r="F552" s="221">
        <v>2007</v>
      </c>
    </row>
    <row r="553" spans="2:6">
      <c r="B553" s="254">
        <v>39190</v>
      </c>
      <c r="C553" s="221" t="s">
        <v>395</v>
      </c>
      <c r="D553" s="101">
        <v>26573</v>
      </c>
      <c r="E553" s="221" t="s">
        <v>210</v>
      </c>
      <c r="F553" s="221">
        <v>2007</v>
      </c>
    </row>
    <row r="554" spans="2:6">
      <c r="B554" s="254">
        <v>38899</v>
      </c>
      <c r="C554" s="221" t="s">
        <v>395</v>
      </c>
      <c r="D554" s="101">
        <v>7430</v>
      </c>
      <c r="E554" s="221" t="s">
        <v>210</v>
      </c>
      <c r="F554" s="221">
        <v>2006</v>
      </c>
    </row>
    <row r="555" spans="2:6">
      <c r="B555" s="254">
        <v>39354</v>
      </c>
      <c r="C555" s="221" t="s">
        <v>395</v>
      </c>
      <c r="D555" s="101">
        <v>12885</v>
      </c>
      <c r="E555" s="221" t="s">
        <v>210</v>
      </c>
      <c r="F555" s="221">
        <v>2007</v>
      </c>
    </row>
    <row r="556" spans="2:6">
      <c r="B556" s="254">
        <v>39077</v>
      </c>
      <c r="C556" s="221" t="s">
        <v>398</v>
      </c>
      <c r="D556" s="101">
        <v>33115</v>
      </c>
      <c r="E556" s="221" t="s">
        <v>212</v>
      </c>
      <c r="F556" s="221">
        <v>2006</v>
      </c>
    </row>
    <row r="557" spans="2:6">
      <c r="B557" s="254">
        <v>39584</v>
      </c>
      <c r="C557" s="221" t="s">
        <v>394</v>
      </c>
      <c r="D557" s="101">
        <v>17129</v>
      </c>
      <c r="E557" s="221" t="s">
        <v>213</v>
      </c>
      <c r="F557" s="221">
        <v>2008</v>
      </c>
    </row>
    <row r="558" spans="2:6">
      <c r="B558" s="254">
        <v>39322</v>
      </c>
      <c r="C558" s="221" t="s">
        <v>394</v>
      </c>
      <c r="D558" s="101">
        <v>21344</v>
      </c>
      <c r="E558" s="221" t="s">
        <v>212</v>
      </c>
      <c r="F558" s="221">
        <v>2007</v>
      </c>
    </row>
    <row r="559" spans="2:6">
      <c r="B559" s="254">
        <v>39432</v>
      </c>
      <c r="C559" s="221" t="s">
        <v>398</v>
      </c>
      <c r="D559" s="101">
        <v>14446</v>
      </c>
      <c r="E559" s="221" t="s">
        <v>210</v>
      </c>
      <c r="F559" s="221">
        <v>2007</v>
      </c>
    </row>
    <row r="560" spans="2:6">
      <c r="B560" s="254">
        <v>38896</v>
      </c>
      <c r="C560" s="221" t="s">
        <v>394</v>
      </c>
      <c r="D560" s="101">
        <v>29589</v>
      </c>
      <c r="E560" s="221" t="s">
        <v>210</v>
      </c>
      <c r="F560" s="221">
        <v>2006</v>
      </c>
    </row>
    <row r="561" spans="2:6">
      <c r="B561" s="254">
        <v>39101</v>
      </c>
      <c r="C561" s="221" t="s">
        <v>398</v>
      </c>
      <c r="D561" s="101">
        <v>11123</v>
      </c>
      <c r="E561" s="221" t="s">
        <v>211</v>
      </c>
      <c r="F561" s="221">
        <v>2007</v>
      </c>
    </row>
    <row r="562" spans="2:6">
      <c r="B562" s="254">
        <v>39084</v>
      </c>
      <c r="C562" s="221" t="s">
        <v>396</v>
      </c>
      <c r="D562" s="101">
        <v>7978</v>
      </c>
      <c r="E562" s="221" t="s">
        <v>211</v>
      </c>
      <c r="F562" s="221">
        <v>2007</v>
      </c>
    </row>
    <row r="563" spans="2:6">
      <c r="B563" s="254">
        <v>38929</v>
      </c>
      <c r="C563" s="221" t="s">
        <v>394</v>
      </c>
      <c r="D563" s="101">
        <v>12094</v>
      </c>
      <c r="E563" s="221" t="s">
        <v>213</v>
      </c>
      <c r="F563" s="221">
        <v>2006</v>
      </c>
    </row>
    <row r="564" spans="2:6">
      <c r="B564" s="254">
        <v>39523</v>
      </c>
      <c r="C564" s="221" t="s">
        <v>398</v>
      </c>
      <c r="D564" s="101">
        <v>6186</v>
      </c>
      <c r="E564" s="221" t="s">
        <v>213</v>
      </c>
      <c r="F564" s="221">
        <v>2008</v>
      </c>
    </row>
    <row r="565" spans="2:6">
      <c r="B565" s="254">
        <v>39391</v>
      </c>
      <c r="C565" s="221" t="s">
        <v>396</v>
      </c>
      <c r="D565" s="101">
        <v>15928</v>
      </c>
      <c r="E565" s="221" t="s">
        <v>211</v>
      </c>
      <c r="F565" s="221">
        <v>2007</v>
      </c>
    </row>
    <row r="566" spans="2:6">
      <c r="B566" s="254">
        <v>39106</v>
      </c>
      <c r="C566" s="221" t="s">
        <v>398</v>
      </c>
      <c r="D566" s="101">
        <v>23790</v>
      </c>
      <c r="E566" s="221" t="s">
        <v>210</v>
      </c>
      <c r="F566" s="221">
        <v>2007</v>
      </c>
    </row>
    <row r="567" spans="2:6">
      <c r="B567" s="254">
        <v>39328</v>
      </c>
      <c r="C567" s="221" t="s">
        <v>396</v>
      </c>
      <c r="D567" s="101">
        <v>37839</v>
      </c>
      <c r="E567" s="221" t="s">
        <v>212</v>
      </c>
      <c r="F567" s="221">
        <v>2007</v>
      </c>
    </row>
    <row r="568" spans="2:6">
      <c r="B568" s="254">
        <v>38975</v>
      </c>
      <c r="C568" s="221" t="s">
        <v>395</v>
      </c>
      <c r="D568" s="101">
        <v>13659</v>
      </c>
      <c r="E568" s="221" t="s">
        <v>212</v>
      </c>
      <c r="F568" s="221">
        <v>2006</v>
      </c>
    </row>
    <row r="569" spans="2:6">
      <c r="B569" s="254">
        <v>38844</v>
      </c>
      <c r="C569" s="221" t="s">
        <v>394</v>
      </c>
      <c r="D569" s="101">
        <v>15695</v>
      </c>
      <c r="E569" s="221" t="s">
        <v>210</v>
      </c>
      <c r="F569" s="221">
        <v>2006</v>
      </c>
    </row>
    <row r="570" spans="2:6">
      <c r="B570" s="254">
        <v>38937</v>
      </c>
      <c r="C570" s="221" t="s">
        <v>395</v>
      </c>
      <c r="D570" s="101">
        <v>12019</v>
      </c>
      <c r="E570" s="221" t="s">
        <v>211</v>
      </c>
      <c r="F570" s="221">
        <v>2006</v>
      </c>
    </row>
    <row r="571" spans="2:6">
      <c r="B571" s="254">
        <v>39082</v>
      </c>
      <c r="C571" s="221" t="s">
        <v>394</v>
      </c>
      <c r="D571" s="101">
        <v>38691</v>
      </c>
      <c r="E571" s="221" t="s">
        <v>212</v>
      </c>
      <c r="F571" s="221">
        <v>2006</v>
      </c>
    </row>
    <row r="572" spans="2:6">
      <c r="B572" s="254">
        <v>38948</v>
      </c>
      <c r="C572" s="221" t="s">
        <v>395</v>
      </c>
      <c r="D572" s="101">
        <v>34839</v>
      </c>
      <c r="E572" s="221" t="s">
        <v>213</v>
      </c>
      <c r="F572" s="221">
        <v>2006</v>
      </c>
    </row>
    <row r="573" spans="2:6">
      <c r="B573" s="254">
        <v>38758</v>
      </c>
      <c r="C573" s="221" t="s">
        <v>395</v>
      </c>
      <c r="D573" s="101">
        <v>25124</v>
      </c>
      <c r="E573" s="221" t="s">
        <v>210</v>
      </c>
      <c r="F573" s="221">
        <v>2006</v>
      </c>
    </row>
    <row r="574" spans="2:6">
      <c r="B574" s="254">
        <v>38990</v>
      </c>
      <c r="C574" s="221" t="s">
        <v>398</v>
      </c>
      <c r="D574" s="101">
        <v>39844</v>
      </c>
      <c r="E574" s="221" t="s">
        <v>213</v>
      </c>
      <c r="F574" s="221">
        <v>2006</v>
      </c>
    </row>
    <row r="575" spans="2:6">
      <c r="B575" s="254">
        <v>39503</v>
      </c>
      <c r="C575" s="221" t="s">
        <v>396</v>
      </c>
      <c r="D575" s="101">
        <v>14139</v>
      </c>
      <c r="E575" s="221" t="s">
        <v>210</v>
      </c>
      <c r="F575" s="221">
        <v>2008</v>
      </c>
    </row>
    <row r="576" spans="2:6">
      <c r="B576" s="254">
        <v>39336</v>
      </c>
      <c r="C576" s="221" t="s">
        <v>396</v>
      </c>
      <c r="D576" s="101">
        <v>38718</v>
      </c>
      <c r="E576" s="221" t="s">
        <v>210</v>
      </c>
      <c r="F576" s="221">
        <v>2007</v>
      </c>
    </row>
    <row r="577" spans="2:6">
      <c r="B577" s="254">
        <v>39293</v>
      </c>
      <c r="C577" s="221" t="s">
        <v>398</v>
      </c>
      <c r="D577" s="101">
        <v>23597</v>
      </c>
      <c r="E577" s="221" t="s">
        <v>212</v>
      </c>
      <c r="F577" s="221">
        <v>2007</v>
      </c>
    </row>
    <row r="578" spans="2:6">
      <c r="B578" s="254">
        <v>39163</v>
      </c>
      <c r="C578" s="221" t="s">
        <v>396</v>
      </c>
      <c r="D578" s="101">
        <v>12037</v>
      </c>
      <c r="E578" s="221" t="s">
        <v>210</v>
      </c>
      <c r="F578" s="221">
        <v>2007</v>
      </c>
    </row>
    <row r="579" spans="2:6">
      <c r="B579" s="254">
        <v>39610</v>
      </c>
      <c r="C579" s="221" t="s">
        <v>398</v>
      </c>
      <c r="D579" s="101">
        <v>30430</v>
      </c>
      <c r="E579" s="221" t="s">
        <v>213</v>
      </c>
      <c r="F579" s="221">
        <v>2008</v>
      </c>
    </row>
    <row r="580" spans="2:6">
      <c r="B580" s="254">
        <v>39559</v>
      </c>
      <c r="C580" s="221" t="s">
        <v>394</v>
      </c>
      <c r="D580" s="101">
        <v>6263</v>
      </c>
      <c r="E580" s="221" t="s">
        <v>213</v>
      </c>
      <c r="F580" s="221">
        <v>2008</v>
      </c>
    </row>
    <row r="581" spans="2:6">
      <c r="B581" s="254">
        <v>39334</v>
      </c>
      <c r="C581" s="221" t="s">
        <v>394</v>
      </c>
      <c r="D581" s="101">
        <v>12836</v>
      </c>
      <c r="E581" s="221" t="s">
        <v>213</v>
      </c>
      <c r="F581" s="221">
        <v>2007</v>
      </c>
    </row>
    <row r="582" spans="2:6">
      <c r="B582" s="254">
        <v>39516</v>
      </c>
      <c r="C582" s="221" t="s">
        <v>394</v>
      </c>
      <c r="D582" s="101">
        <v>10283</v>
      </c>
      <c r="E582" s="221" t="s">
        <v>213</v>
      </c>
      <c r="F582" s="221">
        <v>2008</v>
      </c>
    </row>
    <row r="583" spans="2:6">
      <c r="B583" s="254">
        <v>38956</v>
      </c>
      <c r="C583" s="221" t="s">
        <v>398</v>
      </c>
      <c r="D583" s="101">
        <v>39911</v>
      </c>
      <c r="E583" s="221" t="s">
        <v>213</v>
      </c>
      <c r="F583" s="221">
        <v>2006</v>
      </c>
    </row>
    <row r="584" spans="2:6">
      <c r="B584" s="254">
        <v>38783</v>
      </c>
      <c r="C584" s="221" t="s">
        <v>398</v>
      </c>
      <c r="D584" s="101">
        <v>37432</v>
      </c>
      <c r="E584" s="221" t="s">
        <v>212</v>
      </c>
      <c r="F584" s="221">
        <v>2006</v>
      </c>
    </row>
    <row r="585" spans="2:6">
      <c r="B585" s="254">
        <v>38994</v>
      </c>
      <c r="C585" s="221" t="s">
        <v>395</v>
      </c>
      <c r="D585" s="101">
        <v>27023</v>
      </c>
      <c r="E585" s="221" t="s">
        <v>211</v>
      </c>
      <c r="F585" s="221">
        <v>2006</v>
      </c>
    </row>
    <row r="586" spans="2:6">
      <c r="B586" s="254">
        <v>38867</v>
      </c>
      <c r="C586" s="221" t="s">
        <v>395</v>
      </c>
      <c r="D586" s="101">
        <v>22624</v>
      </c>
      <c r="E586" s="221" t="s">
        <v>211</v>
      </c>
      <c r="F586" s="221">
        <v>2006</v>
      </c>
    </row>
    <row r="587" spans="2:6">
      <c r="B587" s="254">
        <v>39273</v>
      </c>
      <c r="C587" s="221" t="s">
        <v>396</v>
      </c>
      <c r="D587" s="101">
        <v>38180</v>
      </c>
      <c r="E587" s="221" t="s">
        <v>213</v>
      </c>
      <c r="F587" s="221">
        <v>2007</v>
      </c>
    </row>
    <row r="588" spans="2:6">
      <c r="B588" s="254">
        <v>39204</v>
      </c>
      <c r="C588" s="221" t="s">
        <v>396</v>
      </c>
      <c r="D588" s="101">
        <v>29787</v>
      </c>
      <c r="E588" s="221" t="s">
        <v>210</v>
      </c>
      <c r="F588" s="221">
        <v>2007</v>
      </c>
    </row>
    <row r="589" spans="2:6">
      <c r="B589" s="254">
        <v>38940</v>
      </c>
      <c r="C589" s="221" t="s">
        <v>396</v>
      </c>
      <c r="D589" s="101">
        <v>28692</v>
      </c>
      <c r="E589" s="221" t="s">
        <v>210</v>
      </c>
      <c r="F589" s="221">
        <v>2006</v>
      </c>
    </row>
    <row r="590" spans="2:6">
      <c r="B590" s="254">
        <v>39372</v>
      </c>
      <c r="C590" s="221" t="s">
        <v>394</v>
      </c>
      <c r="D590" s="101">
        <v>22913</v>
      </c>
      <c r="E590" s="221" t="s">
        <v>212</v>
      </c>
      <c r="F590" s="221">
        <v>2007</v>
      </c>
    </row>
    <row r="591" spans="2:6">
      <c r="B591" s="254">
        <v>39165</v>
      </c>
      <c r="C591" s="221" t="s">
        <v>396</v>
      </c>
      <c r="D591" s="101">
        <v>12061</v>
      </c>
      <c r="E591" s="221" t="s">
        <v>210</v>
      </c>
      <c r="F591" s="221">
        <v>2007</v>
      </c>
    </row>
    <row r="592" spans="2:6">
      <c r="B592" s="254">
        <v>39441</v>
      </c>
      <c r="C592" s="221" t="s">
        <v>396</v>
      </c>
      <c r="D592" s="101">
        <v>19881</v>
      </c>
      <c r="E592" s="221" t="s">
        <v>213</v>
      </c>
      <c r="F592" s="221">
        <v>2007</v>
      </c>
    </row>
    <row r="593" spans="2:6">
      <c r="B593" s="254">
        <v>38802</v>
      </c>
      <c r="C593" s="221" t="s">
        <v>396</v>
      </c>
      <c r="D593" s="101">
        <v>15886</v>
      </c>
      <c r="E593" s="221" t="s">
        <v>211</v>
      </c>
      <c r="F593" s="221">
        <v>2006</v>
      </c>
    </row>
    <row r="594" spans="2:6">
      <c r="B594" s="254">
        <v>39036</v>
      </c>
      <c r="C594" s="221" t="s">
        <v>395</v>
      </c>
      <c r="D594" s="101">
        <v>25774</v>
      </c>
      <c r="E594" s="221" t="s">
        <v>212</v>
      </c>
      <c r="F594" s="221">
        <v>2006</v>
      </c>
    </row>
    <row r="595" spans="2:6">
      <c r="B595" s="254">
        <v>38794</v>
      </c>
      <c r="C595" s="221" t="s">
        <v>395</v>
      </c>
      <c r="D595" s="101">
        <v>16600</v>
      </c>
      <c r="E595" s="221" t="s">
        <v>210</v>
      </c>
      <c r="F595" s="221">
        <v>2006</v>
      </c>
    </row>
    <row r="596" spans="2:6">
      <c r="B596" s="254">
        <v>38912</v>
      </c>
      <c r="C596" s="221" t="s">
        <v>398</v>
      </c>
      <c r="D596" s="101">
        <v>14056</v>
      </c>
      <c r="E596" s="221" t="s">
        <v>210</v>
      </c>
      <c r="F596" s="221">
        <v>2006</v>
      </c>
    </row>
    <row r="597" spans="2:6">
      <c r="B597" s="254">
        <v>39346</v>
      </c>
      <c r="C597" s="221" t="s">
        <v>396</v>
      </c>
      <c r="D597" s="101">
        <v>25167</v>
      </c>
      <c r="E597" s="221" t="s">
        <v>213</v>
      </c>
      <c r="F597" s="221">
        <v>2007</v>
      </c>
    </row>
    <row r="598" spans="2:6">
      <c r="B598" s="254">
        <v>38872</v>
      </c>
      <c r="C598" s="221" t="s">
        <v>396</v>
      </c>
      <c r="D598" s="101">
        <v>26244</v>
      </c>
      <c r="E598" s="221" t="s">
        <v>211</v>
      </c>
      <c r="F598" s="221">
        <v>2006</v>
      </c>
    </row>
    <row r="599" spans="2:6">
      <c r="B599" s="254">
        <v>39054</v>
      </c>
      <c r="C599" s="221" t="s">
        <v>394</v>
      </c>
      <c r="D599" s="101">
        <v>16804</v>
      </c>
      <c r="E599" s="221" t="s">
        <v>213</v>
      </c>
      <c r="F599" s="221">
        <v>2006</v>
      </c>
    </row>
    <row r="600" spans="2:6">
      <c r="B600" s="254">
        <v>39348</v>
      </c>
      <c r="C600" s="221" t="s">
        <v>396</v>
      </c>
      <c r="D600" s="101">
        <v>6634</v>
      </c>
      <c r="E600" s="221" t="s">
        <v>211</v>
      </c>
      <c r="F600" s="221">
        <v>2007</v>
      </c>
    </row>
    <row r="601" spans="2:6">
      <c r="B601" s="254">
        <v>39123</v>
      </c>
      <c r="C601" s="221" t="s">
        <v>396</v>
      </c>
      <c r="D601" s="101">
        <v>25627</v>
      </c>
      <c r="E601" s="221" t="s">
        <v>212</v>
      </c>
      <c r="F601" s="221">
        <v>2007</v>
      </c>
    </row>
    <row r="602" spans="2:6">
      <c r="B602" s="254">
        <v>39332</v>
      </c>
      <c r="C602" s="221" t="s">
        <v>394</v>
      </c>
      <c r="D602" s="101">
        <v>37695</v>
      </c>
      <c r="E602" s="221" t="s">
        <v>213</v>
      </c>
      <c r="F602" s="221">
        <v>2007</v>
      </c>
    </row>
    <row r="603" spans="2:6">
      <c r="B603" s="254">
        <v>39506</v>
      </c>
      <c r="C603" s="221" t="s">
        <v>395</v>
      </c>
      <c r="D603" s="101">
        <v>36880</v>
      </c>
      <c r="E603" s="221" t="s">
        <v>210</v>
      </c>
      <c r="F603" s="221">
        <v>2008</v>
      </c>
    </row>
    <row r="604" spans="2:6">
      <c r="B604" s="254">
        <v>38982</v>
      </c>
      <c r="C604" s="221" t="s">
        <v>395</v>
      </c>
      <c r="D604" s="101">
        <v>30352</v>
      </c>
      <c r="E604" s="221" t="s">
        <v>211</v>
      </c>
      <c r="F604" s="221">
        <v>2006</v>
      </c>
    </row>
    <row r="605" spans="2:6">
      <c r="B605" s="254">
        <v>39427</v>
      </c>
      <c r="C605" s="221" t="s">
        <v>398</v>
      </c>
      <c r="D605" s="101">
        <v>7261</v>
      </c>
      <c r="E605" s="221" t="s">
        <v>213</v>
      </c>
      <c r="F605" s="221">
        <v>2007</v>
      </c>
    </row>
    <row r="606" spans="2:6">
      <c r="B606" s="254">
        <v>39266</v>
      </c>
      <c r="C606" s="221" t="s">
        <v>395</v>
      </c>
      <c r="D606" s="101">
        <v>39549</v>
      </c>
      <c r="E606" s="221" t="s">
        <v>210</v>
      </c>
      <c r="F606" s="221">
        <v>2007</v>
      </c>
    </row>
    <row r="607" spans="2:6">
      <c r="B607" s="254">
        <v>39149</v>
      </c>
      <c r="C607" s="221" t="s">
        <v>394</v>
      </c>
      <c r="D607" s="101">
        <v>18449</v>
      </c>
      <c r="E607" s="221" t="s">
        <v>212</v>
      </c>
      <c r="F607" s="221">
        <v>2007</v>
      </c>
    </row>
    <row r="608" spans="2:6">
      <c r="B608" s="254">
        <v>39526</v>
      </c>
      <c r="C608" s="221" t="s">
        <v>395</v>
      </c>
      <c r="D608" s="101">
        <v>30592</v>
      </c>
      <c r="E608" s="221" t="s">
        <v>212</v>
      </c>
      <c r="F608" s="221">
        <v>2008</v>
      </c>
    </row>
    <row r="609" spans="2:6">
      <c r="B609" s="254">
        <v>39240</v>
      </c>
      <c r="C609" s="221" t="s">
        <v>394</v>
      </c>
      <c r="D609" s="101">
        <v>31194</v>
      </c>
      <c r="E609" s="221" t="s">
        <v>211</v>
      </c>
      <c r="F609" s="221">
        <v>2007</v>
      </c>
    </row>
    <row r="610" spans="2:6">
      <c r="B610" s="254">
        <v>39192</v>
      </c>
      <c r="C610" s="221" t="s">
        <v>396</v>
      </c>
      <c r="D610" s="101">
        <v>12031</v>
      </c>
      <c r="E610" s="221" t="s">
        <v>211</v>
      </c>
      <c r="F610" s="221">
        <v>2007</v>
      </c>
    </row>
    <row r="611" spans="2:6">
      <c r="B611" s="254">
        <v>39035</v>
      </c>
      <c r="C611" s="221" t="s">
        <v>396</v>
      </c>
      <c r="D611" s="101">
        <v>13742</v>
      </c>
      <c r="E611" s="221" t="s">
        <v>210</v>
      </c>
      <c r="F611" s="221">
        <v>2006</v>
      </c>
    </row>
    <row r="612" spans="2:6">
      <c r="B612" s="254">
        <v>39194</v>
      </c>
      <c r="C612" s="221" t="s">
        <v>394</v>
      </c>
      <c r="D612" s="101">
        <v>14904</v>
      </c>
      <c r="E612" s="221" t="s">
        <v>213</v>
      </c>
      <c r="F612" s="221">
        <v>2007</v>
      </c>
    </row>
    <row r="613" spans="2:6">
      <c r="B613" s="254">
        <v>38722</v>
      </c>
      <c r="C613" s="221" t="s">
        <v>398</v>
      </c>
      <c r="D613" s="101">
        <v>10402</v>
      </c>
      <c r="E613" s="221" t="s">
        <v>210</v>
      </c>
      <c r="F613" s="221">
        <v>2006</v>
      </c>
    </row>
    <row r="614" spans="2:6">
      <c r="B614" s="254">
        <v>39118</v>
      </c>
      <c r="C614" s="221" t="s">
        <v>396</v>
      </c>
      <c r="D614" s="101">
        <v>37538</v>
      </c>
      <c r="E614" s="221" t="s">
        <v>213</v>
      </c>
      <c r="F614" s="221">
        <v>2007</v>
      </c>
    </row>
    <row r="615" spans="2:6">
      <c r="B615" s="254">
        <v>38834</v>
      </c>
      <c r="C615" s="221" t="s">
        <v>398</v>
      </c>
      <c r="D615" s="101">
        <v>17342</v>
      </c>
      <c r="E615" s="221" t="s">
        <v>212</v>
      </c>
      <c r="F615" s="221">
        <v>2006</v>
      </c>
    </row>
    <row r="616" spans="2:6">
      <c r="B616" s="254">
        <v>39523</v>
      </c>
      <c r="C616" s="221" t="s">
        <v>395</v>
      </c>
      <c r="D616" s="101">
        <v>22894</v>
      </c>
      <c r="E616" s="221" t="s">
        <v>213</v>
      </c>
      <c r="F616" s="221">
        <v>2008</v>
      </c>
    </row>
    <row r="617" spans="2:6">
      <c r="B617" s="254">
        <v>39534</v>
      </c>
      <c r="C617" s="221" t="s">
        <v>398</v>
      </c>
      <c r="D617" s="101">
        <v>10518</v>
      </c>
      <c r="E617" s="221" t="s">
        <v>211</v>
      </c>
      <c r="F617" s="221">
        <v>2008</v>
      </c>
    </row>
    <row r="618" spans="2:6">
      <c r="B618" s="254">
        <v>39110</v>
      </c>
      <c r="C618" s="221" t="s">
        <v>394</v>
      </c>
      <c r="D618" s="101">
        <v>23736</v>
      </c>
      <c r="E618" s="221" t="s">
        <v>212</v>
      </c>
      <c r="F618" s="221">
        <v>2007</v>
      </c>
    </row>
    <row r="619" spans="2:6">
      <c r="B619" s="254">
        <v>39168</v>
      </c>
      <c r="C619" s="221" t="s">
        <v>398</v>
      </c>
      <c r="D619" s="101">
        <v>12849</v>
      </c>
      <c r="E619" s="221" t="s">
        <v>210</v>
      </c>
      <c r="F619" s="221">
        <v>2007</v>
      </c>
    </row>
    <row r="620" spans="2:6">
      <c r="B620" s="254">
        <v>39239</v>
      </c>
      <c r="C620" s="221" t="s">
        <v>395</v>
      </c>
      <c r="D620" s="101">
        <v>7041</v>
      </c>
      <c r="E620" s="221" t="s">
        <v>211</v>
      </c>
      <c r="F620" s="221">
        <v>2007</v>
      </c>
    </row>
    <row r="621" spans="2:6">
      <c r="B621" s="254">
        <v>39200</v>
      </c>
      <c r="C621" s="221" t="s">
        <v>395</v>
      </c>
      <c r="D621" s="101">
        <v>13631</v>
      </c>
      <c r="E621" s="221" t="s">
        <v>210</v>
      </c>
      <c r="F621" s="221">
        <v>2007</v>
      </c>
    </row>
    <row r="622" spans="2:6">
      <c r="B622" s="254">
        <v>39508</v>
      </c>
      <c r="C622" s="221" t="s">
        <v>394</v>
      </c>
      <c r="D622" s="101">
        <v>11432</v>
      </c>
      <c r="E622" s="221" t="s">
        <v>212</v>
      </c>
      <c r="F622" s="221">
        <v>2008</v>
      </c>
    </row>
    <row r="623" spans="2:6">
      <c r="B623" s="254">
        <v>39054</v>
      </c>
      <c r="C623" s="221" t="s">
        <v>394</v>
      </c>
      <c r="D623" s="101">
        <v>9405</v>
      </c>
      <c r="E623" s="221" t="s">
        <v>210</v>
      </c>
      <c r="F623" s="221">
        <v>2006</v>
      </c>
    </row>
    <row r="624" spans="2:6">
      <c r="B624" s="254">
        <v>38753</v>
      </c>
      <c r="C624" s="221" t="s">
        <v>398</v>
      </c>
      <c r="D624" s="101">
        <v>35888</v>
      </c>
      <c r="E624" s="221" t="s">
        <v>211</v>
      </c>
      <c r="F624" s="221">
        <v>2006</v>
      </c>
    </row>
    <row r="625" spans="2:6">
      <c r="B625" s="254">
        <v>39520</v>
      </c>
      <c r="C625" s="221" t="s">
        <v>394</v>
      </c>
      <c r="D625" s="101">
        <v>37895</v>
      </c>
      <c r="E625" s="221" t="s">
        <v>210</v>
      </c>
      <c r="F625" s="221">
        <v>2008</v>
      </c>
    </row>
    <row r="626" spans="2:6">
      <c r="B626" s="254">
        <v>39432</v>
      </c>
      <c r="C626" s="221" t="s">
        <v>395</v>
      </c>
      <c r="D626" s="101">
        <v>10990</v>
      </c>
      <c r="E626" s="221" t="s">
        <v>211</v>
      </c>
      <c r="F626" s="221">
        <v>2007</v>
      </c>
    </row>
    <row r="627" spans="2:6">
      <c r="B627" s="254">
        <v>39135</v>
      </c>
      <c r="C627" s="221" t="s">
        <v>395</v>
      </c>
      <c r="D627" s="101">
        <v>28368</v>
      </c>
      <c r="E627" s="221" t="s">
        <v>210</v>
      </c>
      <c r="F627" s="221">
        <v>2007</v>
      </c>
    </row>
    <row r="628" spans="2:6">
      <c r="B628" s="254">
        <v>38853</v>
      </c>
      <c r="C628" s="221" t="s">
        <v>398</v>
      </c>
      <c r="D628" s="101">
        <v>16259</v>
      </c>
      <c r="E628" s="221" t="s">
        <v>213</v>
      </c>
      <c r="F628" s="221">
        <v>2006</v>
      </c>
    </row>
    <row r="629" spans="2:6">
      <c r="B629" s="254">
        <v>39417</v>
      </c>
      <c r="C629" s="221" t="s">
        <v>394</v>
      </c>
      <c r="D629" s="101">
        <v>28853</v>
      </c>
      <c r="E629" s="221" t="s">
        <v>213</v>
      </c>
      <c r="F629" s="221">
        <v>2007</v>
      </c>
    </row>
    <row r="630" spans="2:6">
      <c r="B630" s="254">
        <v>39455</v>
      </c>
      <c r="C630" s="221" t="s">
        <v>395</v>
      </c>
      <c r="D630" s="101">
        <v>21672</v>
      </c>
      <c r="E630" s="221" t="s">
        <v>212</v>
      </c>
      <c r="F630" s="221">
        <v>2008</v>
      </c>
    </row>
    <row r="631" spans="2:6">
      <c r="B631" s="254">
        <v>39336</v>
      </c>
      <c r="C631" s="221" t="s">
        <v>395</v>
      </c>
      <c r="D631" s="101">
        <v>20906</v>
      </c>
      <c r="E631" s="221" t="s">
        <v>213</v>
      </c>
      <c r="F631" s="221">
        <v>2007</v>
      </c>
    </row>
    <row r="632" spans="2:6">
      <c r="B632" s="254">
        <v>38782</v>
      </c>
      <c r="C632" s="221" t="s">
        <v>394</v>
      </c>
      <c r="D632" s="101">
        <v>20809</v>
      </c>
      <c r="E632" s="221" t="s">
        <v>213</v>
      </c>
      <c r="F632" s="221">
        <v>2006</v>
      </c>
    </row>
    <row r="633" spans="2:6">
      <c r="B633" s="254">
        <v>39007</v>
      </c>
      <c r="C633" s="221" t="s">
        <v>394</v>
      </c>
      <c r="D633" s="101">
        <v>27409</v>
      </c>
      <c r="E633" s="221" t="s">
        <v>210</v>
      </c>
      <c r="F633" s="221">
        <v>2006</v>
      </c>
    </row>
    <row r="634" spans="2:6">
      <c r="B634" s="254">
        <v>39059</v>
      </c>
      <c r="C634" s="221" t="s">
        <v>394</v>
      </c>
      <c r="D634" s="101">
        <v>33811</v>
      </c>
      <c r="E634" s="221" t="s">
        <v>210</v>
      </c>
      <c r="F634" s="221">
        <v>2006</v>
      </c>
    </row>
    <row r="635" spans="2:6">
      <c r="B635" s="254">
        <v>39480</v>
      </c>
      <c r="C635" s="221" t="s">
        <v>394</v>
      </c>
      <c r="D635" s="101">
        <v>19790</v>
      </c>
      <c r="E635" s="221" t="s">
        <v>211</v>
      </c>
      <c r="F635" s="221">
        <v>2008</v>
      </c>
    </row>
    <row r="636" spans="2:6">
      <c r="B636" s="254">
        <v>39396</v>
      </c>
      <c r="C636" s="221" t="s">
        <v>398</v>
      </c>
      <c r="D636" s="101">
        <v>27686</v>
      </c>
      <c r="E636" s="221" t="s">
        <v>213</v>
      </c>
      <c r="F636" s="221">
        <v>2007</v>
      </c>
    </row>
    <row r="637" spans="2:6">
      <c r="B637" s="254">
        <v>38735</v>
      </c>
      <c r="C637" s="221" t="s">
        <v>398</v>
      </c>
      <c r="D637" s="101">
        <v>18826</v>
      </c>
      <c r="E637" s="221" t="s">
        <v>211</v>
      </c>
      <c r="F637" s="221">
        <v>2006</v>
      </c>
    </row>
    <row r="638" spans="2:6">
      <c r="B638" s="254">
        <v>38762</v>
      </c>
      <c r="C638" s="221" t="s">
        <v>395</v>
      </c>
      <c r="D638" s="101">
        <v>16853</v>
      </c>
      <c r="E638" s="221" t="s">
        <v>211</v>
      </c>
      <c r="F638" s="221">
        <v>2006</v>
      </c>
    </row>
    <row r="639" spans="2:6">
      <c r="B639" s="254">
        <v>39239</v>
      </c>
      <c r="C639" s="221" t="s">
        <v>395</v>
      </c>
      <c r="D639" s="101">
        <v>27701</v>
      </c>
      <c r="E639" s="221" t="s">
        <v>213</v>
      </c>
      <c r="F639" s="221">
        <v>2007</v>
      </c>
    </row>
    <row r="640" spans="2:6">
      <c r="B640" s="254">
        <v>39416</v>
      </c>
      <c r="C640" s="221" t="s">
        <v>396</v>
      </c>
      <c r="D640" s="101">
        <v>37142</v>
      </c>
      <c r="E640" s="221" t="s">
        <v>210</v>
      </c>
      <c r="F640" s="221">
        <v>2007</v>
      </c>
    </row>
    <row r="641" spans="2:6">
      <c r="B641" s="254">
        <v>38833</v>
      </c>
      <c r="C641" s="221" t="s">
        <v>395</v>
      </c>
      <c r="D641" s="101">
        <v>37837</v>
      </c>
      <c r="E641" s="221" t="s">
        <v>211</v>
      </c>
      <c r="F641" s="221">
        <v>2006</v>
      </c>
    </row>
    <row r="642" spans="2:6">
      <c r="B642" s="254">
        <v>39206</v>
      </c>
      <c r="C642" s="221" t="s">
        <v>396</v>
      </c>
      <c r="D642" s="101">
        <v>35982</v>
      </c>
      <c r="E642" s="221" t="s">
        <v>212</v>
      </c>
      <c r="F642" s="221">
        <v>2007</v>
      </c>
    </row>
    <row r="643" spans="2:6">
      <c r="B643" s="254">
        <v>39207</v>
      </c>
      <c r="C643" s="221" t="s">
        <v>394</v>
      </c>
      <c r="D643" s="101">
        <v>18884</v>
      </c>
      <c r="E643" s="221" t="s">
        <v>213</v>
      </c>
      <c r="F643" s="221">
        <v>2007</v>
      </c>
    </row>
    <row r="644" spans="2:6">
      <c r="B644" s="254">
        <v>38837</v>
      </c>
      <c r="C644" s="221" t="s">
        <v>396</v>
      </c>
      <c r="D644" s="101">
        <v>27193</v>
      </c>
      <c r="E644" s="221" t="s">
        <v>211</v>
      </c>
      <c r="F644" s="221">
        <v>2006</v>
      </c>
    </row>
    <row r="645" spans="2:6">
      <c r="B645" s="254">
        <v>39530</v>
      </c>
      <c r="C645" s="221" t="s">
        <v>395</v>
      </c>
      <c r="D645" s="101">
        <v>6412</v>
      </c>
      <c r="E645" s="221" t="s">
        <v>213</v>
      </c>
      <c r="F645" s="221">
        <v>2008</v>
      </c>
    </row>
    <row r="646" spans="2:6">
      <c r="B646" s="254">
        <v>39155</v>
      </c>
      <c r="C646" s="221" t="s">
        <v>395</v>
      </c>
      <c r="D646" s="101">
        <v>36040</v>
      </c>
      <c r="E646" s="221" t="s">
        <v>213</v>
      </c>
      <c r="F646" s="221">
        <v>2007</v>
      </c>
    </row>
    <row r="647" spans="2:6">
      <c r="B647" s="254">
        <v>38991</v>
      </c>
      <c r="C647" s="221" t="s">
        <v>396</v>
      </c>
      <c r="D647" s="101">
        <v>5997</v>
      </c>
      <c r="E647" s="221" t="s">
        <v>211</v>
      </c>
      <c r="F647" s="221">
        <v>2006</v>
      </c>
    </row>
    <row r="648" spans="2:6">
      <c r="B648" s="254">
        <v>38911</v>
      </c>
      <c r="C648" s="221" t="s">
        <v>395</v>
      </c>
      <c r="D648" s="101">
        <v>21221</v>
      </c>
      <c r="E648" s="221" t="s">
        <v>210</v>
      </c>
      <c r="F648" s="221">
        <v>2006</v>
      </c>
    </row>
    <row r="649" spans="2:6">
      <c r="B649" s="254">
        <v>39577</v>
      </c>
      <c r="C649" s="221" t="s">
        <v>398</v>
      </c>
      <c r="D649" s="101">
        <v>25026</v>
      </c>
      <c r="E649" s="221" t="s">
        <v>210</v>
      </c>
      <c r="F649" s="221">
        <v>2008</v>
      </c>
    </row>
    <row r="650" spans="2:6">
      <c r="B650" s="254">
        <v>38737</v>
      </c>
      <c r="C650" s="221" t="s">
        <v>398</v>
      </c>
      <c r="D650" s="101">
        <v>19551</v>
      </c>
      <c r="E650" s="221" t="s">
        <v>211</v>
      </c>
      <c r="F650" s="221">
        <v>2006</v>
      </c>
    </row>
    <row r="651" spans="2:6">
      <c r="B651" s="254">
        <v>38748</v>
      </c>
      <c r="C651" s="221" t="s">
        <v>396</v>
      </c>
      <c r="D651" s="101">
        <v>27893</v>
      </c>
      <c r="E651" s="221" t="s">
        <v>213</v>
      </c>
      <c r="F651" s="221">
        <v>2006</v>
      </c>
    </row>
    <row r="652" spans="2:6">
      <c r="B652" s="254">
        <v>38957</v>
      </c>
      <c r="C652" s="221" t="s">
        <v>396</v>
      </c>
      <c r="D652" s="101">
        <v>23715</v>
      </c>
      <c r="E652" s="221" t="s">
        <v>213</v>
      </c>
      <c r="F652" s="221">
        <v>2006</v>
      </c>
    </row>
    <row r="653" spans="2:6">
      <c r="B653" s="254">
        <v>39423</v>
      </c>
      <c r="C653" s="221" t="s">
        <v>396</v>
      </c>
      <c r="D653" s="101">
        <v>31411</v>
      </c>
      <c r="E653" s="221" t="s">
        <v>210</v>
      </c>
      <c r="F653" s="221">
        <v>2007</v>
      </c>
    </row>
    <row r="654" spans="2:6">
      <c r="B654" s="254">
        <v>39485</v>
      </c>
      <c r="C654" s="221" t="s">
        <v>395</v>
      </c>
      <c r="D654" s="101">
        <v>12639</v>
      </c>
      <c r="E654" s="221" t="s">
        <v>210</v>
      </c>
      <c r="F654" s="221">
        <v>2008</v>
      </c>
    </row>
    <row r="655" spans="2:6">
      <c r="B655" s="254">
        <v>38932</v>
      </c>
      <c r="C655" s="221" t="s">
        <v>394</v>
      </c>
      <c r="D655" s="101">
        <v>38227</v>
      </c>
      <c r="E655" s="221" t="s">
        <v>210</v>
      </c>
      <c r="F655" s="221">
        <v>2006</v>
      </c>
    </row>
    <row r="656" spans="2:6">
      <c r="B656" s="254">
        <v>39292</v>
      </c>
      <c r="C656" s="221" t="s">
        <v>398</v>
      </c>
      <c r="D656" s="101">
        <v>19695</v>
      </c>
      <c r="E656" s="221" t="s">
        <v>210</v>
      </c>
      <c r="F656" s="221">
        <v>2007</v>
      </c>
    </row>
    <row r="657" spans="2:6">
      <c r="B657" s="254">
        <v>38780</v>
      </c>
      <c r="C657" s="221" t="s">
        <v>396</v>
      </c>
      <c r="D657" s="101">
        <v>13560</v>
      </c>
      <c r="E657" s="221" t="s">
        <v>210</v>
      </c>
      <c r="F657" s="221">
        <v>2006</v>
      </c>
    </row>
    <row r="658" spans="2:6">
      <c r="B658" s="254">
        <v>38964</v>
      </c>
      <c r="C658" s="221" t="s">
        <v>396</v>
      </c>
      <c r="D658" s="101">
        <v>8602</v>
      </c>
      <c r="E658" s="221" t="s">
        <v>212</v>
      </c>
      <c r="F658" s="221">
        <v>2006</v>
      </c>
    </row>
    <row r="659" spans="2:6">
      <c r="B659" s="254">
        <v>39483</v>
      </c>
      <c r="C659" s="221" t="s">
        <v>396</v>
      </c>
      <c r="D659" s="101">
        <v>16739</v>
      </c>
      <c r="E659" s="221" t="s">
        <v>213</v>
      </c>
      <c r="F659" s="221">
        <v>2008</v>
      </c>
    </row>
    <row r="660" spans="2:6">
      <c r="B660" s="254">
        <v>39282</v>
      </c>
      <c r="C660" s="221" t="s">
        <v>395</v>
      </c>
      <c r="D660" s="101">
        <v>35061</v>
      </c>
      <c r="E660" s="221" t="s">
        <v>211</v>
      </c>
      <c r="F660" s="221">
        <v>2007</v>
      </c>
    </row>
    <row r="661" spans="2:6">
      <c r="B661" s="254">
        <v>39457</v>
      </c>
      <c r="C661" s="221" t="s">
        <v>398</v>
      </c>
      <c r="D661" s="101">
        <v>21478</v>
      </c>
      <c r="E661" s="221" t="s">
        <v>212</v>
      </c>
      <c r="F661" s="221">
        <v>2008</v>
      </c>
    </row>
    <row r="662" spans="2:6">
      <c r="B662" s="254">
        <v>39403</v>
      </c>
      <c r="C662" s="221" t="s">
        <v>394</v>
      </c>
      <c r="D662" s="101">
        <v>8256</v>
      </c>
      <c r="E662" s="221" t="s">
        <v>210</v>
      </c>
      <c r="F662" s="221">
        <v>2007</v>
      </c>
    </row>
    <row r="663" spans="2:6">
      <c r="B663" s="254">
        <v>39121</v>
      </c>
      <c r="C663" s="221" t="s">
        <v>398</v>
      </c>
      <c r="D663" s="101">
        <v>39725</v>
      </c>
      <c r="E663" s="221" t="s">
        <v>212</v>
      </c>
      <c r="F663" s="221">
        <v>2007</v>
      </c>
    </row>
    <row r="664" spans="2:6">
      <c r="B664" s="254">
        <v>38829</v>
      </c>
      <c r="C664" s="221" t="s">
        <v>394</v>
      </c>
      <c r="D664" s="101">
        <v>20724</v>
      </c>
      <c r="E664" s="221" t="s">
        <v>210</v>
      </c>
      <c r="F664" s="221">
        <v>2006</v>
      </c>
    </row>
    <row r="665" spans="2:6">
      <c r="B665" s="254">
        <v>39445</v>
      </c>
      <c r="C665" s="221" t="s">
        <v>394</v>
      </c>
      <c r="D665" s="101">
        <v>34786</v>
      </c>
      <c r="E665" s="221" t="s">
        <v>211</v>
      </c>
      <c r="F665" s="221">
        <v>2007</v>
      </c>
    </row>
    <row r="666" spans="2:6">
      <c r="B666" s="254">
        <v>39584</v>
      </c>
      <c r="C666" s="221" t="s">
        <v>394</v>
      </c>
      <c r="D666" s="101">
        <v>21440</v>
      </c>
      <c r="E666" s="221" t="s">
        <v>211</v>
      </c>
      <c r="F666" s="221">
        <v>2008</v>
      </c>
    </row>
    <row r="667" spans="2:6">
      <c r="B667" s="254">
        <v>39197</v>
      </c>
      <c r="C667" s="221" t="s">
        <v>394</v>
      </c>
      <c r="D667" s="101">
        <v>37249</v>
      </c>
      <c r="E667" s="221" t="s">
        <v>210</v>
      </c>
      <c r="F667" s="221">
        <v>2007</v>
      </c>
    </row>
    <row r="668" spans="2:6">
      <c r="B668" s="254">
        <v>38724</v>
      </c>
      <c r="C668" s="221" t="s">
        <v>398</v>
      </c>
      <c r="D668" s="101">
        <v>33145</v>
      </c>
      <c r="E668" s="221" t="s">
        <v>212</v>
      </c>
      <c r="F668" s="221">
        <v>2006</v>
      </c>
    </row>
    <row r="669" spans="2:6">
      <c r="B669" s="254">
        <v>39290</v>
      </c>
      <c r="C669" s="221" t="s">
        <v>395</v>
      </c>
      <c r="D669" s="101">
        <v>27857</v>
      </c>
      <c r="E669" s="221" t="s">
        <v>213</v>
      </c>
      <c r="F669" s="221">
        <v>2007</v>
      </c>
    </row>
    <row r="670" spans="2:6">
      <c r="B670" s="254">
        <v>39356</v>
      </c>
      <c r="C670" s="221" t="s">
        <v>395</v>
      </c>
      <c r="D670" s="101">
        <v>29253</v>
      </c>
      <c r="E670" s="221" t="s">
        <v>212</v>
      </c>
      <c r="F670" s="221">
        <v>2007</v>
      </c>
    </row>
    <row r="671" spans="2:6">
      <c r="B671" s="254">
        <v>39403</v>
      </c>
      <c r="C671" s="221" t="s">
        <v>395</v>
      </c>
      <c r="D671" s="101">
        <v>15216</v>
      </c>
      <c r="E671" s="221" t="s">
        <v>210</v>
      </c>
      <c r="F671" s="221">
        <v>2007</v>
      </c>
    </row>
    <row r="672" spans="2:6">
      <c r="B672" s="254">
        <v>39558</v>
      </c>
      <c r="C672" s="221" t="s">
        <v>395</v>
      </c>
      <c r="D672" s="101">
        <v>18310</v>
      </c>
      <c r="E672" s="221" t="s">
        <v>210</v>
      </c>
      <c r="F672" s="221">
        <v>2008</v>
      </c>
    </row>
    <row r="673" spans="2:6">
      <c r="B673" s="254">
        <v>39538</v>
      </c>
      <c r="C673" s="221" t="s">
        <v>395</v>
      </c>
      <c r="D673" s="101">
        <v>30616</v>
      </c>
      <c r="E673" s="221" t="s">
        <v>213</v>
      </c>
      <c r="F673" s="221">
        <v>2008</v>
      </c>
    </row>
    <row r="674" spans="2:6">
      <c r="B674" s="254">
        <v>39571</v>
      </c>
      <c r="C674" s="221" t="s">
        <v>396</v>
      </c>
      <c r="D674" s="101">
        <v>32886</v>
      </c>
      <c r="E674" s="221" t="s">
        <v>211</v>
      </c>
      <c r="F674" s="221">
        <v>2008</v>
      </c>
    </row>
    <row r="675" spans="2:6">
      <c r="B675" s="254">
        <v>38819</v>
      </c>
      <c r="C675" s="221" t="s">
        <v>394</v>
      </c>
      <c r="D675" s="101">
        <v>19631</v>
      </c>
      <c r="E675" s="221" t="s">
        <v>212</v>
      </c>
      <c r="F675" s="221">
        <v>2006</v>
      </c>
    </row>
    <row r="676" spans="2:6">
      <c r="B676" s="254">
        <v>39386</v>
      </c>
      <c r="C676" s="221" t="s">
        <v>396</v>
      </c>
      <c r="D676" s="101">
        <v>15385</v>
      </c>
      <c r="E676" s="221" t="s">
        <v>211</v>
      </c>
      <c r="F676" s="221">
        <v>2007</v>
      </c>
    </row>
    <row r="677" spans="2:6">
      <c r="B677" s="254">
        <v>39340</v>
      </c>
      <c r="C677" s="221" t="s">
        <v>395</v>
      </c>
      <c r="D677" s="101">
        <v>6009</v>
      </c>
      <c r="E677" s="221" t="s">
        <v>211</v>
      </c>
      <c r="F677" s="221">
        <v>2007</v>
      </c>
    </row>
    <row r="678" spans="2:6">
      <c r="B678" s="254">
        <v>38743</v>
      </c>
      <c r="C678" s="221" t="s">
        <v>398</v>
      </c>
      <c r="D678" s="101">
        <v>27916</v>
      </c>
      <c r="E678" s="221" t="s">
        <v>211</v>
      </c>
      <c r="F678" s="221">
        <v>2006</v>
      </c>
    </row>
    <row r="679" spans="2:6">
      <c r="B679" s="254">
        <v>38889</v>
      </c>
      <c r="C679" s="221" t="s">
        <v>398</v>
      </c>
      <c r="D679" s="101">
        <v>25262</v>
      </c>
      <c r="E679" s="221" t="s">
        <v>210</v>
      </c>
      <c r="F679" s="221">
        <v>2006</v>
      </c>
    </row>
    <row r="680" spans="2:6">
      <c r="B680" s="254">
        <v>39562</v>
      </c>
      <c r="C680" s="221" t="s">
        <v>394</v>
      </c>
      <c r="D680" s="101">
        <v>21990</v>
      </c>
      <c r="E680" s="221" t="s">
        <v>210</v>
      </c>
      <c r="F680" s="221">
        <v>2008</v>
      </c>
    </row>
    <row r="681" spans="2:6">
      <c r="B681" s="254">
        <v>39473</v>
      </c>
      <c r="C681" s="221" t="s">
        <v>394</v>
      </c>
      <c r="D681" s="101">
        <v>8838</v>
      </c>
      <c r="E681" s="221" t="s">
        <v>210</v>
      </c>
      <c r="F681" s="221">
        <v>2008</v>
      </c>
    </row>
    <row r="682" spans="2:6">
      <c r="B682" s="254">
        <v>38895</v>
      </c>
      <c r="C682" s="221" t="s">
        <v>396</v>
      </c>
      <c r="D682" s="101">
        <v>25118</v>
      </c>
      <c r="E682" s="221" t="s">
        <v>211</v>
      </c>
      <c r="F682" s="221">
        <v>2006</v>
      </c>
    </row>
    <row r="683" spans="2:6">
      <c r="B683" s="254">
        <v>39199</v>
      </c>
      <c r="C683" s="221" t="s">
        <v>395</v>
      </c>
      <c r="D683" s="101">
        <v>31501</v>
      </c>
      <c r="E683" s="221" t="s">
        <v>210</v>
      </c>
      <c r="F683" s="221">
        <v>2007</v>
      </c>
    </row>
    <row r="684" spans="2:6">
      <c r="B684" s="254">
        <v>38925</v>
      </c>
      <c r="C684" s="221" t="s">
        <v>394</v>
      </c>
      <c r="D684" s="101">
        <v>21904</v>
      </c>
      <c r="E684" s="221" t="s">
        <v>213</v>
      </c>
      <c r="F684" s="221">
        <v>2006</v>
      </c>
    </row>
    <row r="685" spans="2:6">
      <c r="B685" s="254">
        <v>39469</v>
      </c>
      <c r="C685" s="221" t="s">
        <v>396</v>
      </c>
      <c r="D685" s="101">
        <v>10519</v>
      </c>
      <c r="E685" s="221" t="s">
        <v>211</v>
      </c>
      <c r="F685" s="221">
        <v>2008</v>
      </c>
    </row>
    <row r="686" spans="2:6">
      <c r="B686" s="254">
        <v>39198</v>
      </c>
      <c r="C686" s="221" t="s">
        <v>395</v>
      </c>
      <c r="D686" s="101">
        <v>24066</v>
      </c>
      <c r="E686" s="221" t="s">
        <v>210</v>
      </c>
      <c r="F686" s="221">
        <v>2007</v>
      </c>
    </row>
    <row r="687" spans="2:6">
      <c r="B687" s="254">
        <v>39010</v>
      </c>
      <c r="C687" s="221" t="s">
        <v>396</v>
      </c>
      <c r="D687" s="101">
        <v>5939</v>
      </c>
      <c r="E687" s="221" t="s">
        <v>213</v>
      </c>
      <c r="F687" s="221">
        <v>2006</v>
      </c>
    </row>
    <row r="688" spans="2:6">
      <c r="B688" s="254">
        <v>39156</v>
      </c>
      <c r="C688" s="221" t="s">
        <v>396</v>
      </c>
      <c r="D688" s="101">
        <v>31180</v>
      </c>
      <c r="E688" s="221" t="s">
        <v>210</v>
      </c>
      <c r="F688" s="221">
        <v>2007</v>
      </c>
    </row>
    <row r="689" spans="2:6">
      <c r="B689" s="254">
        <v>39038</v>
      </c>
      <c r="C689" s="221" t="s">
        <v>396</v>
      </c>
      <c r="D689" s="101">
        <v>37491</v>
      </c>
      <c r="E689" s="221" t="s">
        <v>211</v>
      </c>
      <c r="F689" s="221">
        <v>2006</v>
      </c>
    </row>
    <row r="690" spans="2:6">
      <c r="B690" s="254">
        <v>38829</v>
      </c>
      <c r="C690" s="221" t="s">
        <v>394</v>
      </c>
      <c r="D690" s="101">
        <v>34999</v>
      </c>
      <c r="E690" s="221" t="s">
        <v>211</v>
      </c>
      <c r="F690" s="221">
        <v>2006</v>
      </c>
    </row>
    <row r="691" spans="2:6">
      <c r="B691" s="254">
        <v>39042</v>
      </c>
      <c r="C691" s="221" t="s">
        <v>395</v>
      </c>
      <c r="D691" s="101">
        <v>29874</v>
      </c>
      <c r="E691" s="221" t="s">
        <v>211</v>
      </c>
      <c r="F691" s="221">
        <v>2006</v>
      </c>
    </row>
    <row r="692" spans="2:6">
      <c r="B692" s="254">
        <v>39557</v>
      </c>
      <c r="C692" s="221" t="s">
        <v>398</v>
      </c>
      <c r="D692" s="101">
        <v>8618</v>
      </c>
      <c r="E692" s="221" t="s">
        <v>210</v>
      </c>
      <c r="F692" s="221">
        <v>2008</v>
      </c>
    </row>
    <row r="693" spans="2:6">
      <c r="B693" s="254">
        <v>39446</v>
      </c>
      <c r="C693" s="221" t="s">
        <v>398</v>
      </c>
      <c r="D693" s="101">
        <v>12684</v>
      </c>
      <c r="E693" s="221" t="s">
        <v>211</v>
      </c>
      <c r="F693" s="221">
        <v>2007</v>
      </c>
    </row>
    <row r="694" spans="2:6">
      <c r="B694" s="254">
        <v>38746</v>
      </c>
      <c r="C694" s="221" t="s">
        <v>398</v>
      </c>
      <c r="D694" s="101">
        <v>22831</v>
      </c>
      <c r="E694" s="221" t="s">
        <v>211</v>
      </c>
      <c r="F694" s="221">
        <v>2006</v>
      </c>
    </row>
    <row r="695" spans="2:6">
      <c r="B695" s="254">
        <v>39289</v>
      </c>
      <c r="C695" s="221" t="s">
        <v>396</v>
      </c>
      <c r="D695" s="101">
        <v>30420</v>
      </c>
      <c r="E695" s="221" t="s">
        <v>212</v>
      </c>
      <c r="F695" s="221">
        <v>2007</v>
      </c>
    </row>
    <row r="696" spans="2:6">
      <c r="B696" s="254">
        <v>39180</v>
      </c>
      <c r="C696" s="221" t="s">
        <v>395</v>
      </c>
      <c r="D696" s="101">
        <v>27978</v>
      </c>
      <c r="E696" s="221" t="s">
        <v>213</v>
      </c>
      <c r="F696" s="221">
        <v>2007</v>
      </c>
    </row>
    <row r="697" spans="2:6">
      <c r="B697" s="254">
        <v>39582</v>
      </c>
      <c r="C697" s="221" t="s">
        <v>394</v>
      </c>
      <c r="D697" s="101">
        <v>21863</v>
      </c>
      <c r="E697" s="221" t="s">
        <v>210</v>
      </c>
      <c r="F697" s="221">
        <v>2008</v>
      </c>
    </row>
    <row r="698" spans="2:6">
      <c r="B698" s="254">
        <v>39008</v>
      </c>
      <c r="C698" s="221" t="s">
        <v>395</v>
      </c>
      <c r="D698" s="101">
        <v>37257</v>
      </c>
      <c r="E698" s="221" t="s">
        <v>213</v>
      </c>
      <c r="F698" s="221">
        <v>2006</v>
      </c>
    </row>
    <row r="699" spans="2:6">
      <c r="B699" s="254">
        <v>38938</v>
      </c>
      <c r="C699" s="221" t="s">
        <v>394</v>
      </c>
      <c r="D699" s="101">
        <v>18907</v>
      </c>
      <c r="E699" s="221" t="s">
        <v>213</v>
      </c>
      <c r="F699" s="221">
        <v>2006</v>
      </c>
    </row>
    <row r="700" spans="2:6">
      <c r="B700" s="254">
        <v>39014</v>
      </c>
      <c r="C700" s="221" t="s">
        <v>394</v>
      </c>
      <c r="D700" s="101">
        <v>13624</v>
      </c>
      <c r="E700" s="221" t="s">
        <v>210</v>
      </c>
      <c r="F700" s="221">
        <v>2006</v>
      </c>
    </row>
    <row r="701" spans="2:6">
      <c r="B701" s="254">
        <v>38910</v>
      </c>
      <c r="C701" s="221" t="s">
        <v>395</v>
      </c>
      <c r="D701" s="101">
        <v>10795</v>
      </c>
      <c r="E701" s="221" t="s">
        <v>213</v>
      </c>
      <c r="F701" s="221">
        <v>2006</v>
      </c>
    </row>
    <row r="702" spans="2:6">
      <c r="B702" s="254">
        <v>39371</v>
      </c>
      <c r="C702" s="221" t="s">
        <v>396</v>
      </c>
      <c r="D702" s="101">
        <v>13351</v>
      </c>
      <c r="E702" s="221" t="s">
        <v>210</v>
      </c>
      <c r="F702" s="221">
        <v>2007</v>
      </c>
    </row>
    <row r="703" spans="2:6">
      <c r="B703" s="254">
        <v>38997</v>
      </c>
      <c r="C703" s="221" t="s">
        <v>396</v>
      </c>
      <c r="D703" s="101">
        <v>31037</v>
      </c>
      <c r="E703" s="221" t="s">
        <v>211</v>
      </c>
      <c r="F703" s="221">
        <v>2006</v>
      </c>
    </row>
    <row r="704" spans="2:6">
      <c r="B704" s="254">
        <v>39395</v>
      </c>
      <c r="C704" s="221" t="s">
        <v>398</v>
      </c>
      <c r="D704" s="101">
        <v>7835</v>
      </c>
      <c r="E704" s="221" t="s">
        <v>212</v>
      </c>
      <c r="F704" s="221">
        <v>2007</v>
      </c>
    </row>
    <row r="705" spans="2:6">
      <c r="B705" s="254">
        <v>38912</v>
      </c>
      <c r="C705" s="221" t="s">
        <v>395</v>
      </c>
      <c r="D705" s="101">
        <v>22615</v>
      </c>
      <c r="E705" s="221" t="s">
        <v>211</v>
      </c>
      <c r="F705" s="221">
        <v>2006</v>
      </c>
    </row>
    <row r="706" spans="2:6">
      <c r="B706" s="254">
        <v>39508</v>
      </c>
      <c r="C706" s="221" t="s">
        <v>395</v>
      </c>
      <c r="D706" s="101">
        <v>8267</v>
      </c>
      <c r="E706" s="221" t="s">
        <v>211</v>
      </c>
      <c r="F706" s="221">
        <v>2008</v>
      </c>
    </row>
    <row r="707" spans="2:6">
      <c r="B707" s="254">
        <v>39090</v>
      </c>
      <c r="C707" s="221" t="s">
        <v>395</v>
      </c>
      <c r="D707" s="101">
        <v>27162</v>
      </c>
      <c r="E707" s="221" t="s">
        <v>210</v>
      </c>
      <c r="F707" s="221">
        <v>2007</v>
      </c>
    </row>
    <row r="708" spans="2:6">
      <c r="B708" s="254">
        <v>39169</v>
      </c>
      <c r="C708" s="221" t="s">
        <v>394</v>
      </c>
      <c r="D708" s="101">
        <v>31177</v>
      </c>
      <c r="E708" s="221" t="s">
        <v>210</v>
      </c>
      <c r="F708" s="221">
        <v>2007</v>
      </c>
    </row>
    <row r="709" spans="2:6">
      <c r="B709" s="254">
        <v>38922</v>
      </c>
      <c r="C709" s="221" t="s">
        <v>395</v>
      </c>
      <c r="D709" s="101">
        <v>6181</v>
      </c>
      <c r="E709" s="221" t="s">
        <v>213</v>
      </c>
      <c r="F709" s="221">
        <v>2006</v>
      </c>
    </row>
    <row r="710" spans="2:6">
      <c r="B710" s="254">
        <v>39473</v>
      </c>
      <c r="C710" s="221" t="s">
        <v>395</v>
      </c>
      <c r="D710" s="101">
        <v>14112</v>
      </c>
      <c r="E710" s="221" t="s">
        <v>213</v>
      </c>
      <c r="F710" s="221">
        <v>2008</v>
      </c>
    </row>
    <row r="711" spans="2:6">
      <c r="B711" s="254">
        <v>39542</v>
      </c>
      <c r="C711" s="221" t="s">
        <v>396</v>
      </c>
      <c r="D711" s="101">
        <v>21783</v>
      </c>
      <c r="E711" s="221" t="s">
        <v>211</v>
      </c>
      <c r="F711" s="221">
        <v>2008</v>
      </c>
    </row>
    <row r="712" spans="2:6">
      <c r="B712" s="254">
        <v>39353</v>
      </c>
      <c r="C712" s="221" t="s">
        <v>398</v>
      </c>
      <c r="D712" s="101">
        <v>25344</v>
      </c>
      <c r="E712" s="221" t="s">
        <v>211</v>
      </c>
      <c r="F712" s="221">
        <v>2007</v>
      </c>
    </row>
    <row r="713" spans="2:6">
      <c r="B713" s="254">
        <v>39546</v>
      </c>
      <c r="C713" s="221" t="s">
        <v>398</v>
      </c>
      <c r="D713" s="101">
        <v>16521</v>
      </c>
      <c r="E713" s="221" t="s">
        <v>210</v>
      </c>
      <c r="F713" s="221">
        <v>2008</v>
      </c>
    </row>
    <row r="714" spans="2:6">
      <c r="B714" s="254">
        <v>38756</v>
      </c>
      <c r="C714" s="221" t="s">
        <v>395</v>
      </c>
      <c r="D714" s="101">
        <v>38337</v>
      </c>
      <c r="E714" s="221" t="s">
        <v>210</v>
      </c>
      <c r="F714" s="221">
        <v>2006</v>
      </c>
    </row>
    <row r="715" spans="2:6">
      <c r="B715" s="254">
        <v>39330</v>
      </c>
      <c r="C715" s="221" t="s">
        <v>394</v>
      </c>
      <c r="D715" s="101">
        <v>15775</v>
      </c>
      <c r="E715" s="221" t="s">
        <v>212</v>
      </c>
      <c r="F715" s="221">
        <v>2007</v>
      </c>
    </row>
    <row r="716" spans="2:6">
      <c r="B716" s="254">
        <v>38732</v>
      </c>
      <c r="C716" s="221" t="s">
        <v>395</v>
      </c>
      <c r="D716" s="101">
        <v>27301</v>
      </c>
      <c r="E716" s="221" t="s">
        <v>211</v>
      </c>
      <c r="F716" s="221">
        <v>2006</v>
      </c>
    </row>
    <row r="717" spans="2:6">
      <c r="B717" s="254">
        <v>39611</v>
      </c>
      <c r="C717" s="221" t="s">
        <v>396</v>
      </c>
      <c r="D717" s="101">
        <v>28944</v>
      </c>
      <c r="E717" s="221" t="s">
        <v>212</v>
      </c>
      <c r="F717" s="221">
        <v>2008</v>
      </c>
    </row>
    <row r="718" spans="2:6">
      <c r="B718" s="254">
        <v>39375</v>
      </c>
      <c r="C718" s="221" t="s">
        <v>394</v>
      </c>
      <c r="D718" s="101">
        <v>30900</v>
      </c>
      <c r="E718" s="221" t="s">
        <v>210</v>
      </c>
      <c r="F718" s="221">
        <v>2007</v>
      </c>
    </row>
    <row r="719" spans="2:6">
      <c r="B719" s="254">
        <v>39562</v>
      </c>
      <c r="C719" s="221" t="s">
        <v>398</v>
      </c>
      <c r="D719" s="101">
        <v>23010</v>
      </c>
      <c r="E719" s="221" t="s">
        <v>212</v>
      </c>
      <c r="F719" s="221">
        <v>2008</v>
      </c>
    </row>
    <row r="720" spans="2:6">
      <c r="B720" s="254">
        <v>39110</v>
      </c>
      <c r="C720" s="221" t="s">
        <v>396</v>
      </c>
      <c r="D720" s="101">
        <v>26274</v>
      </c>
      <c r="E720" s="221" t="s">
        <v>213</v>
      </c>
      <c r="F720" s="221">
        <v>2007</v>
      </c>
    </row>
    <row r="721" spans="2:6">
      <c r="B721" s="254">
        <v>38885</v>
      </c>
      <c r="C721" s="221" t="s">
        <v>395</v>
      </c>
      <c r="D721" s="101">
        <v>6109</v>
      </c>
      <c r="E721" s="221" t="s">
        <v>210</v>
      </c>
      <c r="F721" s="221">
        <v>2006</v>
      </c>
    </row>
    <row r="722" spans="2:6">
      <c r="B722" s="254">
        <v>39161</v>
      </c>
      <c r="C722" s="221" t="s">
        <v>395</v>
      </c>
      <c r="D722" s="101">
        <v>26664</v>
      </c>
      <c r="E722" s="221" t="s">
        <v>212</v>
      </c>
      <c r="F722" s="221">
        <v>2007</v>
      </c>
    </row>
    <row r="723" spans="2:6">
      <c r="B723" s="254">
        <v>38870</v>
      </c>
      <c r="C723" s="221" t="s">
        <v>398</v>
      </c>
      <c r="D723" s="101">
        <v>16981</v>
      </c>
      <c r="E723" s="221" t="s">
        <v>210</v>
      </c>
      <c r="F723" s="221">
        <v>2006</v>
      </c>
    </row>
    <row r="724" spans="2:6">
      <c r="B724" s="254">
        <v>39382</v>
      </c>
      <c r="C724" s="221" t="s">
        <v>395</v>
      </c>
      <c r="D724" s="101">
        <v>26412</v>
      </c>
      <c r="E724" s="221" t="s">
        <v>212</v>
      </c>
      <c r="F724" s="221">
        <v>2007</v>
      </c>
    </row>
    <row r="725" spans="2:6">
      <c r="B725" s="254">
        <v>38831</v>
      </c>
      <c r="C725" s="221" t="s">
        <v>396</v>
      </c>
      <c r="D725" s="101">
        <v>8076</v>
      </c>
      <c r="E725" s="221" t="s">
        <v>212</v>
      </c>
      <c r="F725" s="221">
        <v>2006</v>
      </c>
    </row>
    <row r="726" spans="2:6">
      <c r="B726" s="254">
        <v>39005</v>
      </c>
      <c r="C726" s="221" t="s">
        <v>394</v>
      </c>
      <c r="D726" s="101">
        <v>29286</v>
      </c>
      <c r="E726" s="221" t="s">
        <v>211</v>
      </c>
      <c r="F726" s="221">
        <v>2006</v>
      </c>
    </row>
    <row r="727" spans="2:6">
      <c r="B727" s="254">
        <v>39376</v>
      </c>
      <c r="C727" s="221" t="s">
        <v>395</v>
      </c>
      <c r="D727" s="101">
        <v>33267</v>
      </c>
      <c r="E727" s="221" t="s">
        <v>212</v>
      </c>
      <c r="F727" s="221">
        <v>2007</v>
      </c>
    </row>
    <row r="728" spans="2:6">
      <c r="B728" s="254">
        <v>38980</v>
      </c>
      <c r="C728" s="221" t="s">
        <v>396</v>
      </c>
      <c r="D728" s="101">
        <v>11289</v>
      </c>
      <c r="E728" s="221" t="s">
        <v>213</v>
      </c>
      <c r="F728" s="221">
        <v>2006</v>
      </c>
    </row>
    <row r="729" spans="2:6">
      <c r="B729" s="254">
        <v>39515</v>
      </c>
      <c r="C729" s="221" t="s">
        <v>394</v>
      </c>
      <c r="D729" s="101">
        <v>9499</v>
      </c>
      <c r="E729" s="221" t="s">
        <v>210</v>
      </c>
      <c r="F729" s="221">
        <v>2008</v>
      </c>
    </row>
    <row r="730" spans="2:6">
      <c r="B730" s="254">
        <v>39489</v>
      </c>
      <c r="C730" s="221" t="s">
        <v>395</v>
      </c>
      <c r="D730" s="101">
        <v>21807</v>
      </c>
      <c r="E730" s="221" t="s">
        <v>212</v>
      </c>
      <c r="F730" s="221">
        <v>2008</v>
      </c>
    </row>
    <row r="731" spans="2:6">
      <c r="B731" s="254">
        <v>39490</v>
      </c>
      <c r="C731" s="221" t="s">
        <v>398</v>
      </c>
      <c r="D731" s="101">
        <v>13457</v>
      </c>
      <c r="E731" s="221" t="s">
        <v>211</v>
      </c>
      <c r="F731" s="221">
        <v>2008</v>
      </c>
    </row>
    <row r="732" spans="2:6">
      <c r="B732" s="254">
        <v>39569</v>
      </c>
      <c r="C732" s="221" t="s">
        <v>398</v>
      </c>
      <c r="D732" s="101">
        <v>16411</v>
      </c>
      <c r="E732" s="221" t="s">
        <v>213</v>
      </c>
      <c r="F732" s="221">
        <v>2008</v>
      </c>
    </row>
    <row r="733" spans="2:6">
      <c r="B733" s="254">
        <v>39584</v>
      </c>
      <c r="C733" s="221" t="s">
        <v>398</v>
      </c>
      <c r="D733" s="101">
        <v>32773</v>
      </c>
      <c r="E733" s="221" t="s">
        <v>212</v>
      </c>
      <c r="F733" s="221">
        <v>2008</v>
      </c>
    </row>
    <row r="734" spans="2:6">
      <c r="B734" s="254">
        <v>39598</v>
      </c>
      <c r="C734" s="221" t="s">
        <v>398</v>
      </c>
      <c r="D734" s="101">
        <v>18750</v>
      </c>
      <c r="E734" s="221" t="s">
        <v>212</v>
      </c>
      <c r="F734" s="221">
        <v>2008</v>
      </c>
    </row>
    <row r="735" spans="2:6">
      <c r="B735" s="254">
        <v>39577</v>
      </c>
      <c r="C735" s="221" t="s">
        <v>394</v>
      </c>
      <c r="D735" s="101">
        <v>7021</v>
      </c>
      <c r="E735" s="221" t="s">
        <v>211</v>
      </c>
      <c r="F735" s="221">
        <v>2008</v>
      </c>
    </row>
    <row r="736" spans="2:6">
      <c r="B736" s="254">
        <v>39458</v>
      </c>
      <c r="C736" s="221" t="s">
        <v>396</v>
      </c>
      <c r="D736" s="101">
        <v>24749</v>
      </c>
      <c r="E736" s="221" t="s">
        <v>210</v>
      </c>
      <c r="F736" s="221">
        <v>2008</v>
      </c>
    </row>
    <row r="737" spans="2:6">
      <c r="B737" s="254">
        <v>39103</v>
      </c>
      <c r="C737" s="221" t="s">
        <v>394</v>
      </c>
      <c r="D737" s="101">
        <v>13237</v>
      </c>
      <c r="E737" s="221" t="s">
        <v>213</v>
      </c>
      <c r="F737" s="221">
        <v>2007</v>
      </c>
    </row>
    <row r="738" spans="2:6">
      <c r="B738" s="254">
        <v>39533</v>
      </c>
      <c r="C738" s="221" t="s">
        <v>394</v>
      </c>
      <c r="D738" s="101">
        <v>14479</v>
      </c>
      <c r="E738" s="221" t="s">
        <v>213</v>
      </c>
      <c r="F738" s="221">
        <v>2008</v>
      </c>
    </row>
    <row r="739" spans="2:6">
      <c r="B739" s="254">
        <v>38938</v>
      </c>
      <c r="C739" s="221" t="s">
        <v>394</v>
      </c>
      <c r="D739" s="101">
        <v>37740</v>
      </c>
      <c r="E739" s="221" t="s">
        <v>211</v>
      </c>
      <c r="F739" s="221">
        <v>2006</v>
      </c>
    </row>
    <row r="740" spans="2:6">
      <c r="B740" s="254">
        <v>39116</v>
      </c>
      <c r="C740" s="221" t="s">
        <v>395</v>
      </c>
      <c r="D740" s="101">
        <v>20163</v>
      </c>
      <c r="E740" s="221" t="s">
        <v>212</v>
      </c>
      <c r="F740" s="221">
        <v>2007</v>
      </c>
    </row>
    <row r="741" spans="2:6">
      <c r="B741" s="254">
        <v>38764</v>
      </c>
      <c r="C741" s="221" t="s">
        <v>396</v>
      </c>
      <c r="D741" s="101">
        <v>5436</v>
      </c>
      <c r="E741" s="221" t="s">
        <v>213</v>
      </c>
      <c r="F741" s="221">
        <v>2006</v>
      </c>
    </row>
    <row r="742" spans="2:6">
      <c r="B742" s="254">
        <v>38841</v>
      </c>
      <c r="C742" s="221" t="s">
        <v>395</v>
      </c>
      <c r="D742" s="101">
        <v>21722</v>
      </c>
      <c r="E742" s="221" t="s">
        <v>210</v>
      </c>
      <c r="F742" s="221">
        <v>2006</v>
      </c>
    </row>
    <row r="743" spans="2:6">
      <c r="B743" s="254">
        <v>39017</v>
      </c>
      <c r="C743" s="221" t="s">
        <v>395</v>
      </c>
      <c r="D743" s="101">
        <v>16666</v>
      </c>
      <c r="E743" s="221" t="s">
        <v>210</v>
      </c>
      <c r="F743" s="221">
        <v>2006</v>
      </c>
    </row>
    <row r="744" spans="2:6">
      <c r="B744" s="254">
        <v>39227</v>
      </c>
      <c r="C744" s="221" t="s">
        <v>394</v>
      </c>
      <c r="D744" s="101">
        <v>20076</v>
      </c>
      <c r="E744" s="221" t="s">
        <v>210</v>
      </c>
      <c r="F744" s="221">
        <v>2007</v>
      </c>
    </row>
    <row r="745" spans="2:6">
      <c r="B745" s="254">
        <v>39519</v>
      </c>
      <c r="C745" s="221" t="s">
        <v>395</v>
      </c>
      <c r="D745" s="101">
        <v>17054</v>
      </c>
      <c r="E745" s="221" t="s">
        <v>210</v>
      </c>
      <c r="F745" s="221">
        <v>2008</v>
      </c>
    </row>
    <row r="746" spans="2:6">
      <c r="B746" s="254">
        <v>38867</v>
      </c>
      <c r="C746" s="221" t="s">
        <v>398</v>
      </c>
      <c r="D746" s="101">
        <v>26881</v>
      </c>
      <c r="E746" s="221" t="s">
        <v>210</v>
      </c>
      <c r="F746" s="221">
        <v>2006</v>
      </c>
    </row>
    <row r="747" spans="2:6">
      <c r="B747" s="254">
        <v>39032</v>
      </c>
      <c r="C747" s="221" t="s">
        <v>394</v>
      </c>
      <c r="D747" s="101">
        <v>31890</v>
      </c>
      <c r="E747" s="221" t="s">
        <v>213</v>
      </c>
      <c r="F747" s="221">
        <v>2006</v>
      </c>
    </row>
    <row r="748" spans="2:6">
      <c r="B748" s="254">
        <v>38793</v>
      </c>
      <c r="C748" s="221" t="s">
        <v>395</v>
      </c>
      <c r="D748" s="101">
        <v>24997</v>
      </c>
      <c r="E748" s="221" t="s">
        <v>210</v>
      </c>
      <c r="F748" s="221">
        <v>2006</v>
      </c>
    </row>
    <row r="749" spans="2:6">
      <c r="B749" s="254">
        <v>39007</v>
      </c>
      <c r="C749" s="221" t="s">
        <v>394</v>
      </c>
      <c r="D749" s="101">
        <v>7401</v>
      </c>
      <c r="E749" s="221" t="s">
        <v>213</v>
      </c>
      <c r="F749" s="221">
        <v>2006</v>
      </c>
    </row>
    <row r="750" spans="2:6">
      <c r="B750" s="254">
        <v>39286</v>
      </c>
      <c r="C750" s="221" t="s">
        <v>396</v>
      </c>
      <c r="D750" s="101">
        <v>39125</v>
      </c>
      <c r="E750" s="221" t="s">
        <v>210</v>
      </c>
      <c r="F750" s="221">
        <v>2007</v>
      </c>
    </row>
    <row r="751" spans="2:6">
      <c r="B751" s="254">
        <v>38786</v>
      </c>
      <c r="C751" s="221" t="s">
        <v>396</v>
      </c>
      <c r="D751" s="101">
        <v>26323</v>
      </c>
      <c r="E751" s="221" t="s">
        <v>210</v>
      </c>
      <c r="F751" s="221">
        <v>2006</v>
      </c>
    </row>
    <row r="752" spans="2:6">
      <c r="B752" s="254">
        <v>38899</v>
      </c>
      <c r="C752" s="221" t="s">
        <v>395</v>
      </c>
      <c r="D752" s="101">
        <v>34538</v>
      </c>
      <c r="E752" s="221" t="s">
        <v>212</v>
      </c>
      <c r="F752" s="221">
        <v>2006</v>
      </c>
    </row>
    <row r="753" spans="2:6">
      <c r="B753" s="254">
        <v>39186</v>
      </c>
      <c r="C753" s="221" t="s">
        <v>395</v>
      </c>
      <c r="D753" s="101">
        <v>32366</v>
      </c>
      <c r="E753" s="221" t="s">
        <v>212</v>
      </c>
      <c r="F753" s="221">
        <v>2007</v>
      </c>
    </row>
    <row r="754" spans="2:6">
      <c r="B754" s="254">
        <v>38998</v>
      </c>
      <c r="C754" s="221" t="s">
        <v>398</v>
      </c>
      <c r="D754" s="101">
        <v>32509</v>
      </c>
      <c r="E754" s="221" t="s">
        <v>212</v>
      </c>
      <c r="F754" s="221">
        <v>2006</v>
      </c>
    </row>
    <row r="755" spans="2:6">
      <c r="B755" s="254">
        <v>39163</v>
      </c>
      <c r="C755" s="221" t="s">
        <v>398</v>
      </c>
      <c r="D755" s="101">
        <v>34167</v>
      </c>
      <c r="E755" s="221" t="s">
        <v>210</v>
      </c>
      <c r="F755" s="221">
        <v>2007</v>
      </c>
    </row>
    <row r="756" spans="2:6">
      <c r="B756" s="254">
        <v>38794</v>
      </c>
      <c r="C756" s="221" t="s">
        <v>394</v>
      </c>
      <c r="D756" s="101">
        <v>36734</v>
      </c>
      <c r="E756" s="221" t="s">
        <v>212</v>
      </c>
      <c r="F756" s="221">
        <v>2006</v>
      </c>
    </row>
    <row r="757" spans="2:6">
      <c r="B757" s="254">
        <v>39123</v>
      </c>
      <c r="C757" s="221" t="s">
        <v>398</v>
      </c>
      <c r="D757" s="101">
        <v>10704</v>
      </c>
      <c r="E757" s="221" t="s">
        <v>211</v>
      </c>
      <c r="F757" s="221">
        <v>2007</v>
      </c>
    </row>
    <row r="758" spans="2:6">
      <c r="B758" s="254">
        <v>38734</v>
      </c>
      <c r="C758" s="221" t="s">
        <v>394</v>
      </c>
      <c r="D758" s="101">
        <v>26446</v>
      </c>
      <c r="E758" s="221" t="s">
        <v>211</v>
      </c>
      <c r="F758" s="221">
        <v>2006</v>
      </c>
    </row>
    <row r="759" spans="2:6">
      <c r="B759" s="254">
        <v>39456</v>
      </c>
      <c r="C759" s="221" t="s">
        <v>394</v>
      </c>
      <c r="D759" s="101">
        <v>22994</v>
      </c>
      <c r="E759" s="221" t="s">
        <v>213</v>
      </c>
      <c r="F759" s="221">
        <v>2008</v>
      </c>
    </row>
    <row r="760" spans="2:6">
      <c r="B760" s="254">
        <v>39134</v>
      </c>
      <c r="C760" s="221" t="s">
        <v>398</v>
      </c>
      <c r="D760" s="101">
        <v>27370</v>
      </c>
      <c r="E760" s="221" t="s">
        <v>213</v>
      </c>
      <c r="F760" s="221">
        <v>2007</v>
      </c>
    </row>
    <row r="761" spans="2:6">
      <c r="B761" s="254">
        <v>39333</v>
      </c>
      <c r="C761" s="221" t="s">
        <v>395</v>
      </c>
      <c r="D761" s="101">
        <v>15230</v>
      </c>
      <c r="E761" s="221" t="s">
        <v>211</v>
      </c>
      <c r="F761" s="221">
        <v>2007</v>
      </c>
    </row>
    <row r="762" spans="2:6">
      <c r="B762" s="254">
        <v>38970</v>
      </c>
      <c r="C762" s="221" t="s">
        <v>398</v>
      </c>
      <c r="D762" s="101">
        <v>21169</v>
      </c>
      <c r="E762" s="221" t="s">
        <v>213</v>
      </c>
      <c r="F762" s="221">
        <v>2006</v>
      </c>
    </row>
    <row r="763" spans="2:6">
      <c r="B763" s="254">
        <v>39123</v>
      </c>
      <c r="C763" s="221" t="s">
        <v>398</v>
      </c>
      <c r="D763" s="101">
        <v>38636</v>
      </c>
      <c r="E763" s="221" t="s">
        <v>212</v>
      </c>
      <c r="F763" s="221">
        <v>2007</v>
      </c>
    </row>
    <row r="764" spans="2:6">
      <c r="B764" s="254">
        <v>39081</v>
      </c>
      <c r="C764" s="221" t="s">
        <v>398</v>
      </c>
      <c r="D764" s="101">
        <v>11113</v>
      </c>
      <c r="E764" s="221" t="s">
        <v>210</v>
      </c>
      <c r="F764" s="221">
        <v>2006</v>
      </c>
    </row>
    <row r="765" spans="2:6">
      <c r="B765" s="254">
        <v>39424</v>
      </c>
      <c r="C765" s="221" t="s">
        <v>395</v>
      </c>
      <c r="D765" s="101">
        <v>20507</v>
      </c>
      <c r="E765" s="221" t="s">
        <v>213</v>
      </c>
      <c r="F765" s="221">
        <v>2007</v>
      </c>
    </row>
    <row r="766" spans="2:6">
      <c r="B766" s="254">
        <v>38843</v>
      </c>
      <c r="C766" s="221" t="s">
        <v>395</v>
      </c>
      <c r="D766" s="101">
        <v>19021</v>
      </c>
      <c r="E766" s="221" t="s">
        <v>213</v>
      </c>
      <c r="F766" s="221">
        <v>2006</v>
      </c>
    </row>
    <row r="767" spans="2:6">
      <c r="B767" s="254">
        <v>38843</v>
      </c>
      <c r="C767" s="221" t="s">
        <v>398</v>
      </c>
      <c r="D767" s="101">
        <v>9205</v>
      </c>
      <c r="E767" s="221" t="s">
        <v>210</v>
      </c>
      <c r="F767" s="221">
        <v>2006</v>
      </c>
    </row>
    <row r="768" spans="2:6">
      <c r="B768" s="254">
        <v>38787</v>
      </c>
      <c r="C768" s="221" t="s">
        <v>394</v>
      </c>
      <c r="D768" s="101">
        <v>18110</v>
      </c>
      <c r="E768" s="221" t="s">
        <v>212</v>
      </c>
      <c r="F768" s="221">
        <v>2006</v>
      </c>
    </row>
    <row r="769" spans="2:6">
      <c r="B769" s="254">
        <v>39584</v>
      </c>
      <c r="C769" s="221" t="s">
        <v>395</v>
      </c>
      <c r="D769" s="101">
        <v>25636</v>
      </c>
      <c r="E769" s="221" t="s">
        <v>213</v>
      </c>
      <c r="F769" s="221">
        <v>2008</v>
      </c>
    </row>
    <row r="770" spans="2:6">
      <c r="B770" s="254">
        <v>39595</v>
      </c>
      <c r="C770" s="221" t="s">
        <v>398</v>
      </c>
      <c r="D770" s="101">
        <v>24661</v>
      </c>
      <c r="E770" s="221" t="s">
        <v>211</v>
      </c>
      <c r="F770" s="221">
        <v>2008</v>
      </c>
    </row>
    <row r="771" spans="2:6">
      <c r="B771" s="254">
        <v>39456</v>
      </c>
      <c r="C771" s="221" t="s">
        <v>398</v>
      </c>
      <c r="D771" s="101">
        <v>10406</v>
      </c>
      <c r="E771" s="221" t="s">
        <v>213</v>
      </c>
      <c r="F771" s="221">
        <v>2008</v>
      </c>
    </row>
    <row r="772" spans="2:6">
      <c r="B772" s="254">
        <v>39529</v>
      </c>
      <c r="C772" s="221" t="s">
        <v>395</v>
      </c>
      <c r="D772" s="101">
        <v>36744</v>
      </c>
      <c r="E772" s="221" t="s">
        <v>213</v>
      </c>
      <c r="F772" s="221">
        <v>2008</v>
      </c>
    </row>
    <row r="773" spans="2:6">
      <c r="B773" s="254">
        <v>38802</v>
      </c>
      <c r="C773" s="221" t="s">
        <v>394</v>
      </c>
      <c r="D773" s="101">
        <v>35262</v>
      </c>
      <c r="E773" s="221" t="s">
        <v>210</v>
      </c>
      <c r="F773" s="221">
        <v>2006</v>
      </c>
    </row>
    <row r="774" spans="2:6">
      <c r="B774" s="254">
        <v>39470</v>
      </c>
      <c r="C774" s="221" t="s">
        <v>395</v>
      </c>
      <c r="D774" s="101">
        <v>16883</v>
      </c>
      <c r="E774" s="221" t="s">
        <v>210</v>
      </c>
      <c r="F774" s="221">
        <v>2008</v>
      </c>
    </row>
    <row r="775" spans="2:6">
      <c r="B775" s="254">
        <v>38846</v>
      </c>
      <c r="C775" s="221" t="s">
        <v>395</v>
      </c>
      <c r="D775" s="101">
        <v>27586</v>
      </c>
      <c r="E775" s="221" t="s">
        <v>211</v>
      </c>
      <c r="F775" s="221">
        <v>2006</v>
      </c>
    </row>
    <row r="776" spans="2:6">
      <c r="B776" s="254">
        <v>39189</v>
      </c>
      <c r="C776" s="221" t="s">
        <v>394</v>
      </c>
      <c r="D776" s="101">
        <v>5719</v>
      </c>
      <c r="E776" s="221" t="s">
        <v>210</v>
      </c>
      <c r="F776" s="221">
        <v>2007</v>
      </c>
    </row>
    <row r="777" spans="2:6">
      <c r="B777" s="254">
        <v>39572</v>
      </c>
      <c r="C777" s="221" t="s">
        <v>398</v>
      </c>
      <c r="D777" s="101">
        <v>9170</v>
      </c>
      <c r="E777" s="221" t="s">
        <v>210</v>
      </c>
      <c r="F777" s="221">
        <v>2008</v>
      </c>
    </row>
    <row r="778" spans="2:6">
      <c r="B778" s="254">
        <v>39312</v>
      </c>
      <c r="C778" s="221" t="s">
        <v>398</v>
      </c>
      <c r="D778" s="101">
        <v>6155</v>
      </c>
      <c r="E778" s="221" t="s">
        <v>210</v>
      </c>
      <c r="F778" s="221">
        <v>2007</v>
      </c>
    </row>
    <row r="779" spans="2:6">
      <c r="B779" s="254">
        <v>39316</v>
      </c>
      <c r="C779" s="221" t="s">
        <v>398</v>
      </c>
      <c r="D779" s="101">
        <v>9851</v>
      </c>
      <c r="E779" s="221" t="s">
        <v>212</v>
      </c>
      <c r="F779" s="221">
        <v>2007</v>
      </c>
    </row>
    <row r="780" spans="2:6">
      <c r="B780" s="254">
        <v>39018</v>
      </c>
      <c r="C780" s="221" t="s">
        <v>395</v>
      </c>
      <c r="D780" s="101">
        <v>38053</v>
      </c>
      <c r="E780" s="221" t="s">
        <v>212</v>
      </c>
      <c r="F780" s="221">
        <v>2006</v>
      </c>
    </row>
    <row r="781" spans="2:6">
      <c r="B781" s="254">
        <v>39246</v>
      </c>
      <c r="C781" s="221" t="s">
        <v>395</v>
      </c>
      <c r="D781" s="101">
        <v>35236</v>
      </c>
      <c r="E781" s="221" t="s">
        <v>210</v>
      </c>
      <c r="F781" s="221">
        <v>2007</v>
      </c>
    </row>
    <row r="782" spans="2:6">
      <c r="B782" s="254">
        <v>39133</v>
      </c>
      <c r="C782" s="221" t="s">
        <v>398</v>
      </c>
      <c r="D782" s="101">
        <v>6145</v>
      </c>
      <c r="E782" s="221" t="s">
        <v>210</v>
      </c>
      <c r="F782" s="221">
        <v>2007</v>
      </c>
    </row>
    <row r="783" spans="2:6">
      <c r="B783" s="254">
        <v>38826</v>
      </c>
      <c r="C783" s="221" t="s">
        <v>394</v>
      </c>
      <c r="D783" s="101">
        <v>30917</v>
      </c>
      <c r="E783" s="221" t="s">
        <v>212</v>
      </c>
      <c r="F783" s="221">
        <v>2006</v>
      </c>
    </row>
    <row r="784" spans="2:6">
      <c r="B784" s="254">
        <v>39382</v>
      </c>
      <c r="C784" s="221" t="s">
        <v>394</v>
      </c>
      <c r="D784" s="101">
        <v>5941</v>
      </c>
      <c r="E784" s="221" t="s">
        <v>211</v>
      </c>
      <c r="F784" s="221">
        <v>2007</v>
      </c>
    </row>
    <row r="785" spans="2:6">
      <c r="B785" s="254">
        <v>38738</v>
      </c>
      <c r="C785" s="221" t="s">
        <v>398</v>
      </c>
      <c r="D785" s="101">
        <v>13065</v>
      </c>
      <c r="E785" s="221" t="s">
        <v>213</v>
      </c>
      <c r="F785" s="221">
        <v>2006</v>
      </c>
    </row>
    <row r="786" spans="2:6">
      <c r="B786" s="254">
        <v>39481</v>
      </c>
      <c r="C786" s="221" t="s">
        <v>398</v>
      </c>
      <c r="D786" s="101">
        <v>15493</v>
      </c>
      <c r="E786" s="221" t="s">
        <v>212</v>
      </c>
      <c r="F786" s="221">
        <v>2008</v>
      </c>
    </row>
    <row r="787" spans="2:6">
      <c r="B787" s="254">
        <v>38797</v>
      </c>
      <c r="C787" s="221" t="s">
        <v>394</v>
      </c>
      <c r="D787" s="101">
        <v>19150</v>
      </c>
      <c r="E787" s="221" t="s">
        <v>211</v>
      </c>
      <c r="F787" s="221">
        <v>2006</v>
      </c>
    </row>
    <row r="788" spans="2:6">
      <c r="B788" s="254">
        <v>39145</v>
      </c>
      <c r="C788" s="221" t="s">
        <v>395</v>
      </c>
      <c r="D788" s="101">
        <v>19989</v>
      </c>
      <c r="E788" s="221" t="s">
        <v>212</v>
      </c>
      <c r="F788" s="221">
        <v>2007</v>
      </c>
    </row>
    <row r="789" spans="2:6">
      <c r="B789" s="254">
        <v>38873</v>
      </c>
      <c r="C789" s="221" t="s">
        <v>395</v>
      </c>
      <c r="D789" s="101">
        <v>22272</v>
      </c>
      <c r="E789" s="221" t="s">
        <v>211</v>
      </c>
      <c r="F789" s="221">
        <v>2006</v>
      </c>
    </row>
    <row r="790" spans="2:6">
      <c r="B790" s="254">
        <v>39088</v>
      </c>
      <c r="C790" s="221" t="s">
        <v>398</v>
      </c>
      <c r="D790" s="101">
        <v>24615</v>
      </c>
      <c r="E790" s="221" t="s">
        <v>213</v>
      </c>
      <c r="F790" s="221">
        <v>2007</v>
      </c>
    </row>
    <row r="791" spans="2:6">
      <c r="B791" s="254">
        <v>38944</v>
      </c>
      <c r="C791" s="221" t="s">
        <v>398</v>
      </c>
      <c r="D791" s="101">
        <v>39302</v>
      </c>
      <c r="E791" s="221" t="s">
        <v>210</v>
      </c>
      <c r="F791" s="221">
        <v>2006</v>
      </c>
    </row>
    <row r="792" spans="2:6">
      <c r="B792" s="254">
        <v>39315</v>
      </c>
      <c r="C792" s="221" t="s">
        <v>395</v>
      </c>
      <c r="D792" s="101">
        <v>28120</v>
      </c>
      <c r="E792" s="221" t="s">
        <v>212</v>
      </c>
      <c r="F792" s="221">
        <v>2007</v>
      </c>
    </row>
    <row r="793" spans="2:6">
      <c r="B793" s="254">
        <v>39601</v>
      </c>
      <c r="C793" s="221" t="s">
        <v>395</v>
      </c>
      <c r="D793" s="101">
        <v>8844</v>
      </c>
      <c r="E793" s="221" t="s">
        <v>210</v>
      </c>
      <c r="F793" s="221">
        <v>2008</v>
      </c>
    </row>
    <row r="794" spans="2:6">
      <c r="B794" s="254">
        <v>38903</v>
      </c>
      <c r="C794" s="221" t="s">
        <v>395</v>
      </c>
      <c r="D794" s="101">
        <v>26625</v>
      </c>
      <c r="E794" s="221" t="s">
        <v>211</v>
      </c>
      <c r="F794" s="221">
        <v>2006</v>
      </c>
    </row>
    <row r="795" spans="2:6">
      <c r="B795" s="254">
        <v>39106</v>
      </c>
      <c r="C795" s="221" t="s">
        <v>395</v>
      </c>
      <c r="D795" s="101">
        <v>24489</v>
      </c>
      <c r="E795" s="221" t="s">
        <v>213</v>
      </c>
      <c r="F795" s="221">
        <v>2007</v>
      </c>
    </row>
    <row r="796" spans="2:6">
      <c r="B796" s="254">
        <v>38792</v>
      </c>
      <c r="C796" s="221" t="s">
        <v>395</v>
      </c>
      <c r="D796" s="101">
        <v>6668</v>
      </c>
      <c r="E796" s="221" t="s">
        <v>211</v>
      </c>
      <c r="F796" s="221">
        <v>2006</v>
      </c>
    </row>
    <row r="797" spans="2:6">
      <c r="B797" s="254">
        <v>39088</v>
      </c>
      <c r="C797" s="221" t="s">
        <v>395</v>
      </c>
      <c r="D797" s="101">
        <v>33624</v>
      </c>
      <c r="E797" s="221" t="s">
        <v>212</v>
      </c>
      <c r="F797" s="221">
        <v>2007</v>
      </c>
    </row>
    <row r="798" spans="2:6">
      <c r="B798" s="254">
        <v>39339</v>
      </c>
      <c r="C798" s="221" t="s">
        <v>398</v>
      </c>
      <c r="D798" s="101">
        <v>8324</v>
      </c>
      <c r="E798" s="221" t="s">
        <v>213</v>
      </c>
      <c r="F798" s="221">
        <v>2007</v>
      </c>
    </row>
    <row r="799" spans="2:6">
      <c r="B799" s="254">
        <v>39489</v>
      </c>
      <c r="C799" s="221" t="s">
        <v>395</v>
      </c>
      <c r="D799" s="101">
        <v>22057</v>
      </c>
      <c r="E799" s="221" t="s">
        <v>212</v>
      </c>
      <c r="F799" s="221">
        <v>2008</v>
      </c>
    </row>
    <row r="800" spans="2:6">
      <c r="B800" s="254">
        <v>39075</v>
      </c>
      <c r="C800" s="221" t="s">
        <v>396</v>
      </c>
      <c r="D800" s="101">
        <v>12209</v>
      </c>
      <c r="E800" s="221" t="s">
        <v>213</v>
      </c>
      <c r="F800" s="221">
        <v>2006</v>
      </c>
    </row>
    <row r="801" spans="2:6">
      <c r="B801" s="254">
        <v>38898</v>
      </c>
      <c r="C801" s="221" t="s">
        <v>396</v>
      </c>
      <c r="D801" s="101">
        <v>11407</v>
      </c>
      <c r="E801" s="221" t="s">
        <v>213</v>
      </c>
      <c r="F801" s="221">
        <v>2006</v>
      </c>
    </row>
    <row r="802" spans="2:6">
      <c r="B802" s="254">
        <v>39446</v>
      </c>
      <c r="C802" s="221" t="s">
        <v>398</v>
      </c>
      <c r="D802" s="101">
        <v>15788</v>
      </c>
      <c r="E802" s="221" t="s">
        <v>212</v>
      </c>
      <c r="F802" s="221">
        <v>2007</v>
      </c>
    </row>
    <row r="803" spans="2:6">
      <c r="B803" s="254">
        <v>38780</v>
      </c>
      <c r="C803" s="221" t="s">
        <v>396</v>
      </c>
      <c r="D803" s="101">
        <v>15979</v>
      </c>
      <c r="E803" s="221" t="s">
        <v>213</v>
      </c>
      <c r="F803" s="221">
        <v>2006</v>
      </c>
    </row>
    <row r="804" spans="2:6">
      <c r="B804" s="254">
        <v>39364</v>
      </c>
      <c r="C804" s="221" t="s">
        <v>394</v>
      </c>
      <c r="D804" s="101">
        <v>7099</v>
      </c>
      <c r="E804" s="221" t="s">
        <v>213</v>
      </c>
      <c r="F804" s="221">
        <v>2007</v>
      </c>
    </row>
    <row r="805" spans="2:6">
      <c r="B805" s="254">
        <v>39572</v>
      </c>
      <c r="C805" s="221" t="s">
        <v>394</v>
      </c>
      <c r="D805" s="101">
        <v>24829</v>
      </c>
      <c r="E805" s="221" t="s">
        <v>212</v>
      </c>
      <c r="F805" s="221">
        <v>2008</v>
      </c>
    </row>
    <row r="806" spans="2:6">
      <c r="B806" s="254">
        <v>38779</v>
      </c>
      <c r="C806" s="221" t="s">
        <v>398</v>
      </c>
      <c r="D806" s="101">
        <v>11710</v>
      </c>
      <c r="E806" s="221" t="s">
        <v>210</v>
      </c>
      <c r="F806" s="221">
        <v>2006</v>
      </c>
    </row>
    <row r="807" spans="2:6">
      <c r="B807" s="254">
        <v>39605</v>
      </c>
      <c r="C807" s="221" t="s">
        <v>396</v>
      </c>
      <c r="D807" s="101">
        <v>38413</v>
      </c>
      <c r="E807" s="221" t="s">
        <v>210</v>
      </c>
      <c r="F807" s="221">
        <v>2008</v>
      </c>
    </row>
    <row r="808" spans="2:6">
      <c r="B808" s="254">
        <v>39602</v>
      </c>
      <c r="C808" s="221" t="s">
        <v>396</v>
      </c>
      <c r="D808" s="101">
        <v>7730</v>
      </c>
      <c r="E808" s="221" t="s">
        <v>212</v>
      </c>
      <c r="F808" s="221">
        <v>2008</v>
      </c>
    </row>
    <row r="809" spans="2:6">
      <c r="B809" s="254">
        <v>39000</v>
      </c>
      <c r="C809" s="221" t="s">
        <v>395</v>
      </c>
      <c r="D809" s="101">
        <v>39226</v>
      </c>
      <c r="E809" s="221" t="s">
        <v>212</v>
      </c>
      <c r="F809" s="221">
        <v>2006</v>
      </c>
    </row>
    <row r="810" spans="2:6">
      <c r="B810" s="254">
        <v>38796</v>
      </c>
      <c r="C810" s="221" t="s">
        <v>396</v>
      </c>
      <c r="D810" s="101">
        <v>29512</v>
      </c>
      <c r="E810" s="221" t="s">
        <v>211</v>
      </c>
      <c r="F810" s="221">
        <v>2006</v>
      </c>
    </row>
    <row r="811" spans="2:6">
      <c r="B811" s="254">
        <v>39377</v>
      </c>
      <c r="C811" s="221" t="s">
        <v>398</v>
      </c>
      <c r="D811" s="101">
        <v>19847</v>
      </c>
      <c r="E811" s="221" t="s">
        <v>210</v>
      </c>
      <c r="F811" s="221">
        <v>2007</v>
      </c>
    </row>
    <row r="812" spans="2:6">
      <c r="B812" s="254">
        <v>39041</v>
      </c>
      <c r="C812" s="221" t="s">
        <v>395</v>
      </c>
      <c r="D812" s="101">
        <v>29490</v>
      </c>
      <c r="E812" s="221" t="s">
        <v>211</v>
      </c>
      <c r="F812" s="221">
        <v>2006</v>
      </c>
    </row>
    <row r="813" spans="2:6">
      <c r="B813" s="254">
        <v>39217</v>
      </c>
      <c r="C813" s="221" t="s">
        <v>398</v>
      </c>
      <c r="D813" s="101">
        <v>10853</v>
      </c>
      <c r="E813" s="221" t="s">
        <v>210</v>
      </c>
      <c r="F813" s="221">
        <v>2007</v>
      </c>
    </row>
    <row r="814" spans="2:6">
      <c r="B814" s="254">
        <v>38993</v>
      </c>
      <c r="C814" s="221" t="s">
        <v>394</v>
      </c>
      <c r="D814" s="101">
        <v>26692</v>
      </c>
      <c r="E814" s="221" t="s">
        <v>211</v>
      </c>
      <c r="F814" s="221">
        <v>2006</v>
      </c>
    </row>
    <row r="815" spans="2:6">
      <c r="B815" s="254">
        <v>39003</v>
      </c>
      <c r="C815" s="221" t="s">
        <v>394</v>
      </c>
      <c r="D815" s="101">
        <v>28147</v>
      </c>
      <c r="E815" s="221" t="s">
        <v>211</v>
      </c>
      <c r="F815" s="221">
        <v>2006</v>
      </c>
    </row>
    <row r="816" spans="2:6">
      <c r="B816" s="254">
        <v>38856</v>
      </c>
      <c r="C816" s="221" t="s">
        <v>396</v>
      </c>
      <c r="D816" s="101">
        <v>9806</v>
      </c>
      <c r="E816" s="221" t="s">
        <v>213</v>
      </c>
      <c r="F816" s="221">
        <v>2006</v>
      </c>
    </row>
    <row r="817" spans="2:6">
      <c r="B817" s="254">
        <v>39292</v>
      </c>
      <c r="C817" s="221" t="s">
        <v>396</v>
      </c>
      <c r="D817" s="101">
        <v>25424</v>
      </c>
      <c r="E817" s="221" t="s">
        <v>212</v>
      </c>
      <c r="F817" s="221">
        <v>2007</v>
      </c>
    </row>
    <row r="818" spans="2:6">
      <c r="B818" s="254">
        <v>38858</v>
      </c>
      <c r="C818" s="221" t="s">
        <v>395</v>
      </c>
      <c r="D818" s="101">
        <v>36261</v>
      </c>
      <c r="E818" s="221" t="s">
        <v>210</v>
      </c>
      <c r="F818" s="221">
        <v>2006</v>
      </c>
    </row>
    <row r="819" spans="2:6">
      <c r="B819" s="254">
        <v>39487</v>
      </c>
      <c r="C819" s="221" t="s">
        <v>398</v>
      </c>
      <c r="D819" s="101">
        <v>36921</v>
      </c>
      <c r="E819" s="221" t="s">
        <v>211</v>
      </c>
      <c r="F819" s="221">
        <v>2008</v>
      </c>
    </row>
    <row r="820" spans="2:6">
      <c r="B820" s="254">
        <v>39302</v>
      </c>
      <c r="C820" s="221" t="s">
        <v>395</v>
      </c>
      <c r="D820" s="101">
        <v>15242</v>
      </c>
      <c r="E820" s="221" t="s">
        <v>212</v>
      </c>
      <c r="F820" s="221">
        <v>2007</v>
      </c>
    </row>
    <row r="821" spans="2:6">
      <c r="B821" s="254">
        <v>38856</v>
      </c>
      <c r="C821" s="221" t="s">
        <v>396</v>
      </c>
      <c r="D821" s="101">
        <v>34592</v>
      </c>
      <c r="E821" s="221" t="s">
        <v>212</v>
      </c>
      <c r="F821" s="221">
        <v>2006</v>
      </c>
    </row>
    <row r="822" spans="2:6">
      <c r="B822" s="254">
        <v>39572</v>
      </c>
      <c r="C822" s="221" t="s">
        <v>394</v>
      </c>
      <c r="D822" s="101">
        <v>9142</v>
      </c>
      <c r="E822" s="221" t="s">
        <v>213</v>
      </c>
      <c r="F822" s="221">
        <v>2008</v>
      </c>
    </row>
    <row r="823" spans="2:6">
      <c r="B823" s="254">
        <v>39493</v>
      </c>
      <c r="C823" s="221" t="s">
        <v>394</v>
      </c>
      <c r="D823" s="101">
        <v>29005</v>
      </c>
      <c r="E823" s="221" t="s">
        <v>213</v>
      </c>
      <c r="F823" s="221">
        <v>2008</v>
      </c>
    </row>
    <row r="824" spans="2:6">
      <c r="B824" s="254">
        <v>39544</v>
      </c>
      <c r="C824" s="221" t="s">
        <v>395</v>
      </c>
      <c r="D824" s="101">
        <v>38679</v>
      </c>
      <c r="E824" s="221" t="s">
        <v>210</v>
      </c>
      <c r="F824" s="221">
        <v>2008</v>
      </c>
    </row>
    <row r="825" spans="2:6">
      <c r="B825" s="254">
        <v>39582</v>
      </c>
      <c r="C825" s="221" t="s">
        <v>398</v>
      </c>
      <c r="D825" s="101">
        <v>20559</v>
      </c>
      <c r="E825" s="221" t="s">
        <v>213</v>
      </c>
      <c r="F825" s="221">
        <v>2008</v>
      </c>
    </row>
    <row r="826" spans="2:6">
      <c r="B826" s="254">
        <v>39071</v>
      </c>
      <c r="C826" s="221" t="s">
        <v>394</v>
      </c>
      <c r="D826" s="101">
        <v>13903</v>
      </c>
      <c r="E826" s="221" t="s">
        <v>210</v>
      </c>
      <c r="F826" s="221">
        <v>2006</v>
      </c>
    </row>
    <row r="827" spans="2:6">
      <c r="B827" s="254">
        <v>39499</v>
      </c>
      <c r="C827" s="221" t="s">
        <v>398</v>
      </c>
      <c r="D827" s="101">
        <v>20023</v>
      </c>
      <c r="E827" s="221" t="s">
        <v>210</v>
      </c>
      <c r="F827" s="221">
        <v>2008</v>
      </c>
    </row>
    <row r="828" spans="2:6">
      <c r="B828" s="254">
        <v>39037</v>
      </c>
      <c r="C828" s="221" t="s">
        <v>398</v>
      </c>
      <c r="D828" s="101">
        <v>35730</v>
      </c>
      <c r="E828" s="221" t="s">
        <v>210</v>
      </c>
      <c r="F828" s="221">
        <v>2006</v>
      </c>
    </row>
    <row r="829" spans="2:6">
      <c r="B829" s="254">
        <v>38855</v>
      </c>
      <c r="C829" s="221" t="s">
        <v>398</v>
      </c>
      <c r="D829" s="101">
        <v>13230</v>
      </c>
      <c r="E829" s="221" t="s">
        <v>211</v>
      </c>
      <c r="F829" s="221">
        <v>2006</v>
      </c>
    </row>
    <row r="830" spans="2:6">
      <c r="B830" s="254">
        <v>39424</v>
      </c>
      <c r="C830" s="221" t="s">
        <v>395</v>
      </c>
      <c r="D830" s="101">
        <v>25871</v>
      </c>
      <c r="E830" s="221" t="s">
        <v>212</v>
      </c>
      <c r="F830" s="221">
        <v>2007</v>
      </c>
    </row>
    <row r="831" spans="2:6">
      <c r="B831" s="254">
        <v>39093</v>
      </c>
      <c r="C831" s="221" t="s">
        <v>395</v>
      </c>
      <c r="D831" s="101">
        <v>24415</v>
      </c>
      <c r="E831" s="221" t="s">
        <v>210</v>
      </c>
      <c r="F831" s="221">
        <v>2007</v>
      </c>
    </row>
    <row r="832" spans="2:6">
      <c r="B832" s="254">
        <v>39246</v>
      </c>
      <c r="C832" s="221" t="s">
        <v>396</v>
      </c>
      <c r="D832" s="101">
        <v>31159</v>
      </c>
      <c r="E832" s="221" t="s">
        <v>211</v>
      </c>
      <c r="F832" s="221">
        <v>2007</v>
      </c>
    </row>
    <row r="833" spans="2:6">
      <c r="B833" s="254">
        <v>39236</v>
      </c>
      <c r="C833" s="221" t="s">
        <v>396</v>
      </c>
      <c r="D833" s="101">
        <v>38730</v>
      </c>
      <c r="E833" s="221" t="s">
        <v>210</v>
      </c>
      <c r="F833" s="221">
        <v>2007</v>
      </c>
    </row>
    <row r="834" spans="2:6">
      <c r="B834" s="254">
        <v>39074</v>
      </c>
      <c r="C834" s="221" t="s">
        <v>396</v>
      </c>
      <c r="D834" s="101">
        <v>10454</v>
      </c>
      <c r="E834" s="221" t="s">
        <v>211</v>
      </c>
      <c r="F834" s="221">
        <v>2006</v>
      </c>
    </row>
    <row r="835" spans="2:6">
      <c r="B835" s="254">
        <v>39036</v>
      </c>
      <c r="C835" s="221" t="s">
        <v>395</v>
      </c>
      <c r="D835" s="101">
        <v>6472</v>
      </c>
      <c r="E835" s="221" t="s">
        <v>213</v>
      </c>
      <c r="F835" s="221">
        <v>2006</v>
      </c>
    </row>
    <row r="836" spans="2:6">
      <c r="B836" s="254">
        <v>39459</v>
      </c>
      <c r="C836" s="221" t="s">
        <v>395</v>
      </c>
      <c r="D836" s="101">
        <v>11451</v>
      </c>
      <c r="E836" s="221" t="s">
        <v>212</v>
      </c>
      <c r="F836" s="221">
        <v>2008</v>
      </c>
    </row>
    <row r="837" spans="2:6">
      <c r="B837" s="254">
        <v>39521</v>
      </c>
      <c r="C837" s="221" t="s">
        <v>398</v>
      </c>
      <c r="D837" s="101">
        <v>9069</v>
      </c>
      <c r="E837" s="221" t="s">
        <v>213</v>
      </c>
      <c r="F837" s="221">
        <v>2008</v>
      </c>
    </row>
    <row r="838" spans="2:6">
      <c r="B838" s="254">
        <v>39005</v>
      </c>
      <c r="C838" s="221" t="s">
        <v>398</v>
      </c>
      <c r="D838" s="101">
        <v>24764</v>
      </c>
      <c r="E838" s="221" t="s">
        <v>212</v>
      </c>
      <c r="F838" s="221">
        <v>2006</v>
      </c>
    </row>
    <row r="839" spans="2:6">
      <c r="B839" s="254">
        <v>38966</v>
      </c>
      <c r="C839" s="221" t="s">
        <v>394</v>
      </c>
      <c r="D839" s="101">
        <v>28032</v>
      </c>
      <c r="E839" s="221" t="s">
        <v>210</v>
      </c>
      <c r="F839" s="221">
        <v>2006</v>
      </c>
    </row>
    <row r="840" spans="2:6">
      <c r="B840" s="254">
        <v>38757</v>
      </c>
      <c r="C840" s="221" t="s">
        <v>395</v>
      </c>
      <c r="D840" s="101">
        <v>32871</v>
      </c>
      <c r="E840" s="221" t="s">
        <v>211</v>
      </c>
      <c r="F840" s="221">
        <v>2006</v>
      </c>
    </row>
    <row r="841" spans="2:6">
      <c r="B841" s="254">
        <v>39012</v>
      </c>
      <c r="C841" s="221" t="s">
        <v>398</v>
      </c>
      <c r="D841" s="101">
        <v>31942</v>
      </c>
      <c r="E841" s="221" t="s">
        <v>210</v>
      </c>
      <c r="F841" s="221">
        <v>2006</v>
      </c>
    </row>
    <row r="842" spans="2:6">
      <c r="B842" s="254">
        <v>38779</v>
      </c>
      <c r="C842" s="221" t="s">
        <v>394</v>
      </c>
      <c r="D842" s="101">
        <v>20840</v>
      </c>
      <c r="E842" s="221" t="s">
        <v>213</v>
      </c>
      <c r="F842" s="221">
        <v>2006</v>
      </c>
    </row>
    <row r="843" spans="2:6">
      <c r="B843" s="254">
        <v>38887</v>
      </c>
      <c r="C843" s="221" t="s">
        <v>394</v>
      </c>
      <c r="D843" s="101">
        <v>35711</v>
      </c>
      <c r="E843" s="221" t="s">
        <v>211</v>
      </c>
      <c r="F843" s="221">
        <v>2006</v>
      </c>
    </row>
    <row r="844" spans="2:6">
      <c r="B844" s="254">
        <v>39231</v>
      </c>
      <c r="C844" s="221" t="s">
        <v>396</v>
      </c>
      <c r="D844" s="101">
        <v>19940</v>
      </c>
      <c r="E844" s="221" t="s">
        <v>210</v>
      </c>
      <c r="F844" s="221">
        <v>2007</v>
      </c>
    </row>
    <row r="845" spans="2:6">
      <c r="B845" s="254">
        <v>38732</v>
      </c>
      <c r="C845" s="221" t="s">
        <v>396</v>
      </c>
      <c r="D845" s="101">
        <v>19680</v>
      </c>
      <c r="E845" s="221" t="s">
        <v>213</v>
      </c>
      <c r="F845" s="221">
        <v>2006</v>
      </c>
    </row>
    <row r="846" spans="2:6">
      <c r="B846" s="254">
        <v>39134</v>
      </c>
      <c r="C846" s="221" t="s">
        <v>396</v>
      </c>
      <c r="D846" s="101">
        <v>18870</v>
      </c>
      <c r="E846" s="221" t="s">
        <v>210</v>
      </c>
      <c r="F846" s="221">
        <v>2007</v>
      </c>
    </row>
    <row r="847" spans="2:6">
      <c r="B847" s="254">
        <v>39176</v>
      </c>
      <c r="C847" s="221" t="s">
        <v>396</v>
      </c>
      <c r="D847" s="101">
        <v>25915</v>
      </c>
      <c r="E847" s="221" t="s">
        <v>213</v>
      </c>
      <c r="F847" s="221">
        <v>2007</v>
      </c>
    </row>
    <row r="848" spans="2:6">
      <c r="B848" s="254">
        <v>38735</v>
      </c>
      <c r="C848" s="221" t="s">
        <v>396</v>
      </c>
      <c r="D848" s="101">
        <v>8835</v>
      </c>
      <c r="E848" s="221" t="s">
        <v>211</v>
      </c>
      <c r="F848" s="221">
        <v>2006</v>
      </c>
    </row>
    <row r="849" spans="2:6">
      <c r="B849" s="254">
        <v>39390</v>
      </c>
      <c r="C849" s="221" t="s">
        <v>395</v>
      </c>
      <c r="D849" s="101">
        <v>13774</v>
      </c>
      <c r="E849" s="221" t="s">
        <v>212</v>
      </c>
      <c r="F849" s="221">
        <v>2007</v>
      </c>
    </row>
    <row r="850" spans="2:6">
      <c r="B850" s="254">
        <v>38897</v>
      </c>
      <c r="C850" s="221" t="s">
        <v>394</v>
      </c>
      <c r="D850" s="101">
        <v>13915</v>
      </c>
      <c r="E850" s="221" t="s">
        <v>212</v>
      </c>
      <c r="F850" s="221">
        <v>2006</v>
      </c>
    </row>
    <row r="851" spans="2:6">
      <c r="B851" s="254">
        <v>38815</v>
      </c>
      <c r="C851" s="221" t="s">
        <v>396</v>
      </c>
      <c r="D851" s="101">
        <v>30002</v>
      </c>
      <c r="E851" s="221" t="s">
        <v>211</v>
      </c>
      <c r="F851" s="221">
        <v>2006</v>
      </c>
    </row>
    <row r="852" spans="2:6">
      <c r="B852" s="254">
        <v>38930</v>
      </c>
      <c r="C852" s="221" t="s">
        <v>398</v>
      </c>
      <c r="D852" s="101">
        <v>33394</v>
      </c>
      <c r="E852" s="221" t="s">
        <v>213</v>
      </c>
      <c r="F852" s="221">
        <v>2006</v>
      </c>
    </row>
    <row r="853" spans="2:6">
      <c r="B853" s="254">
        <v>38981</v>
      </c>
      <c r="C853" s="221" t="s">
        <v>394</v>
      </c>
      <c r="D853" s="101">
        <v>37025</v>
      </c>
      <c r="E853" s="221" t="s">
        <v>211</v>
      </c>
      <c r="F853" s="221">
        <v>2006</v>
      </c>
    </row>
    <row r="854" spans="2:6">
      <c r="B854" s="254">
        <v>39028</v>
      </c>
      <c r="C854" s="221" t="s">
        <v>394</v>
      </c>
      <c r="D854" s="101">
        <v>19836</v>
      </c>
      <c r="E854" s="221" t="s">
        <v>212</v>
      </c>
      <c r="F854" s="221">
        <v>2006</v>
      </c>
    </row>
    <row r="855" spans="2:6">
      <c r="B855" s="254">
        <v>38873</v>
      </c>
      <c r="C855" s="221" t="s">
        <v>394</v>
      </c>
      <c r="D855" s="101">
        <v>7188</v>
      </c>
      <c r="E855" s="221" t="s">
        <v>211</v>
      </c>
      <c r="F855" s="221">
        <v>2006</v>
      </c>
    </row>
    <row r="856" spans="2:6">
      <c r="B856" s="254">
        <v>38922</v>
      </c>
      <c r="C856" s="221" t="s">
        <v>394</v>
      </c>
      <c r="D856" s="101">
        <v>36459</v>
      </c>
      <c r="E856" s="221" t="s">
        <v>210</v>
      </c>
      <c r="F856" s="221">
        <v>2006</v>
      </c>
    </row>
    <row r="857" spans="2:6">
      <c r="B857" s="254">
        <v>39328</v>
      </c>
      <c r="C857" s="221" t="s">
        <v>398</v>
      </c>
      <c r="D857" s="101">
        <v>9165</v>
      </c>
      <c r="E857" s="221" t="s">
        <v>210</v>
      </c>
      <c r="F857" s="221">
        <v>2007</v>
      </c>
    </row>
    <row r="858" spans="2:6">
      <c r="B858" s="254">
        <v>38873</v>
      </c>
      <c r="C858" s="221" t="s">
        <v>394</v>
      </c>
      <c r="D858" s="101">
        <v>33811</v>
      </c>
      <c r="E858" s="221" t="s">
        <v>211</v>
      </c>
      <c r="F858" s="221">
        <v>2006</v>
      </c>
    </row>
    <row r="859" spans="2:6">
      <c r="B859" s="254">
        <v>39212</v>
      </c>
      <c r="C859" s="221" t="s">
        <v>394</v>
      </c>
      <c r="D859" s="101">
        <v>24829</v>
      </c>
      <c r="E859" s="221" t="s">
        <v>211</v>
      </c>
      <c r="F859" s="221">
        <v>2007</v>
      </c>
    </row>
    <row r="860" spans="2:6">
      <c r="B860" s="254">
        <v>39462</v>
      </c>
      <c r="C860" s="221" t="s">
        <v>398</v>
      </c>
      <c r="D860" s="101">
        <v>23191</v>
      </c>
      <c r="E860" s="221" t="s">
        <v>210</v>
      </c>
      <c r="F860" s="221">
        <v>2008</v>
      </c>
    </row>
    <row r="861" spans="2:6">
      <c r="B861" s="254">
        <v>39380</v>
      </c>
      <c r="C861" s="221" t="s">
        <v>395</v>
      </c>
      <c r="D861" s="101">
        <v>15593</v>
      </c>
      <c r="E861" s="221" t="s">
        <v>210</v>
      </c>
      <c r="F861" s="221">
        <v>2007</v>
      </c>
    </row>
    <row r="862" spans="2:6">
      <c r="B862" s="254">
        <v>38757</v>
      </c>
      <c r="C862" s="221" t="s">
        <v>398</v>
      </c>
      <c r="D862" s="101">
        <v>27336</v>
      </c>
      <c r="E862" s="221" t="s">
        <v>211</v>
      </c>
      <c r="F862" s="221">
        <v>2006</v>
      </c>
    </row>
    <row r="863" spans="2:6">
      <c r="B863" s="254">
        <v>39546</v>
      </c>
      <c r="C863" s="221" t="s">
        <v>398</v>
      </c>
      <c r="D863" s="101">
        <v>22907</v>
      </c>
      <c r="E863" s="221" t="s">
        <v>210</v>
      </c>
      <c r="F863" s="221">
        <v>2008</v>
      </c>
    </row>
    <row r="864" spans="2:6">
      <c r="B864" s="254">
        <v>39372</v>
      </c>
      <c r="C864" s="221" t="s">
        <v>396</v>
      </c>
      <c r="D864" s="101">
        <v>36329</v>
      </c>
      <c r="E864" s="221" t="s">
        <v>211</v>
      </c>
      <c r="F864" s="221">
        <v>2007</v>
      </c>
    </row>
    <row r="865" spans="2:6">
      <c r="B865" s="254">
        <v>39576</v>
      </c>
      <c r="C865" s="221" t="s">
        <v>396</v>
      </c>
      <c r="D865" s="101">
        <v>6470</v>
      </c>
      <c r="E865" s="221" t="s">
        <v>212</v>
      </c>
      <c r="F865" s="221">
        <v>2008</v>
      </c>
    </row>
    <row r="866" spans="2:6">
      <c r="B866" s="254">
        <v>38921</v>
      </c>
      <c r="C866" s="221" t="s">
        <v>394</v>
      </c>
      <c r="D866" s="101">
        <v>30886</v>
      </c>
      <c r="E866" s="221" t="s">
        <v>211</v>
      </c>
      <c r="F866" s="221">
        <v>2006</v>
      </c>
    </row>
    <row r="867" spans="2:6">
      <c r="B867" s="254">
        <v>38931</v>
      </c>
      <c r="C867" s="221" t="s">
        <v>396</v>
      </c>
      <c r="D867" s="101">
        <v>31396</v>
      </c>
      <c r="E867" s="221" t="s">
        <v>211</v>
      </c>
      <c r="F867" s="221">
        <v>2006</v>
      </c>
    </row>
    <row r="868" spans="2:6">
      <c r="B868" s="254">
        <v>39057</v>
      </c>
      <c r="C868" s="221" t="s">
        <v>396</v>
      </c>
      <c r="D868" s="101">
        <v>29373</v>
      </c>
      <c r="E868" s="221" t="s">
        <v>213</v>
      </c>
      <c r="F868" s="221">
        <v>2006</v>
      </c>
    </row>
    <row r="869" spans="2:6">
      <c r="B869" s="254">
        <v>38855</v>
      </c>
      <c r="C869" s="221" t="s">
        <v>395</v>
      </c>
      <c r="D869" s="101">
        <v>36922</v>
      </c>
      <c r="E869" s="221" t="s">
        <v>210</v>
      </c>
      <c r="F869" s="221">
        <v>2006</v>
      </c>
    </row>
    <row r="870" spans="2:6">
      <c r="B870" s="254">
        <v>39277</v>
      </c>
      <c r="C870" s="221" t="s">
        <v>398</v>
      </c>
      <c r="D870" s="101">
        <v>26809</v>
      </c>
      <c r="E870" s="221" t="s">
        <v>212</v>
      </c>
      <c r="F870" s="221">
        <v>2007</v>
      </c>
    </row>
    <row r="871" spans="2:6">
      <c r="B871" s="254">
        <v>38854</v>
      </c>
      <c r="C871" s="221" t="s">
        <v>396</v>
      </c>
      <c r="D871" s="101">
        <v>28600</v>
      </c>
      <c r="E871" s="221" t="s">
        <v>211</v>
      </c>
      <c r="F871" s="221">
        <v>2006</v>
      </c>
    </row>
    <row r="872" spans="2:6">
      <c r="B872" s="254">
        <v>38723</v>
      </c>
      <c r="C872" s="221" t="s">
        <v>394</v>
      </c>
      <c r="D872" s="101">
        <v>14679</v>
      </c>
      <c r="E872" s="221" t="s">
        <v>210</v>
      </c>
      <c r="F872" s="221">
        <v>2006</v>
      </c>
    </row>
    <row r="873" spans="2:6">
      <c r="B873" s="254">
        <v>39423</v>
      </c>
      <c r="C873" s="221" t="s">
        <v>394</v>
      </c>
      <c r="D873" s="101">
        <v>36408</v>
      </c>
      <c r="E873" s="221" t="s">
        <v>211</v>
      </c>
      <c r="F873" s="221">
        <v>2007</v>
      </c>
    </row>
    <row r="874" spans="2:6">
      <c r="B874" s="254">
        <v>39452</v>
      </c>
      <c r="C874" s="221" t="s">
        <v>398</v>
      </c>
      <c r="D874" s="101">
        <v>34593</v>
      </c>
      <c r="E874" s="221" t="s">
        <v>213</v>
      </c>
      <c r="F874" s="221">
        <v>2008</v>
      </c>
    </row>
    <row r="875" spans="2:6">
      <c r="B875" s="254">
        <v>39066</v>
      </c>
      <c r="C875" s="221" t="s">
        <v>394</v>
      </c>
      <c r="D875" s="101">
        <v>34710</v>
      </c>
      <c r="E875" s="221" t="s">
        <v>213</v>
      </c>
      <c r="F875" s="221">
        <v>2006</v>
      </c>
    </row>
    <row r="876" spans="2:6">
      <c r="B876" s="254">
        <v>38835</v>
      </c>
      <c r="C876" s="221" t="s">
        <v>394</v>
      </c>
      <c r="D876" s="101">
        <v>18652</v>
      </c>
      <c r="E876" s="221" t="s">
        <v>211</v>
      </c>
      <c r="F876" s="221">
        <v>2006</v>
      </c>
    </row>
    <row r="877" spans="2:6">
      <c r="B877" s="254">
        <v>39158</v>
      </c>
      <c r="C877" s="221" t="s">
        <v>394</v>
      </c>
      <c r="D877" s="101">
        <v>16063</v>
      </c>
      <c r="E877" s="221" t="s">
        <v>211</v>
      </c>
      <c r="F877" s="221">
        <v>2007</v>
      </c>
    </row>
    <row r="878" spans="2:6">
      <c r="B878" s="254">
        <v>38898</v>
      </c>
      <c r="C878" s="221" t="s">
        <v>396</v>
      </c>
      <c r="D878" s="101">
        <v>11765</v>
      </c>
      <c r="E878" s="221" t="s">
        <v>211</v>
      </c>
      <c r="F878" s="221">
        <v>2006</v>
      </c>
    </row>
    <row r="879" spans="2:6">
      <c r="B879" s="254">
        <v>38753</v>
      </c>
      <c r="C879" s="221" t="s">
        <v>396</v>
      </c>
      <c r="D879" s="101">
        <v>14233</v>
      </c>
      <c r="E879" s="221" t="s">
        <v>212</v>
      </c>
      <c r="F879" s="221">
        <v>2006</v>
      </c>
    </row>
    <row r="880" spans="2:6">
      <c r="B880" s="254">
        <v>39482</v>
      </c>
      <c r="C880" s="221" t="s">
        <v>398</v>
      </c>
      <c r="D880" s="101">
        <v>20629</v>
      </c>
      <c r="E880" s="221" t="s">
        <v>213</v>
      </c>
      <c r="F880" s="221">
        <v>2008</v>
      </c>
    </row>
    <row r="881" spans="2:6">
      <c r="B881" s="254">
        <v>39510</v>
      </c>
      <c r="C881" s="221" t="s">
        <v>395</v>
      </c>
      <c r="D881" s="101">
        <v>19947</v>
      </c>
      <c r="E881" s="221" t="s">
        <v>213</v>
      </c>
      <c r="F881" s="221">
        <v>2008</v>
      </c>
    </row>
    <row r="882" spans="2:6">
      <c r="B882" s="254">
        <v>39168</v>
      </c>
      <c r="C882" s="221" t="s">
        <v>395</v>
      </c>
      <c r="D882" s="101">
        <v>18247</v>
      </c>
      <c r="E882" s="221" t="s">
        <v>210</v>
      </c>
      <c r="F882" s="221">
        <v>2007</v>
      </c>
    </row>
    <row r="883" spans="2:6">
      <c r="B883" s="254">
        <v>39276</v>
      </c>
      <c r="C883" s="221" t="s">
        <v>394</v>
      </c>
      <c r="D883" s="101">
        <v>20937</v>
      </c>
      <c r="E883" s="221" t="s">
        <v>210</v>
      </c>
      <c r="F883" s="221">
        <v>2007</v>
      </c>
    </row>
    <row r="884" spans="2:6">
      <c r="B884" s="254">
        <v>39439</v>
      </c>
      <c r="C884" s="221" t="s">
        <v>394</v>
      </c>
      <c r="D884" s="101">
        <v>12592</v>
      </c>
      <c r="E884" s="221" t="s">
        <v>213</v>
      </c>
      <c r="F884" s="221">
        <v>2007</v>
      </c>
    </row>
    <row r="885" spans="2:6">
      <c r="B885" s="254">
        <v>38894</v>
      </c>
      <c r="C885" s="221" t="s">
        <v>394</v>
      </c>
      <c r="D885" s="101">
        <v>32451</v>
      </c>
      <c r="E885" s="221" t="s">
        <v>211</v>
      </c>
      <c r="F885" s="221">
        <v>2006</v>
      </c>
    </row>
    <row r="886" spans="2:6">
      <c r="B886" s="254">
        <v>39191</v>
      </c>
      <c r="C886" s="221" t="s">
        <v>396</v>
      </c>
      <c r="D886" s="101">
        <v>19144</v>
      </c>
      <c r="E886" s="221" t="s">
        <v>213</v>
      </c>
      <c r="F886" s="221">
        <v>2007</v>
      </c>
    </row>
    <row r="887" spans="2:6">
      <c r="B887" s="254">
        <v>38856</v>
      </c>
      <c r="C887" s="221" t="s">
        <v>394</v>
      </c>
      <c r="D887" s="101">
        <v>8058</v>
      </c>
      <c r="E887" s="221" t="s">
        <v>210</v>
      </c>
      <c r="F887" s="221">
        <v>2006</v>
      </c>
    </row>
    <row r="888" spans="2:6">
      <c r="B888" s="254">
        <v>39210</v>
      </c>
      <c r="C888" s="221" t="s">
        <v>396</v>
      </c>
      <c r="D888" s="101">
        <v>24457</v>
      </c>
      <c r="E888" s="221" t="s">
        <v>210</v>
      </c>
      <c r="F888" s="221">
        <v>2007</v>
      </c>
    </row>
    <row r="889" spans="2:6">
      <c r="B889" s="254">
        <v>38825</v>
      </c>
      <c r="C889" s="221" t="s">
        <v>395</v>
      </c>
      <c r="D889" s="101">
        <v>21459</v>
      </c>
      <c r="E889" s="221" t="s">
        <v>210</v>
      </c>
      <c r="F889" s="221">
        <v>2006</v>
      </c>
    </row>
    <row r="890" spans="2:6">
      <c r="B890" s="254">
        <v>38934</v>
      </c>
      <c r="C890" s="221" t="s">
        <v>398</v>
      </c>
      <c r="D890" s="101">
        <v>13902</v>
      </c>
      <c r="E890" s="221" t="s">
        <v>212</v>
      </c>
      <c r="F890" s="221">
        <v>2006</v>
      </c>
    </row>
    <row r="891" spans="2:6">
      <c r="B891" s="254">
        <v>39001</v>
      </c>
      <c r="C891" s="221" t="s">
        <v>396</v>
      </c>
      <c r="D891" s="101">
        <v>11639</v>
      </c>
      <c r="E891" s="221" t="s">
        <v>212</v>
      </c>
      <c r="F891" s="221">
        <v>2006</v>
      </c>
    </row>
    <row r="892" spans="2:6">
      <c r="B892" s="254">
        <v>39468</v>
      </c>
      <c r="C892" s="221" t="s">
        <v>394</v>
      </c>
      <c r="D892" s="101">
        <v>11140</v>
      </c>
      <c r="E892" s="221" t="s">
        <v>211</v>
      </c>
      <c r="F892" s="221">
        <v>2008</v>
      </c>
    </row>
    <row r="893" spans="2:6">
      <c r="B893" s="254">
        <v>38844</v>
      </c>
      <c r="C893" s="221" t="s">
        <v>395</v>
      </c>
      <c r="D893" s="101">
        <v>14556</v>
      </c>
      <c r="E893" s="221" t="s">
        <v>210</v>
      </c>
      <c r="F893" s="221">
        <v>2006</v>
      </c>
    </row>
    <row r="894" spans="2:6">
      <c r="B894" s="254">
        <v>39596</v>
      </c>
      <c r="C894" s="221" t="s">
        <v>398</v>
      </c>
      <c r="D894" s="101">
        <v>17450</v>
      </c>
      <c r="E894" s="221" t="s">
        <v>212</v>
      </c>
      <c r="F894" s="221">
        <v>2008</v>
      </c>
    </row>
    <row r="895" spans="2:6">
      <c r="B895" s="254">
        <v>39217</v>
      </c>
      <c r="C895" s="221" t="s">
        <v>396</v>
      </c>
      <c r="D895" s="101">
        <v>16083</v>
      </c>
      <c r="E895" s="221" t="s">
        <v>211</v>
      </c>
      <c r="F895" s="221">
        <v>2007</v>
      </c>
    </row>
    <row r="896" spans="2:6">
      <c r="B896" s="254">
        <v>39122</v>
      </c>
      <c r="C896" s="221" t="s">
        <v>396</v>
      </c>
      <c r="D896" s="101">
        <v>8993</v>
      </c>
      <c r="E896" s="221" t="s">
        <v>213</v>
      </c>
      <c r="F896" s="221">
        <v>2007</v>
      </c>
    </row>
    <row r="897" spans="2:6">
      <c r="B897" s="254">
        <v>39577</v>
      </c>
      <c r="C897" s="221" t="s">
        <v>394</v>
      </c>
      <c r="D897" s="101">
        <v>16617</v>
      </c>
      <c r="E897" s="221" t="s">
        <v>212</v>
      </c>
      <c r="F897" s="221">
        <v>2008</v>
      </c>
    </row>
    <row r="898" spans="2:6">
      <c r="B898" s="254">
        <v>38973</v>
      </c>
      <c r="C898" s="221" t="s">
        <v>398</v>
      </c>
      <c r="D898" s="101">
        <v>28863</v>
      </c>
      <c r="E898" s="221" t="s">
        <v>212</v>
      </c>
      <c r="F898" s="221">
        <v>2006</v>
      </c>
    </row>
    <row r="899" spans="2:6">
      <c r="B899" s="254">
        <v>39587</v>
      </c>
      <c r="C899" s="221" t="s">
        <v>396</v>
      </c>
      <c r="D899" s="101">
        <v>15242</v>
      </c>
      <c r="E899" s="221" t="s">
        <v>211</v>
      </c>
      <c r="F899" s="221">
        <v>2008</v>
      </c>
    </row>
    <row r="900" spans="2:6">
      <c r="B900" s="254">
        <v>39323</v>
      </c>
      <c r="C900" s="221" t="s">
        <v>395</v>
      </c>
      <c r="D900" s="101">
        <v>24453</v>
      </c>
      <c r="E900" s="221" t="s">
        <v>213</v>
      </c>
      <c r="F900" s="221">
        <v>2007</v>
      </c>
    </row>
    <row r="901" spans="2:6">
      <c r="B901" s="254">
        <v>38993</v>
      </c>
      <c r="C901" s="221" t="s">
        <v>396</v>
      </c>
      <c r="D901" s="101">
        <v>36136</v>
      </c>
      <c r="E901" s="221" t="s">
        <v>212</v>
      </c>
      <c r="F901" s="221">
        <v>2006</v>
      </c>
    </row>
    <row r="902" spans="2:6">
      <c r="B902" s="254">
        <v>39370</v>
      </c>
      <c r="C902" s="221" t="s">
        <v>394</v>
      </c>
      <c r="D902" s="101">
        <v>24785</v>
      </c>
      <c r="E902" s="221" t="s">
        <v>213</v>
      </c>
      <c r="F902" s="221">
        <v>2007</v>
      </c>
    </row>
    <row r="903" spans="2:6">
      <c r="B903" s="254">
        <v>38862</v>
      </c>
      <c r="C903" s="221" t="s">
        <v>398</v>
      </c>
      <c r="D903" s="101">
        <v>31702</v>
      </c>
      <c r="E903" s="221" t="s">
        <v>210</v>
      </c>
      <c r="F903" s="221">
        <v>2006</v>
      </c>
    </row>
    <row r="904" spans="2:6">
      <c r="B904" s="254">
        <v>39011</v>
      </c>
      <c r="C904" s="221" t="s">
        <v>396</v>
      </c>
      <c r="D904" s="101">
        <v>36246</v>
      </c>
      <c r="E904" s="221" t="s">
        <v>210</v>
      </c>
      <c r="F904" s="221">
        <v>2006</v>
      </c>
    </row>
    <row r="905" spans="2:6">
      <c r="B905" s="254">
        <v>39527</v>
      </c>
      <c r="C905" s="221" t="s">
        <v>398</v>
      </c>
      <c r="D905" s="101">
        <v>22772</v>
      </c>
      <c r="E905" s="221" t="s">
        <v>212</v>
      </c>
      <c r="F905" s="221">
        <v>2008</v>
      </c>
    </row>
    <row r="906" spans="2:6">
      <c r="B906" s="254">
        <v>38735</v>
      </c>
      <c r="C906" s="221" t="s">
        <v>395</v>
      </c>
      <c r="D906" s="101">
        <v>18209</v>
      </c>
      <c r="E906" s="221" t="s">
        <v>212</v>
      </c>
      <c r="F906" s="221">
        <v>2006</v>
      </c>
    </row>
    <row r="907" spans="2:6">
      <c r="B907" s="254">
        <v>39218</v>
      </c>
      <c r="C907" s="221" t="s">
        <v>394</v>
      </c>
      <c r="D907" s="101">
        <v>13648</v>
      </c>
      <c r="E907" s="221" t="s">
        <v>212</v>
      </c>
      <c r="F907" s="221">
        <v>2007</v>
      </c>
    </row>
    <row r="908" spans="2:6">
      <c r="B908" s="254">
        <v>39074</v>
      </c>
      <c r="C908" s="221" t="s">
        <v>396</v>
      </c>
      <c r="D908" s="101">
        <v>16100</v>
      </c>
      <c r="E908" s="221" t="s">
        <v>213</v>
      </c>
      <c r="F908" s="221">
        <v>2006</v>
      </c>
    </row>
    <row r="909" spans="2:6">
      <c r="B909" s="254">
        <v>39241</v>
      </c>
      <c r="C909" s="221" t="s">
        <v>398</v>
      </c>
      <c r="D909" s="101">
        <v>9089</v>
      </c>
      <c r="E909" s="221" t="s">
        <v>210</v>
      </c>
      <c r="F909" s="221">
        <v>2007</v>
      </c>
    </row>
    <row r="910" spans="2:6">
      <c r="B910" s="254">
        <v>39522</v>
      </c>
      <c r="C910" s="221" t="s">
        <v>396</v>
      </c>
      <c r="D910" s="101">
        <v>5178</v>
      </c>
      <c r="E910" s="221" t="s">
        <v>211</v>
      </c>
      <c r="F910" s="221">
        <v>2008</v>
      </c>
    </row>
    <row r="911" spans="2:6">
      <c r="B911" s="254">
        <v>39392</v>
      </c>
      <c r="C911" s="221" t="s">
        <v>394</v>
      </c>
      <c r="D911" s="101">
        <v>15352</v>
      </c>
      <c r="E911" s="221" t="s">
        <v>210</v>
      </c>
      <c r="F911" s="221">
        <v>2007</v>
      </c>
    </row>
    <row r="912" spans="2:6">
      <c r="B912" s="254">
        <v>38927</v>
      </c>
      <c r="C912" s="221" t="s">
        <v>395</v>
      </c>
      <c r="D912" s="101">
        <v>8684</v>
      </c>
      <c r="E912" s="221" t="s">
        <v>211</v>
      </c>
      <c r="F912" s="221">
        <v>2006</v>
      </c>
    </row>
    <row r="913" spans="2:6">
      <c r="B913" s="254">
        <v>39135</v>
      </c>
      <c r="C913" s="221" t="s">
        <v>398</v>
      </c>
      <c r="D913" s="101">
        <v>8968</v>
      </c>
      <c r="E913" s="221" t="s">
        <v>213</v>
      </c>
      <c r="F913" s="221">
        <v>2007</v>
      </c>
    </row>
    <row r="914" spans="2:6">
      <c r="B914" s="254">
        <v>39214</v>
      </c>
      <c r="C914" s="221" t="s">
        <v>398</v>
      </c>
      <c r="D914" s="101">
        <v>20449</v>
      </c>
      <c r="E914" s="221" t="s">
        <v>210</v>
      </c>
      <c r="F914" s="221">
        <v>2007</v>
      </c>
    </row>
    <row r="915" spans="2:6">
      <c r="B915" s="254">
        <v>39483</v>
      </c>
      <c r="C915" s="221" t="s">
        <v>396</v>
      </c>
      <c r="D915" s="101">
        <v>32211</v>
      </c>
      <c r="E915" s="221" t="s">
        <v>211</v>
      </c>
      <c r="F915" s="221">
        <v>2008</v>
      </c>
    </row>
    <row r="916" spans="2:6">
      <c r="B916" s="254">
        <v>39011</v>
      </c>
      <c r="C916" s="221" t="s">
        <v>396</v>
      </c>
      <c r="D916" s="101">
        <v>16107</v>
      </c>
      <c r="E916" s="221" t="s">
        <v>213</v>
      </c>
      <c r="F916" s="221">
        <v>2006</v>
      </c>
    </row>
    <row r="917" spans="2:6">
      <c r="B917" s="254">
        <v>38732</v>
      </c>
      <c r="C917" s="221" t="s">
        <v>395</v>
      </c>
      <c r="D917" s="101">
        <v>10146</v>
      </c>
      <c r="E917" s="221" t="s">
        <v>210</v>
      </c>
      <c r="F917" s="221">
        <v>2006</v>
      </c>
    </row>
    <row r="918" spans="2:6">
      <c r="B918" s="254">
        <v>38923</v>
      </c>
      <c r="C918" s="221" t="s">
        <v>398</v>
      </c>
      <c r="D918" s="101">
        <v>39847</v>
      </c>
      <c r="E918" s="221" t="s">
        <v>211</v>
      </c>
      <c r="F918" s="221">
        <v>2006</v>
      </c>
    </row>
    <row r="919" spans="2:6">
      <c r="B919" s="254">
        <v>38885</v>
      </c>
      <c r="C919" s="221" t="s">
        <v>394</v>
      </c>
      <c r="D919" s="101">
        <v>30240</v>
      </c>
      <c r="E919" s="221" t="s">
        <v>213</v>
      </c>
      <c r="F919" s="221">
        <v>2006</v>
      </c>
    </row>
    <row r="920" spans="2:6">
      <c r="B920" s="254">
        <v>38995</v>
      </c>
      <c r="C920" s="221" t="s">
        <v>395</v>
      </c>
      <c r="D920" s="101">
        <v>33623</v>
      </c>
      <c r="E920" s="221" t="s">
        <v>211</v>
      </c>
      <c r="F920" s="221">
        <v>2006</v>
      </c>
    </row>
    <row r="921" spans="2:6">
      <c r="B921" s="254">
        <v>39555</v>
      </c>
      <c r="C921" s="221" t="s">
        <v>398</v>
      </c>
      <c r="D921" s="101">
        <v>27438</v>
      </c>
      <c r="E921" s="221" t="s">
        <v>212</v>
      </c>
      <c r="F921" s="221">
        <v>2008</v>
      </c>
    </row>
    <row r="922" spans="2:6">
      <c r="B922" s="254">
        <v>39353</v>
      </c>
      <c r="C922" s="221" t="s">
        <v>396</v>
      </c>
      <c r="D922" s="101">
        <v>39894</v>
      </c>
      <c r="E922" s="221" t="s">
        <v>211</v>
      </c>
      <c r="F922" s="221">
        <v>2007</v>
      </c>
    </row>
    <row r="923" spans="2:6">
      <c r="B923" s="254">
        <v>39235</v>
      </c>
      <c r="C923" s="221" t="s">
        <v>396</v>
      </c>
      <c r="D923" s="101">
        <v>18454</v>
      </c>
      <c r="E923" s="221" t="s">
        <v>212</v>
      </c>
      <c r="F923" s="221">
        <v>2007</v>
      </c>
    </row>
    <row r="924" spans="2:6">
      <c r="B924" s="254">
        <v>39504</v>
      </c>
      <c r="C924" s="221" t="s">
        <v>394</v>
      </c>
      <c r="D924" s="101">
        <v>6338</v>
      </c>
      <c r="E924" s="221" t="s">
        <v>211</v>
      </c>
      <c r="F924" s="221">
        <v>2008</v>
      </c>
    </row>
    <row r="925" spans="2:6">
      <c r="B925" s="254">
        <v>39551</v>
      </c>
      <c r="C925" s="221" t="s">
        <v>394</v>
      </c>
      <c r="D925" s="101">
        <v>31429</v>
      </c>
      <c r="E925" s="221" t="s">
        <v>213</v>
      </c>
      <c r="F925" s="221">
        <v>2008</v>
      </c>
    </row>
    <row r="926" spans="2:6">
      <c r="B926" s="254">
        <v>39208</v>
      </c>
      <c r="C926" s="221" t="s">
        <v>398</v>
      </c>
      <c r="D926" s="101">
        <v>18394</v>
      </c>
      <c r="E926" s="221" t="s">
        <v>210</v>
      </c>
      <c r="F926" s="221">
        <v>2007</v>
      </c>
    </row>
    <row r="927" spans="2:6">
      <c r="B927" s="254">
        <v>39182</v>
      </c>
      <c r="C927" s="221" t="s">
        <v>394</v>
      </c>
      <c r="D927" s="101">
        <v>20114</v>
      </c>
      <c r="E927" s="221" t="s">
        <v>213</v>
      </c>
      <c r="F927" s="221">
        <v>2007</v>
      </c>
    </row>
    <row r="928" spans="2:6">
      <c r="B928" s="254">
        <v>38888</v>
      </c>
      <c r="C928" s="221" t="s">
        <v>396</v>
      </c>
      <c r="D928" s="101">
        <v>7833</v>
      </c>
      <c r="E928" s="221" t="s">
        <v>210</v>
      </c>
      <c r="F928" s="221">
        <v>2006</v>
      </c>
    </row>
    <row r="929" spans="2:6">
      <c r="B929" s="254">
        <v>39021</v>
      </c>
      <c r="C929" s="221" t="s">
        <v>395</v>
      </c>
      <c r="D929" s="101">
        <v>35447</v>
      </c>
      <c r="E929" s="221" t="s">
        <v>213</v>
      </c>
      <c r="F929" s="221">
        <v>2006</v>
      </c>
    </row>
    <row r="930" spans="2:6">
      <c r="B930" s="254">
        <v>39321</v>
      </c>
      <c r="C930" s="221" t="s">
        <v>394</v>
      </c>
      <c r="D930" s="101">
        <v>7469</v>
      </c>
      <c r="E930" s="221" t="s">
        <v>210</v>
      </c>
      <c r="F930" s="221">
        <v>2007</v>
      </c>
    </row>
    <row r="931" spans="2:6">
      <c r="B931" s="254">
        <v>39148</v>
      </c>
      <c r="C931" s="221" t="s">
        <v>398</v>
      </c>
      <c r="D931" s="101">
        <v>5581</v>
      </c>
      <c r="E931" s="221" t="s">
        <v>210</v>
      </c>
      <c r="F931" s="221">
        <v>2007</v>
      </c>
    </row>
    <row r="932" spans="2:6">
      <c r="B932" s="254">
        <v>38887</v>
      </c>
      <c r="C932" s="221" t="s">
        <v>398</v>
      </c>
      <c r="D932" s="101">
        <v>15476</v>
      </c>
      <c r="E932" s="221" t="s">
        <v>213</v>
      </c>
      <c r="F932" s="221">
        <v>2006</v>
      </c>
    </row>
    <row r="933" spans="2:6">
      <c r="B933" s="254">
        <v>39054</v>
      </c>
      <c r="C933" s="221" t="s">
        <v>394</v>
      </c>
      <c r="D933" s="101">
        <v>6922</v>
      </c>
      <c r="E933" s="221" t="s">
        <v>211</v>
      </c>
      <c r="F933" s="221">
        <v>2006</v>
      </c>
    </row>
    <row r="934" spans="2:6">
      <c r="B934" s="254">
        <v>39172</v>
      </c>
      <c r="C934" s="221" t="s">
        <v>395</v>
      </c>
      <c r="D934" s="101">
        <v>36304</v>
      </c>
      <c r="E934" s="221" t="s">
        <v>212</v>
      </c>
      <c r="F934" s="221">
        <v>2007</v>
      </c>
    </row>
    <row r="935" spans="2:6">
      <c r="B935" s="254">
        <v>39182</v>
      </c>
      <c r="C935" s="221" t="s">
        <v>396</v>
      </c>
      <c r="D935" s="101">
        <v>33778</v>
      </c>
      <c r="E935" s="221" t="s">
        <v>210</v>
      </c>
      <c r="F935" s="221">
        <v>2007</v>
      </c>
    </row>
    <row r="936" spans="2:6">
      <c r="B936" s="254">
        <v>39366</v>
      </c>
      <c r="C936" s="221" t="s">
        <v>396</v>
      </c>
      <c r="D936" s="101">
        <v>11701</v>
      </c>
      <c r="E936" s="221" t="s">
        <v>213</v>
      </c>
      <c r="F936" s="221">
        <v>2007</v>
      </c>
    </row>
    <row r="937" spans="2:6">
      <c r="B937" s="254">
        <v>39340</v>
      </c>
      <c r="C937" s="221" t="s">
        <v>395</v>
      </c>
      <c r="D937" s="101">
        <v>25898</v>
      </c>
      <c r="E937" s="221" t="s">
        <v>213</v>
      </c>
      <c r="F937" s="221">
        <v>2007</v>
      </c>
    </row>
    <row r="938" spans="2:6">
      <c r="B938" s="254">
        <v>39160</v>
      </c>
      <c r="C938" s="221" t="s">
        <v>395</v>
      </c>
      <c r="D938" s="101">
        <v>26895</v>
      </c>
      <c r="E938" s="221" t="s">
        <v>213</v>
      </c>
      <c r="F938" s="221">
        <v>2007</v>
      </c>
    </row>
    <row r="939" spans="2:6">
      <c r="B939" s="254">
        <v>38788</v>
      </c>
      <c r="C939" s="221" t="s">
        <v>396</v>
      </c>
      <c r="D939" s="101">
        <v>22948</v>
      </c>
      <c r="E939" s="221" t="s">
        <v>210</v>
      </c>
      <c r="F939" s="221">
        <v>2006</v>
      </c>
    </row>
    <row r="940" spans="2:6">
      <c r="B940" s="254">
        <v>38868</v>
      </c>
      <c r="C940" s="221" t="s">
        <v>394</v>
      </c>
      <c r="D940" s="101">
        <v>14488</v>
      </c>
      <c r="E940" s="221" t="s">
        <v>211</v>
      </c>
      <c r="F940" s="221">
        <v>2006</v>
      </c>
    </row>
    <row r="941" spans="2:6">
      <c r="B941" s="254">
        <v>38886</v>
      </c>
      <c r="C941" s="221" t="s">
        <v>395</v>
      </c>
      <c r="D941" s="101">
        <v>14115</v>
      </c>
      <c r="E941" s="221" t="s">
        <v>210</v>
      </c>
      <c r="F941" s="221">
        <v>2006</v>
      </c>
    </row>
    <row r="942" spans="2:6">
      <c r="B942" s="254">
        <v>39074</v>
      </c>
      <c r="C942" s="221" t="s">
        <v>398</v>
      </c>
      <c r="D942" s="101">
        <v>28035</v>
      </c>
      <c r="E942" s="221" t="s">
        <v>213</v>
      </c>
      <c r="F942" s="221">
        <v>2006</v>
      </c>
    </row>
    <row r="943" spans="2:6">
      <c r="B943" s="254">
        <v>39598</v>
      </c>
      <c r="C943" s="221" t="s">
        <v>394</v>
      </c>
      <c r="D943" s="101">
        <v>38250</v>
      </c>
      <c r="E943" s="221" t="s">
        <v>212</v>
      </c>
      <c r="F943" s="221">
        <v>2008</v>
      </c>
    </row>
    <row r="944" spans="2:6">
      <c r="B944" s="254">
        <v>39099</v>
      </c>
      <c r="C944" s="221" t="s">
        <v>395</v>
      </c>
      <c r="D944" s="101">
        <v>22339</v>
      </c>
      <c r="E944" s="221" t="s">
        <v>212</v>
      </c>
      <c r="F944" s="221">
        <v>2007</v>
      </c>
    </row>
    <row r="945" spans="2:6">
      <c r="B945" s="254">
        <v>39247</v>
      </c>
      <c r="C945" s="221" t="s">
        <v>398</v>
      </c>
      <c r="D945" s="101">
        <v>25124</v>
      </c>
      <c r="E945" s="221" t="s">
        <v>212</v>
      </c>
      <c r="F945" s="221">
        <v>2007</v>
      </c>
    </row>
    <row r="946" spans="2:6">
      <c r="B946" s="254">
        <v>39580</v>
      </c>
      <c r="C946" s="221" t="s">
        <v>395</v>
      </c>
      <c r="D946" s="101">
        <v>39929</v>
      </c>
      <c r="E946" s="221" t="s">
        <v>212</v>
      </c>
      <c r="F946" s="221">
        <v>2008</v>
      </c>
    </row>
    <row r="947" spans="2:6">
      <c r="B947" s="254">
        <v>38814</v>
      </c>
      <c r="C947" s="221" t="s">
        <v>396</v>
      </c>
      <c r="D947" s="101">
        <v>26615</v>
      </c>
      <c r="E947" s="221" t="s">
        <v>211</v>
      </c>
      <c r="F947" s="221">
        <v>2006</v>
      </c>
    </row>
    <row r="948" spans="2:6">
      <c r="B948" s="254">
        <v>39377</v>
      </c>
      <c r="C948" s="221" t="s">
        <v>395</v>
      </c>
      <c r="D948" s="101">
        <v>36328</v>
      </c>
      <c r="E948" s="221" t="s">
        <v>211</v>
      </c>
      <c r="F948" s="221">
        <v>2007</v>
      </c>
    </row>
    <row r="949" spans="2:6">
      <c r="B949" s="254">
        <v>38918</v>
      </c>
      <c r="C949" s="221" t="s">
        <v>396</v>
      </c>
      <c r="D949" s="101">
        <v>9713</v>
      </c>
      <c r="E949" s="221" t="s">
        <v>213</v>
      </c>
      <c r="F949" s="221">
        <v>2006</v>
      </c>
    </row>
    <row r="950" spans="2:6">
      <c r="B950" s="254">
        <v>39536</v>
      </c>
      <c r="C950" s="221" t="s">
        <v>394</v>
      </c>
      <c r="D950" s="101">
        <v>24318</v>
      </c>
      <c r="E950" s="221" t="s">
        <v>212</v>
      </c>
      <c r="F950" s="221">
        <v>2008</v>
      </c>
    </row>
    <row r="951" spans="2:6">
      <c r="B951" s="254">
        <v>39157</v>
      </c>
      <c r="C951" s="221" t="s">
        <v>398</v>
      </c>
      <c r="D951" s="101">
        <v>29705</v>
      </c>
      <c r="E951" s="221" t="s">
        <v>212</v>
      </c>
      <c r="F951" s="221">
        <v>2007</v>
      </c>
    </row>
    <row r="952" spans="2:6">
      <c r="B952" s="254">
        <v>39286</v>
      </c>
      <c r="C952" s="221" t="s">
        <v>398</v>
      </c>
      <c r="D952" s="101">
        <v>31775</v>
      </c>
      <c r="E952" s="221" t="s">
        <v>212</v>
      </c>
      <c r="F952" s="221">
        <v>2007</v>
      </c>
    </row>
    <row r="953" spans="2:6">
      <c r="B953" s="254">
        <v>39226</v>
      </c>
      <c r="C953" s="221" t="s">
        <v>398</v>
      </c>
      <c r="D953" s="101">
        <v>23321</v>
      </c>
      <c r="E953" s="221" t="s">
        <v>211</v>
      </c>
      <c r="F953" s="221">
        <v>2007</v>
      </c>
    </row>
    <row r="954" spans="2:6">
      <c r="B954" s="254">
        <v>38810</v>
      </c>
      <c r="C954" s="221" t="s">
        <v>396</v>
      </c>
      <c r="D954" s="101">
        <v>12391</v>
      </c>
      <c r="E954" s="221" t="s">
        <v>210</v>
      </c>
      <c r="F954" s="221">
        <v>2006</v>
      </c>
    </row>
    <row r="955" spans="2:6">
      <c r="B955" s="254">
        <v>39009</v>
      </c>
      <c r="C955" s="221" t="s">
        <v>398</v>
      </c>
      <c r="D955" s="101">
        <v>22288</v>
      </c>
      <c r="E955" s="221" t="s">
        <v>213</v>
      </c>
      <c r="F955" s="221">
        <v>2006</v>
      </c>
    </row>
    <row r="956" spans="2:6">
      <c r="B956" s="254">
        <v>39437</v>
      </c>
      <c r="C956" s="221" t="s">
        <v>396</v>
      </c>
      <c r="D956" s="101">
        <v>25264</v>
      </c>
      <c r="E956" s="221" t="s">
        <v>211</v>
      </c>
      <c r="F956" s="221">
        <v>2007</v>
      </c>
    </row>
    <row r="957" spans="2:6">
      <c r="B957" s="254">
        <v>39010</v>
      </c>
      <c r="C957" s="221" t="s">
        <v>394</v>
      </c>
      <c r="D957" s="101">
        <v>25358</v>
      </c>
      <c r="E957" s="221" t="s">
        <v>212</v>
      </c>
      <c r="F957" s="221">
        <v>2006</v>
      </c>
    </row>
    <row r="958" spans="2:6">
      <c r="B958" s="254">
        <v>39545</v>
      </c>
      <c r="C958" s="221" t="s">
        <v>396</v>
      </c>
      <c r="D958" s="101">
        <v>6246</v>
      </c>
      <c r="E958" s="221" t="s">
        <v>212</v>
      </c>
      <c r="F958" s="221">
        <v>2008</v>
      </c>
    </row>
    <row r="959" spans="2:6">
      <c r="B959" s="254">
        <v>38823</v>
      </c>
      <c r="C959" s="221" t="s">
        <v>395</v>
      </c>
      <c r="D959" s="101">
        <v>19056</v>
      </c>
      <c r="E959" s="221" t="s">
        <v>210</v>
      </c>
      <c r="F959" s="221">
        <v>2006</v>
      </c>
    </row>
    <row r="960" spans="2:6">
      <c r="B960" s="254">
        <v>39093</v>
      </c>
      <c r="C960" s="221" t="s">
        <v>394</v>
      </c>
      <c r="D960" s="101">
        <v>23555</v>
      </c>
      <c r="E960" s="221" t="s">
        <v>210</v>
      </c>
      <c r="F960" s="221">
        <v>2007</v>
      </c>
    </row>
    <row r="961" spans="2:6">
      <c r="B961" s="254">
        <v>39387</v>
      </c>
      <c r="C961" s="221" t="s">
        <v>394</v>
      </c>
      <c r="D961" s="101">
        <v>34909</v>
      </c>
      <c r="E961" s="221" t="s">
        <v>213</v>
      </c>
      <c r="F961" s="221">
        <v>2007</v>
      </c>
    </row>
    <row r="962" spans="2:6">
      <c r="B962" s="254">
        <v>39325</v>
      </c>
      <c r="C962" s="221" t="s">
        <v>396</v>
      </c>
      <c r="D962" s="101">
        <v>24056</v>
      </c>
      <c r="E962" s="221" t="s">
        <v>210</v>
      </c>
      <c r="F962" s="221">
        <v>2007</v>
      </c>
    </row>
    <row r="963" spans="2:6">
      <c r="B963" s="254">
        <v>39175</v>
      </c>
      <c r="C963" s="221" t="s">
        <v>395</v>
      </c>
      <c r="D963" s="101">
        <v>7045</v>
      </c>
      <c r="E963" s="221" t="s">
        <v>210</v>
      </c>
      <c r="F963" s="221">
        <v>2007</v>
      </c>
    </row>
    <row r="964" spans="2:6">
      <c r="B964" s="254">
        <v>39513</v>
      </c>
      <c r="C964" s="221" t="s">
        <v>396</v>
      </c>
      <c r="D964" s="101">
        <v>22861</v>
      </c>
      <c r="E964" s="221" t="s">
        <v>212</v>
      </c>
      <c r="F964" s="221">
        <v>2008</v>
      </c>
    </row>
    <row r="965" spans="2:6">
      <c r="B965" s="254">
        <v>38793</v>
      </c>
      <c r="C965" s="221" t="s">
        <v>398</v>
      </c>
      <c r="D965" s="101">
        <v>7626</v>
      </c>
      <c r="E965" s="221" t="s">
        <v>213</v>
      </c>
      <c r="F965" s="221">
        <v>2006</v>
      </c>
    </row>
    <row r="966" spans="2:6">
      <c r="B966" s="254">
        <v>38856</v>
      </c>
      <c r="C966" s="221" t="s">
        <v>398</v>
      </c>
      <c r="D966" s="101">
        <v>33417</v>
      </c>
      <c r="E966" s="221" t="s">
        <v>213</v>
      </c>
      <c r="F966" s="221">
        <v>2006</v>
      </c>
    </row>
    <row r="967" spans="2:6">
      <c r="B967" s="254">
        <v>39313</v>
      </c>
      <c r="C967" s="221" t="s">
        <v>395</v>
      </c>
      <c r="D967" s="101">
        <v>28675</v>
      </c>
      <c r="E967" s="221" t="s">
        <v>211</v>
      </c>
      <c r="F967" s="221">
        <v>2007</v>
      </c>
    </row>
    <row r="968" spans="2:6">
      <c r="B968" s="254">
        <v>39493</v>
      </c>
      <c r="C968" s="221" t="s">
        <v>394</v>
      </c>
      <c r="D968" s="101">
        <v>9446</v>
      </c>
      <c r="E968" s="221" t="s">
        <v>212</v>
      </c>
      <c r="F968" s="221">
        <v>2008</v>
      </c>
    </row>
    <row r="969" spans="2:6">
      <c r="B969" s="254">
        <v>39321</v>
      </c>
      <c r="C969" s="221" t="s">
        <v>398</v>
      </c>
      <c r="D969" s="101">
        <v>27440</v>
      </c>
      <c r="E969" s="221" t="s">
        <v>210</v>
      </c>
      <c r="F969" s="221">
        <v>2007</v>
      </c>
    </row>
    <row r="970" spans="2:6">
      <c r="B970" s="254">
        <v>39452</v>
      </c>
      <c r="C970" s="221" t="s">
        <v>394</v>
      </c>
      <c r="D970" s="101">
        <v>18757</v>
      </c>
      <c r="E970" s="221" t="s">
        <v>210</v>
      </c>
      <c r="F970" s="221">
        <v>2008</v>
      </c>
    </row>
    <row r="971" spans="2:6">
      <c r="B971" s="254">
        <v>38890</v>
      </c>
      <c r="C971" s="221" t="s">
        <v>394</v>
      </c>
      <c r="D971" s="101">
        <v>11513</v>
      </c>
      <c r="E971" s="221" t="s">
        <v>212</v>
      </c>
      <c r="F971" s="221">
        <v>2006</v>
      </c>
    </row>
    <row r="972" spans="2:6">
      <c r="B972" s="254">
        <v>38996</v>
      </c>
      <c r="C972" s="221" t="s">
        <v>398</v>
      </c>
      <c r="D972" s="101">
        <v>27658</v>
      </c>
      <c r="E972" s="221" t="s">
        <v>210</v>
      </c>
      <c r="F972" s="221">
        <v>2006</v>
      </c>
    </row>
    <row r="973" spans="2:6">
      <c r="B973" s="254">
        <v>38776</v>
      </c>
      <c r="C973" s="221" t="s">
        <v>395</v>
      </c>
      <c r="D973" s="101">
        <v>39111</v>
      </c>
      <c r="E973" s="221" t="s">
        <v>211</v>
      </c>
      <c r="F973" s="221">
        <v>2006</v>
      </c>
    </row>
    <row r="974" spans="2:6">
      <c r="B974" s="254">
        <v>39510</v>
      </c>
      <c r="C974" s="221" t="s">
        <v>395</v>
      </c>
      <c r="D974" s="101">
        <v>31302</v>
      </c>
      <c r="E974" s="221" t="s">
        <v>210</v>
      </c>
      <c r="F974" s="221">
        <v>2008</v>
      </c>
    </row>
    <row r="975" spans="2:6">
      <c r="B975" s="254">
        <v>38770</v>
      </c>
      <c r="C975" s="221" t="s">
        <v>398</v>
      </c>
      <c r="D975" s="101">
        <v>28168</v>
      </c>
      <c r="E975" s="221" t="s">
        <v>210</v>
      </c>
      <c r="F975" s="221">
        <v>2006</v>
      </c>
    </row>
    <row r="976" spans="2:6">
      <c r="B976" s="254">
        <v>39098</v>
      </c>
      <c r="C976" s="221" t="s">
        <v>395</v>
      </c>
      <c r="D976" s="101">
        <v>22655</v>
      </c>
      <c r="E976" s="221" t="s">
        <v>212</v>
      </c>
      <c r="F976" s="221">
        <v>2007</v>
      </c>
    </row>
    <row r="977" spans="2:6">
      <c r="B977" s="254">
        <v>39518</v>
      </c>
      <c r="C977" s="221" t="s">
        <v>398</v>
      </c>
      <c r="D977" s="101">
        <v>10865</v>
      </c>
      <c r="E977" s="221" t="s">
        <v>210</v>
      </c>
      <c r="F977" s="221">
        <v>2008</v>
      </c>
    </row>
    <row r="978" spans="2:6">
      <c r="B978" s="254">
        <v>38790</v>
      </c>
      <c r="C978" s="221" t="s">
        <v>394</v>
      </c>
      <c r="D978" s="101">
        <v>35955</v>
      </c>
      <c r="E978" s="221" t="s">
        <v>213</v>
      </c>
      <c r="F978" s="221">
        <v>2006</v>
      </c>
    </row>
    <row r="979" spans="2:6">
      <c r="B979" s="254">
        <v>39157</v>
      </c>
      <c r="C979" s="221" t="s">
        <v>395</v>
      </c>
      <c r="D979" s="101">
        <v>21859</v>
      </c>
      <c r="E979" s="221" t="s">
        <v>213</v>
      </c>
      <c r="F979" s="221">
        <v>2007</v>
      </c>
    </row>
    <row r="980" spans="2:6">
      <c r="B980" s="254">
        <v>39094</v>
      </c>
      <c r="C980" s="221" t="s">
        <v>398</v>
      </c>
      <c r="D980" s="101">
        <v>39986</v>
      </c>
      <c r="E980" s="221" t="s">
        <v>213</v>
      </c>
      <c r="F980" s="221">
        <v>2007</v>
      </c>
    </row>
    <row r="981" spans="2:6">
      <c r="B981" s="254">
        <v>38952</v>
      </c>
      <c r="C981" s="221" t="s">
        <v>396</v>
      </c>
      <c r="D981" s="101">
        <v>18402</v>
      </c>
      <c r="E981" s="221" t="s">
        <v>210</v>
      </c>
      <c r="F981" s="221">
        <v>2006</v>
      </c>
    </row>
    <row r="982" spans="2:6">
      <c r="B982" s="254">
        <v>39426</v>
      </c>
      <c r="C982" s="221" t="s">
        <v>398</v>
      </c>
      <c r="D982" s="101">
        <v>31806</v>
      </c>
      <c r="E982" s="221" t="s">
        <v>211</v>
      </c>
      <c r="F982" s="221">
        <v>2007</v>
      </c>
    </row>
    <row r="983" spans="2:6">
      <c r="B983" s="254">
        <v>39086</v>
      </c>
      <c r="C983" s="221" t="s">
        <v>395</v>
      </c>
      <c r="D983" s="101">
        <v>29447</v>
      </c>
      <c r="E983" s="221" t="s">
        <v>210</v>
      </c>
      <c r="F983" s="221">
        <v>2007</v>
      </c>
    </row>
    <row r="984" spans="2:6">
      <c r="B984" s="254">
        <v>39141</v>
      </c>
      <c r="C984" s="221" t="s">
        <v>394</v>
      </c>
      <c r="D984" s="101">
        <v>7746</v>
      </c>
      <c r="E984" s="221" t="s">
        <v>211</v>
      </c>
      <c r="F984" s="221">
        <v>2007</v>
      </c>
    </row>
    <row r="985" spans="2:6">
      <c r="B985" s="254">
        <v>39314</v>
      </c>
      <c r="C985" s="221" t="s">
        <v>395</v>
      </c>
      <c r="D985" s="101">
        <v>16109</v>
      </c>
      <c r="E985" s="221" t="s">
        <v>210</v>
      </c>
      <c r="F985" s="221">
        <v>2007</v>
      </c>
    </row>
    <row r="986" spans="2:6">
      <c r="B986" s="254">
        <v>39202</v>
      </c>
      <c r="C986" s="221" t="s">
        <v>398</v>
      </c>
      <c r="D986" s="101">
        <v>27975</v>
      </c>
      <c r="E986" s="221" t="s">
        <v>212</v>
      </c>
      <c r="F986" s="221">
        <v>2007</v>
      </c>
    </row>
    <row r="987" spans="2:6">
      <c r="B987" s="254">
        <v>39156</v>
      </c>
      <c r="C987" s="221" t="s">
        <v>395</v>
      </c>
      <c r="D987" s="101">
        <v>32651</v>
      </c>
      <c r="E987" s="221" t="s">
        <v>210</v>
      </c>
      <c r="F987" s="221">
        <v>2007</v>
      </c>
    </row>
    <row r="988" spans="2:6">
      <c r="B988" s="254">
        <v>39133</v>
      </c>
      <c r="C988" s="221" t="s">
        <v>394</v>
      </c>
      <c r="D988" s="101">
        <v>28955</v>
      </c>
      <c r="E988" s="221" t="s">
        <v>212</v>
      </c>
      <c r="F988" s="221">
        <v>2007</v>
      </c>
    </row>
    <row r="989" spans="2:6">
      <c r="B989" s="254">
        <v>39529</v>
      </c>
      <c r="C989" s="221" t="s">
        <v>394</v>
      </c>
      <c r="D989" s="101">
        <v>13418</v>
      </c>
      <c r="E989" s="221" t="s">
        <v>210</v>
      </c>
      <c r="F989" s="221">
        <v>2008</v>
      </c>
    </row>
    <row r="990" spans="2:6">
      <c r="B990" s="254">
        <v>39537</v>
      </c>
      <c r="C990" s="221" t="s">
        <v>396</v>
      </c>
      <c r="D990" s="101">
        <v>28675</v>
      </c>
      <c r="E990" s="221" t="s">
        <v>212</v>
      </c>
      <c r="F990" s="221">
        <v>2008</v>
      </c>
    </row>
    <row r="991" spans="2:6">
      <c r="B991" s="254">
        <v>39301</v>
      </c>
      <c r="C991" s="221" t="s">
        <v>394</v>
      </c>
      <c r="D991" s="101">
        <v>8381</v>
      </c>
      <c r="E991" s="221" t="s">
        <v>212</v>
      </c>
      <c r="F991" s="221">
        <v>2007</v>
      </c>
    </row>
    <row r="992" spans="2:6">
      <c r="B992" s="254">
        <v>39276</v>
      </c>
      <c r="C992" s="221" t="s">
        <v>394</v>
      </c>
      <c r="D992" s="101">
        <v>32542</v>
      </c>
      <c r="E992" s="221" t="s">
        <v>211</v>
      </c>
      <c r="F992" s="221">
        <v>2007</v>
      </c>
    </row>
    <row r="993" spans="2:6">
      <c r="B993" s="254">
        <v>39447</v>
      </c>
      <c r="C993" s="221" t="s">
        <v>395</v>
      </c>
      <c r="D993" s="101">
        <v>39659</v>
      </c>
      <c r="E993" s="221" t="s">
        <v>213</v>
      </c>
      <c r="F993" s="221">
        <v>2007</v>
      </c>
    </row>
    <row r="994" spans="2:6">
      <c r="B994" s="254">
        <v>39498</v>
      </c>
      <c r="C994" s="221" t="s">
        <v>396</v>
      </c>
      <c r="D994" s="101">
        <v>18179</v>
      </c>
      <c r="E994" s="221" t="s">
        <v>210</v>
      </c>
      <c r="F994" s="221">
        <v>2008</v>
      </c>
    </row>
    <row r="995" spans="2:6">
      <c r="B995" s="254">
        <v>39200</v>
      </c>
      <c r="C995" s="221" t="s">
        <v>398</v>
      </c>
      <c r="D995" s="101">
        <v>35519</v>
      </c>
      <c r="E995" s="221" t="s">
        <v>212</v>
      </c>
      <c r="F995" s="221">
        <v>2007</v>
      </c>
    </row>
    <row r="996" spans="2:6">
      <c r="B996" s="254">
        <v>38800</v>
      </c>
      <c r="C996" s="221" t="s">
        <v>394</v>
      </c>
      <c r="D996" s="101">
        <v>13056</v>
      </c>
      <c r="E996" s="221" t="s">
        <v>213</v>
      </c>
      <c r="F996" s="221">
        <v>2006</v>
      </c>
    </row>
    <row r="997" spans="2:6">
      <c r="B997" s="254">
        <v>39427</v>
      </c>
      <c r="C997" s="221" t="s">
        <v>394</v>
      </c>
      <c r="D997" s="101">
        <v>35046</v>
      </c>
      <c r="E997" s="221" t="s">
        <v>210</v>
      </c>
      <c r="F997" s="221">
        <v>2007</v>
      </c>
    </row>
    <row r="998" spans="2:6">
      <c r="B998" s="254">
        <v>39210</v>
      </c>
      <c r="C998" s="221" t="s">
        <v>395</v>
      </c>
      <c r="D998" s="101">
        <v>8037</v>
      </c>
      <c r="E998" s="221" t="s">
        <v>213</v>
      </c>
      <c r="F998" s="221">
        <v>2007</v>
      </c>
    </row>
    <row r="999" spans="2:6">
      <c r="B999" s="254">
        <v>39488</v>
      </c>
      <c r="C999" s="221" t="s">
        <v>396</v>
      </c>
      <c r="D999" s="101">
        <v>36206</v>
      </c>
      <c r="E999" s="221" t="s">
        <v>213</v>
      </c>
      <c r="F999" s="221">
        <v>2008</v>
      </c>
    </row>
    <row r="1000" spans="2:6">
      <c r="B1000" s="254">
        <v>38881</v>
      </c>
      <c r="C1000" s="221" t="s">
        <v>394</v>
      </c>
      <c r="D1000" s="101">
        <v>31171</v>
      </c>
      <c r="E1000" s="221" t="s">
        <v>211</v>
      </c>
      <c r="F1000" s="221">
        <v>2006</v>
      </c>
    </row>
    <row r="1001" spans="2:6">
      <c r="B1001" s="254">
        <v>38823</v>
      </c>
      <c r="C1001" s="221" t="s">
        <v>395</v>
      </c>
      <c r="D1001" s="101">
        <v>12130</v>
      </c>
      <c r="E1001" s="221" t="s">
        <v>211</v>
      </c>
      <c r="F1001" s="221">
        <v>2006</v>
      </c>
    </row>
    <row r="1002" spans="2:6">
      <c r="B1002" s="254">
        <v>38770</v>
      </c>
      <c r="C1002" s="221" t="s">
        <v>395</v>
      </c>
      <c r="D1002" s="101">
        <v>30590</v>
      </c>
      <c r="E1002" s="221" t="s">
        <v>210</v>
      </c>
      <c r="F1002" s="221">
        <v>2006</v>
      </c>
    </row>
    <row r="1003" spans="2:6">
      <c r="B1003" s="254">
        <v>39475</v>
      </c>
      <c r="C1003" s="221" t="s">
        <v>396</v>
      </c>
      <c r="D1003" s="101">
        <v>28103</v>
      </c>
      <c r="E1003" s="221" t="s">
        <v>210</v>
      </c>
      <c r="F1003" s="221">
        <v>2008</v>
      </c>
    </row>
    <row r="1004" spans="2:6">
      <c r="B1004" s="254">
        <v>39610</v>
      </c>
      <c r="C1004" s="221" t="s">
        <v>394</v>
      </c>
      <c r="D1004" s="101">
        <v>37525</v>
      </c>
      <c r="E1004" s="221" t="s">
        <v>210</v>
      </c>
      <c r="F1004" s="221">
        <v>2008</v>
      </c>
    </row>
    <row r="1005" spans="2:6">
      <c r="B1005" s="254">
        <v>39089</v>
      </c>
      <c r="C1005" s="221" t="s">
        <v>395</v>
      </c>
      <c r="D1005" s="101">
        <v>22697</v>
      </c>
      <c r="E1005" s="221" t="s">
        <v>211</v>
      </c>
      <c r="F1005" s="221">
        <v>2007</v>
      </c>
    </row>
    <row r="1006" spans="2:6">
      <c r="B1006" s="254">
        <v>39199</v>
      </c>
      <c r="C1006" s="221" t="s">
        <v>398</v>
      </c>
      <c r="D1006" s="101">
        <v>6688</v>
      </c>
      <c r="E1006" s="221" t="s">
        <v>210</v>
      </c>
      <c r="F1006" s="221">
        <v>2007</v>
      </c>
    </row>
    <row r="1007" spans="2:6">
      <c r="B1007" s="254">
        <v>38742</v>
      </c>
      <c r="C1007" s="221" t="s">
        <v>395</v>
      </c>
      <c r="D1007" s="101">
        <v>17483</v>
      </c>
      <c r="E1007" s="221" t="s">
        <v>213</v>
      </c>
      <c r="F1007" s="221">
        <v>2006</v>
      </c>
    </row>
    <row r="1008" spans="2:6">
      <c r="B1008" s="254">
        <v>39599</v>
      </c>
      <c r="C1008" s="221" t="s">
        <v>394</v>
      </c>
      <c r="D1008" s="101">
        <v>33562</v>
      </c>
      <c r="E1008" s="221" t="s">
        <v>211</v>
      </c>
      <c r="F1008" s="221">
        <v>2008</v>
      </c>
    </row>
    <row r="1009" spans="2:6">
      <c r="B1009" s="254">
        <v>39187</v>
      </c>
      <c r="C1009" s="221" t="s">
        <v>398</v>
      </c>
      <c r="D1009" s="101">
        <v>22373</v>
      </c>
      <c r="E1009" s="221" t="s">
        <v>213</v>
      </c>
      <c r="F1009" s="221">
        <v>2007</v>
      </c>
    </row>
    <row r="1010" spans="2:6">
      <c r="B1010" s="254">
        <v>39149</v>
      </c>
      <c r="C1010" s="221" t="s">
        <v>398</v>
      </c>
      <c r="D1010" s="101">
        <v>6875</v>
      </c>
      <c r="E1010" s="221" t="s">
        <v>213</v>
      </c>
      <c r="F1010" s="221">
        <v>2007</v>
      </c>
    </row>
    <row r="1011" spans="2:6">
      <c r="B1011" s="254">
        <v>39123</v>
      </c>
      <c r="C1011" s="221" t="s">
        <v>398</v>
      </c>
      <c r="D1011" s="101">
        <v>31304</v>
      </c>
      <c r="E1011" s="221" t="s">
        <v>210</v>
      </c>
      <c r="F1011" s="221">
        <v>2007</v>
      </c>
    </row>
    <row r="1012" spans="2:6">
      <c r="B1012" s="254">
        <v>39111</v>
      </c>
      <c r="C1012" s="221" t="s">
        <v>395</v>
      </c>
      <c r="D1012" s="101">
        <v>23655</v>
      </c>
      <c r="E1012" s="221" t="s">
        <v>213</v>
      </c>
      <c r="F1012" s="221">
        <v>2007</v>
      </c>
    </row>
    <row r="1013" spans="2:6">
      <c r="B1013" s="254">
        <v>39117</v>
      </c>
      <c r="C1013" s="221" t="s">
        <v>395</v>
      </c>
      <c r="D1013" s="101">
        <v>25013</v>
      </c>
      <c r="E1013" s="221" t="s">
        <v>213</v>
      </c>
      <c r="F1013" s="221">
        <v>2007</v>
      </c>
    </row>
    <row r="1014" spans="2:6">
      <c r="B1014" s="254">
        <v>39228</v>
      </c>
      <c r="C1014" s="221" t="s">
        <v>394</v>
      </c>
      <c r="D1014" s="101">
        <v>22431</v>
      </c>
      <c r="E1014" s="221" t="s">
        <v>213</v>
      </c>
      <c r="F1014" s="221">
        <v>2007</v>
      </c>
    </row>
    <row r="1015" spans="2:6">
      <c r="B1015" s="254">
        <v>39481</v>
      </c>
      <c r="C1015" s="221" t="s">
        <v>395</v>
      </c>
      <c r="D1015" s="101">
        <v>32497</v>
      </c>
      <c r="E1015" s="221" t="s">
        <v>212</v>
      </c>
      <c r="F1015" s="221">
        <v>2008</v>
      </c>
    </row>
    <row r="1016" spans="2:6">
      <c r="B1016" s="254">
        <v>39058</v>
      </c>
      <c r="C1016" s="221" t="s">
        <v>394</v>
      </c>
      <c r="D1016" s="101">
        <v>23302</v>
      </c>
      <c r="E1016" s="221" t="s">
        <v>213</v>
      </c>
      <c r="F1016" s="221">
        <v>2006</v>
      </c>
    </row>
    <row r="1017" spans="2:6">
      <c r="B1017" s="254">
        <v>38877</v>
      </c>
      <c r="C1017" s="221" t="s">
        <v>394</v>
      </c>
      <c r="D1017" s="101">
        <v>30782</v>
      </c>
      <c r="E1017" s="221" t="s">
        <v>210</v>
      </c>
      <c r="F1017" s="221">
        <v>2006</v>
      </c>
    </row>
    <row r="1018" spans="2:6">
      <c r="B1018" s="254">
        <v>39591</v>
      </c>
      <c r="C1018" s="221" t="s">
        <v>394</v>
      </c>
      <c r="D1018" s="101">
        <v>26800</v>
      </c>
      <c r="E1018" s="221" t="s">
        <v>211</v>
      </c>
      <c r="F1018" s="221">
        <v>2008</v>
      </c>
    </row>
    <row r="1019" spans="2:6">
      <c r="B1019" s="254">
        <v>39526</v>
      </c>
      <c r="C1019" s="221" t="s">
        <v>398</v>
      </c>
      <c r="D1019" s="101">
        <v>36788</v>
      </c>
      <c r="E1019" s="221" t="s">
        <v>211</v>
      </c>
      <c r="F1019" s="221">
        <v>2008</v>
      </c>
    </row>
    <row r="1020" spans="2:6">
      <c r="B1020" s="254">
        <v>38972</v>
      </c>
      <c r="C1020" s="221" t="s">
        <v>395</v>
      </c>
      <c r="D1020" s="101">
        <v>28263</v>
      </c>
      <c r="E1020" s="221" t="s">
        <v>213</v>
      </c>
      <c r="F1020" s="221">
        <v>2006</v>
      </c>
    </row>
    <row r="1021" spans="2:6">
      <c r="B1021" s="254">
        <v>39357</v>
      </c>
      <c r="C1021" s="221" t="s">
        <v>398</v>
      </c>
      <c r="D1021" s="101">
        <v>28445</v>
      </c>
      <c r="E1021" s="221" t="s">
        <v>211</v>
      </c>
      <c r="F1021" s="221">
        <v>2007</v>
      </c>
    </row>
    <row r="1022" spans="2:6">
      <c r="B1022" s="254">
        <v>39559</v>
      </c>
      <c r="C1022" s="221" t="s">
        <v>395</v>
      </c>
      <c r="D1022" s="101">
        <v>16374</v>
      </c>
      <c r="E1022" s="221" t="s">
        <v>212</v>
      </c>
      <c r="F1022" s="221">
        <v>2008</v>
      </c>
    </row>
    <row r="1023" spans="2:6">
      <c r="B1023" s="254">
        <v>39419</v>
      </c>
      <c r="C1023" s="221" t="s">
        <v>396</v>
      </c>
      <c r="D1023" s="101">
        <v>5456</v>
      </c>
      <c r="E1023" s="221" t="s">
        <v>213</v>
      </c>
      <c r="F1023" s="221">
        <v>2007</v>
      </c>
    </row>
    <row r="1024" spans="2:6">
      <c r="B1024" s="254">
        <v>38894</v>
      </c>
      <c r="C1024" s="221" t="s">
        <v>398</v>
      </c>
      <c r="D1024" s="101">
        <v>18064</v>
      </c>
      <c r="E1024" s="221" t="s">
        <v>211</v>
      </c>
      <c r="F1024" s="221">
        <v>2006</v>
      </c>
    </row>
    <row r="1025" spans="2:6">
      <c r="B1025" s="254">
        <v>39457</v>
      </c>
      <c r="C1025" s="221" t="s">
        <v>395</v>
      </c>
      <c r="D1025" s="101">
        <v>37366</v>
      </c>
      <c r="E1025" s="221" t="s">
        <v>212</v>
      </c>
      <c r="F1025" s="221">
        <v>2008</v>
      </c>
    </row>
    <row r="1026" spans="2:6">
      <c r="B1026" s="254">
        <v>38942</v>
      </c>
      <c r="C1026" s="221" t="s">
        <v>394</v>
      </c>
      <c r="D1026" s="101">
        <v>24367</v>
      </c>
      <c r="E1026" s="221" t="s">
        <v>213</v>
      </c>
      <c r="F1026" s="221">
        <v>2006</v>
      </c>
    </row>
    <row r="1027" spans="2:6">
      <c r="B1027" s="254">
        <v>38891</v>
      </c>
      <c r="C1027" s="221" t="s">
        <v>395</v>
      </c>
      <c r="D1027" s="101">
        <v>23902</v>
      </c>
      <c r="E1027" s="221" t="s">
        <v>213</v>
      </c>
      <c r="F1027" s="221">
        <v>2006</v>
      </c>
    </row>
    <row r="1028" spans="2:6">
      <c r="B1028" s="254">
        <v>38780</v>
      </c>
      <c r="C1028" s="221" t="s">
        <v>396</v>
      </c>
      <c r="D1028" s="101">
        <v>12734</v>
      </c>
      <c r="E1028" s="221" t="s">
        <v>210</v>
      </c>
      <c r="F1028" s="221">
        <v>2006</v>
      </c>
    </row>
    <row r="1029" spans="2:6">
      <c r="B1029" s="254">
        <v>39245</v>
      </c>
      <c r="C1029" s="221" t="s">
        <v>396</v>
      </c>
      <c r="D1029" s="101">
        <v>7884</v>
      </c>
      <c r="E1029" s="221" t="s">
        <v>213</v>
      </c>
      <c r="F1029" s="221">
        <v>2007</v>
      </c>
    </row>
    <row r="1030" spans="2:6">
      <c r="B1030" s="254">
        <v>38918</v>
      </c>
      <c r="C1030" s="221" t="s">
        <v>395</v>
      </c>
      <c r="D1030" s="101">
        <v>30507</v>
      </c>
      <c r="E1030" s="221" t="s">
        <v>211</v>
      </c>
      <c r="F1030" s="221">
        <v>2006</v>
      </c>
    </row>
    <row r="1031" spans="2:6">
      <c r="B1031" s="254">
        <v>38904</v>
      </c>
      <c r="C1031" s="221" t="s">
        <v>395</v>
      </c>
      <c r="D1031" s="101">
        <v>6269</v>
      </c>
      <c r="E1031" s="221" t="s">
        <v>213</v>
      </c>
      <c r="F1031" s="221">
        <v>2006</v>
      </c>
    </row>
    <row r="1032" spans="2:6">
      <c r="B1032" s="254">
        <v>38761</v>
      </c>
      <c r="C1032" s="221" t="s">
        <v>395</v>
      </c>
      <c r="D1032" s="101">
        <v>10220</v>
      </c>
      <c r="E1032" s="221" t="s">
        <v>211</v>
      </c>
      <c r="F1032" s="221">
        <v>2006</v>
      </c>
    </row>
    <row r="1033" spans="2:6">
      <c r="B1033" s="254">
        <v>39200</v>
      </c>
      <c r="C1033" s="221" t="s">
        <v>395</v>
      </c>
      <c r="D1033" s="101">
        <v>35541</v>
      </c>
      <c r="E1033" s="221" t="s">
        <v>211</v>
      </c>
      <c r="F1033" s="221">
        <v>2007</v>
      </c>
    </row>
    <row r="1034" spans="2:6">
      <c r="B1034" s="254">
        <v>39178</v>
      </c>
      <c r="C1034" s="221" t="s">
        <v>395</v>
      </c>
      <c r="D1034" s="101">
        <v>33231</v>
      </c>
      <c r="E1034" s="221" t="s">
        <v>212</v>
      </c>
      <c r="F1034" s="221">
        <v>2007</v>
      </c>
    </row>
    <row r="1035" spans="2:6">
      <c r="B1035" s="254">
        <v>38964</v>
      </c>
      <c r="C1035" s="221" t="s">
        <v>396</v>
      </c>
      <c r="D1035" s="101">
        <v>13190</v>
      </c>
      <c r="E1035" s="221" t="s">
        <v>212</v>
      </c>
      <c r="F1035" s="221">
        <v>2006</v>
      </c>
    </row>
    <row r="1036" spans="2:6">
      <c r="B1036" s="254">
        <v>39615</v>
      </c>
      <c r="C1036" s="221" t="s">
        <v>396</v>
      </c>
      <c r="D1036" s="101">
        <v>30530</v>
      </c>
      <c r="E1036" s="221" t="s">
        <v>210</v>
      </c>
      <c r="F1036" s="221">
        <v>2008</v>
      </c>
    </row>
    <row r="1037" spans="2:6">
      <c r="B1037" s="254">
        <v>39020</v>
      </c>
      <c r="C1037" s="221" t="s">
        <v>396</v>
      </c>
      <c r="D1037" s="101">
        <v>36491</v>
      </c>
      <c r="E1037" s="221" t="s">
        <v>210</v>
      </c>
      <c r="F1037" s="221">
        <v>2006</v>
      </c>
    </row>
    <row r="1038" spans="2:6">
      <c r="B1038" s="254">
        <v>38837</v>
      </c>
      <c r="C1038" s="221" t="s">
        <v>396</v>
      </c>
      <c r="D1038" s="101">
        <v>24480</v>
      </c>
      <c r="E1038" s="221" t="s">
        <v>212</v>
      </c>
      <c r="F1038" s="221">
        <v>2006</v>
      </c>
    </row>
    <row r="1039" spans="2:6">
      <c r="B1039" s="254">
        <v>39267</v>
      </c>
      <c r="C1039" s="221" t="s">
        <v>395</v>
      </c>
      <c r="D1039" s="101">
        <v>10100</v>
      </c>
      <c r="E1039" s="221" t="s">
        <v>210</v>
      </c>
      <c r="F1039" s="221">
        <v>2007</v>
      </c>
    </row>
    <row r="1040" spans="2:6">
      <c r="B1040" s="254">
        <v>39114</v>
      </c>
      <c r="C1040" s="221" t="s">
        <v>398</v>
      </c>
      <c r="D1040" s="101">
        <v>10600</v>
      </c>
      <c r="E1040" s="221" t="s">
        <v>211</v>
      </c>
      <c r="F1040" s="221">
        <v>2007</v>
      </c>
    </row>
    <row r="1041" spans="2:6">
      <c r="B1041" s="254">
        <v>39607</v>
      </c>
      <c r="C1041" s="221" t="s">
        <v>398</v>
      </c>
      <c r="D1041" s="101">
        <v>38358</v>
      </c>
      <c r="E1041" s="221" t="s">
        <v>212</v>
      </c>
      <c r="F1041" s="221">
        <v>2008</v>
      </c>
    </row>
    <row r="1042" spans="2:6">
      <c r="B1042" s="254">
        <v>39561</v>
      </c>
      <c r="C1042" s="221" t="s">
        <v>396</v>
      </c>
      <c r="D1042" s="101">
        <v>5938</v>
      </c>
      <c r="E1042" s="221" t="s">
        <v>213</v>
      </c>
      <c r="F1042" s="221">
        <v>2008</v>
      </c>
    </row>
    <row r="1043" spans="2:6">
      <c r="B1043" s="254">
        <v>39079</v>
      </c>
      <c r="C1043" s="221" t="s">
        <v>398</v>
      </c>
      <c r="D1043" s="101">
        <v>29595</v>
      </c>
      <c r="E1043" s="221" t="s">
        <v>210</v>
      </c>
      <c r="F1043" s="221">
        <v>2006</v>
      </c>
    </row>
    <row r="1044" spans="2:6">
      <c r="B1044" s="254">
        <v>38749</v>
      </c>
      <c r="C1044" s="221" t="s">
        <v>396</v>
      </c>
      <c r="D1044" s="101">
        <v>35802</v>
      </c>
      <c r="E1044" s="221" t="s">
        <v>210</v>
      </c>
      <c r="F1044" s="221">
        <v>2006</v>
      </c>
    </row>
    <row r="1045" spans="2:6">
      <c r="B1045" s="254">
        <v>39384</v>
      </c>
      <c r="C1045" s="221" t="s">
        <v>394</v>
      </c>
      <c r="D1045" s="101">
        <v>5111</v>
      </c>
      <c r="E1045" s="221" t="s">
        <v>212</v>
      </c>
      <c r="F1045" s="221">
        <v>2007</v>
      </c>
    </row>
    <row r="1046" spans="2:6">
      <c r="B1046" s="254">
        <v>38924</v>
      </c>
      <c r="C1046" s="221" t="s">
        <v>394</v>
      </c>
      <c r="D1046" s="101">
        <v>14267</v>
      </c>
      <c r="E1046" s="221" t="s">
        <v>213</v>
      </c>
      <c r="F1046" s="221">
        <v>2006</v>
      </c>
    </row>
    <row r="1047" spans="2:6">
      <c r="B1047" s="254">
        <v>39237</v>
      </c>
      <c r="C1047" s="221" t="s">
        <v>394</v>
      </c>
      <c r="D1047" s="101">
        <v>16540</v>
      </c>
      <c r="E1047" s="221" t="s">
        <v>210</v>
      </c>
      <c r="F1047" s="221">
        <v>2007</v>
      </c>
    </row>
    <row r="1048" spans="2:6">
      <c r="B1048" s="254">
        <v>39521</v>
      </c>
      <c r="C1048" s="221" t="s">
        <v>395</v>
      </c>
      <c r="D1048" s="101">
        <v>13700</v>
      </c>
      <c r="E1048" s="221" t="s">
        <v>212</v>
      </c>
      <c r="F1048" s="221">
        <v>2008</v>
      </c>
    </row>
    <row r="1049" spans="2:6">
      <c r="B1049" s="254">
        <v>38815</v>
      </c>
      <c r="C1049" s="221" t="s">
        <v>396</v>
      </c>
      <c r="D1049" s="101">
        <v>35307</v>
      </c>
      <c r="E1049" s="221" t="s">
        <v>212</v>
      </c>
      <c r="F1049" s="221">
        <v>2006</v>
      </c>
    </row>
    <row r="1050" spans="2:6">
      <c r="B1050" s="254">
        <v>38957</v>
      </c>
      <c r="C1050" s="221" t="s">
        <v>394</v>
      </c>
      <c r="D1050" s="101">
        <v>34948</v>
      </c>
      <c r="E1050" s="221" t="s">
        <v>212</v>
      </c>
      <c r="F1050" s="221">
        <v>2006</v>
      </c>
    </row>
    <row r="1051" spans="2:6">
      <c r="B1051" s="254">
        <v>38917</v>
      </c>
      <c r="C1051" s="221" t="s">
        <v>395</v>
      </c>
      <c r="D1051" s="101">
        <v>30843</v>
      </c>
      <c r="E1051" s="221" t="s">
        <v>210</v>
      </c>
      <c r="F1051" s="221">
        <v>2006</v>
      </c>
    </row>
    <row r="1052" spans="2:6">
      <c r="B1052" s="254">
        <v>39413</v>
      </c>
      <c r="C1052" s="221" t="s">
        <v>398</v>
      </c>
      <c r="D1052" s="101">
        <v>18250</v>
      </c>
      <c r="E1052" s="221" t="s">
        <v>211</v>
      </c>
      <c r="F1052" s="221">
        <v>2007</v>
      </c>
    </row>
    <row r="1053" spans="2:6">
      <c r="B1053" s="254">
        <v>39256</v>
      </c>
      <c r="C1053" s="221" t="s">
        <v>396</v>
      </c>
      <c r="D1053" s="101">
        <v>31226</v>
      </c>
      <c r="E1053" s="221" t="s">
        <v>211</v>
      </c>
      <c r="F1053" s="221">
        <v>2007</v>
      </c>
    </row>
    <row r="1054" spans="2:6">
      <c r="B1054" s="254">
        <v>38909</v>
      </c>
      <c r="C1054" s="221" t="s">
        <v>396</v>
      </c>
      <c r="D1054" s="101">
        <v>29417</v>
      </c>
      <c r="E1054" s="221" t="s">
        <v>211</v>
      </c>
      <c r="F1054" s="221">
        <v>2006</v>
      </c>
    </row>
    <row r="1055" spans="2:6">
      <c r="B1055" s="254">
        <v>39024</v>
      </c>
      <c r="C1055" s="221" t="s">
        <v>394</v>
      </c>
      <c r="D1055" s="101">
        <v>38860</v>
      </c>
      <c r="E1055" s="221" t="s">
        <v>213</v>
      </c>
      <c r="F1055" s="221">
        <v>2006</v>
      </c>
    </row>
    <row r="1056" spans="2:6">
      <c r="B1056" s="254">
        <v>38774</v>
      </c>
      <c r="C1056" s="221" t="s">
        <v>394</v>
      </c>
      <c r="D1056" s="101">
        <v>10903</v>
      </c>
      <c r="E1056" s="221" t="s">
        <v>213</v>
      </c>
      <c r="F1056" s="221">
        <v>2006</v>
      </c>
    </row>
    <row r="1057" spans="2:6">
      <c r="B1057" s="254">
        <v>39005</v>
      </c>
      <c r="C1057" s="221" t="s">
        <v>398</v>
      </c>
      <c r="D1057" s="101">
        <v>6852</v>
      </c>
      <c r="E1057" s="221" t="s">
        <v>212</v>
      </c>
      <c r="F1057" s="221">
        <v>2006</v>
      </c>
    </row>
    <row r="1058" spans="2:6">
      <c r="B1058" s="254">
        <v>39297</v>
      </c>
      <c r="C1058" s="221" t="s">
        <v>394</v>
      </c>
      <c r="D1058" s="101">
        <v>8095</v>
      </c>
      <c r="E1058" s="221" t="s">
        <v>212</v>
      </c>
      <c r="F1058" s="221">
        <v>2007</v>
      </c>
    </row>
    <row r="1059" spans="2:6">
      <c r="B1059" s="254">
        <v>39515</v>
      </c>
      <c r="C1059" s="221" t="s">
        <v>396</v>
      </c>
      <c r="D1059" s="101">
        <v>38406</v>
      </c>
      <c r="E1059" s="221" t="s">
        <v>211</v>
      </c>
      <c r="F1059" s="221">
        <v>2008</v>
      </c>
    </row>
    <row r="1060" spans="2:6">
      <c r="B1060" s="254">
        <v>39320</v>
      </c>
      <c r="C1060" s="221" t="s">
        <v>398</v>
      </c>
      <c r="D1060" s="101">
        <v>39311</v>
      </c>
      <c r="E1060" s="221" t="s">
        <v>212</v>
      </c>
      <c r="F1060" s="221">
        <v>2007</v>
      </c>
    </row>
    <row r="1061" spans="2:6">
      <c r="B1061" s="254">
        <v>39396</v>
      </c>
      <c r="C1061" s="221" t="s">
        <v>398</v>
      </c>
      <c r="D1061" s="101">
        <v>10476</v>
      </c>
      <c r="E1061" s="221" t="s">
        <v>213</v>
      </c>
      <c r="F1061" s="221">
        <v>2007</v>
      </c>
    </row>
    <row r="1062" spans="2:6">
      <c r="B1062" s="254">
        <v>39102</v>
      </c>
      <c r="C1062" s="221" t="s">
        <v>396</v>
      </c>
      <c r="D1062" s="101">
        <v>38261</v>
      </c>
      <c r="E1062" s="221" t="s">
        <v>210</v>
      </c>
      <c r="F1062" s="221">
        <v>2007</v>
      </c>
    </row>
    <row r="1063" spans="2:6">
      <c r="B1063" s="254">
        <v>38805</v>
      </c>
      <c r="C1063" s="221" t="s">
        <v>395</v>
      </c>
      <c r="D1063" s="101">
        <v>9897</v>
      </c>
      <c r="E1063" s="221" t="s">
        <v>210</v>
      </c>
      <c r="F1063" s="221">
        <v>2006</v>
      </c>
    </row>
    <row r="1064" spans="2:6">
      <c r="B1064" s="254">
        <v>39290</v>
      </c>
      <c r="C1064" s="221" t="s">
        <v>394</v>
      </c>
      <c r="D1064" s="101">
        <v>25354</v>
      </c>
      <c r="E1064" s="221" t="s">
        <v>213</v>
      </c>
      <c r="F1064" s="221">
        <v>2007</v>
      </c>
    </row>
    <row r="1065" spans="2:6">
      <c r="B1065" s="254">
        <v>38967</v>
      </c>
      <c r="C1065" s="221" t="s">
        <v>398</v>
      </c>
      <c r="D1065" s="101">
        <v>36609</v>
      </c>
      <c r="E1065" s="221" t="s">
        <v>212</v>
      </c>
      <c r="F1065" s="221">
        <v>2006</v>
      </c>
    </row>
    <row r="1066" spans="2:6">
      <c r="B1066" s="254">
        <v>39190</v>
      </c>
      <c r="C1066" s="221" t="s">
        <v>398</v>
      </c>
      <c r="D1066" s="101">
        <v>26901</v>
      </c>
      <c r="E1066" s="221" t="s">
        <v>212</v>
      </c>
      <c r="F1066" s="221">
        <v>2007</v>
      </c>
    </row>
    <row r="1067" spans="2:6">
      <c r="B1067" s="254">
        <v>38975</v>
      </c>
      <c r="C1067" s="221" t="s">
        <v>395</v>
      </c>
      <c r="D1067" s="101">
        <v>12581</v>
      </c>
      <c r="E1067" s="221" t="s">
        <v>212</v>
      </c>
      <c r="F1067" s="221">
        <v>2006</v>
      </c>
    </row>
    <row r="1068" spans="2:6">
      <c r="B1068" s="254">
        <v>39090</v>
      </c>
      <c r="C1068" s="221" t="s">
        <v>395</v>
      </c>
      <c r="D1068" s="101">
        <v>25472</v>
      </c>
      <c r="E1068" s="221" t="s">
        <v>212</v>
      </c>
      <c r="F1068" s="221">
        <v>2007</v>
      </c>
    </row>
    <row r="1069" spans="2:6">
      <c r="B1069" s="254">
        <v>38801</v>
      </c>
      <c r="C1069" s="221" t="s">
        <v>395</v>
      </c>
      <c r="D1069" s="101">
        <v>13804</v>
      </c>
      <c r="E1069" s="221" t="s">
        <v>213</v>
      </c>
      <c r="F1069" s="221">
        <v>2006</v>
      </c>
    </row>
    <row r="1070" spans="2:6">
      <c r="B1070" s="254">
        <v>39070</v>
      </c>
      <c r="C1070" s="221" t="s">
        <v>395</v>
      </c>
      <c r="D1070" s="101">
        <v>17719</v>
      </c>
      <c r="E1070" s="221" t="s">
        <v>211</v>
      </c>
      <c r="F1070" s="221">
        <v>2006</v>
      </c>
    </row>
    <row r="1071" spans="2:6">
      <c r="B1071" s="254">
        <v>39459</v>
      </c>
      <c r="C1071" s="221" t="s">
        <v>396</v>
      </c>
      <c r="D1071" s="101">
        <v>37812</v>
      </c>
      <c r="E1071" s="221" t="s">
        <v>210</v>
      </c>
      <c r="F1071" s="221">
        <v>2008</v>
      </c>
    </row>
    <row r="1072" spans="2:6">
      <c r="B1072" s="254">
        <v>39530</v>
      </c>
      <c r="C1072" s="221" t="s">
        <v>398</v>
      </c>
      <c r="D1072" s="101">
        <v>16821</v>
      </c>
      <c r="E1072" s="221" t="s">
        <v>210</v>
      </c>
      <c r="F1072" s="221">
        <v>2008</v>
      </c>
    </row>
    <row r="1073" spans="2:6">
      <c r="B1073" s="254">
        <v>38914</v>
      </c>
      <c r="C1073" s="221" t="s">
        <v>398</v>
      </c>
      <c r="D1073" s="101">
        <v>7954</v>
      </c>
      <c r="E1073" s="221" t="s">
        <v>210</v>
      </c>
      <c r="F1073" s="221">
        <v>2006</v>
      </c>
    </row>
    <row r="1074" spans="2:6">
      <c r="B1074" s="254">
        <v>39402</v>
      </c>
      <c r="C1074" s="221" t="s">
        <v>396</v>
      </c>
      <c r="D1074" s="101">
        <v>18850</v>
      </c>
      <c r="E1074" s="221" t="s">
        <v>211</v>
      </c>
      <c r="F1074" s="221">
        <v>2007</v>
      </c>
    </row>
    <row r="1075" spans="2:6">
      <c r="B1075" s="254">
        <v>38797</v>
      </c>
      <c r="C1075" s="221" t="s">
        <v>396</v>
      </c>
      <c r="D1075" s="101">
        <v>20214</v>
      </c>
      <c r="E1075" s="221" t="s">
        <v>212</v>
      </c>
      <c r="F1075" s="221">
        <v>2006</v>
      </c>
    </row>
    <row r="1076" spans="2:6">
      <c r="B1076" s="254">
        <v>39043</v>
      </c>
      <c r="C1076" s="221" t="s">
        <v>396</v>
      </c>
      <c r="D1076" s="101">
        <v>9143</v>
      </c>
      <c r="E1076" s="221" t="s">
        <v>210</v>
      </c>
      <c r="F1076" s="221">
        <v>2006</v>
      </c>
    </row>
    <row r="1077" spans="2:6">
      <c r="B1077" s="254">
        <v>39405</v>
      </c>
      <c r="C1077" s="221" t="s">
        <v>398</v>
      </c>
      <c r="D1077" s="101">
        <v>16702</v>
      </c>
      <c r="E1077" s="221" t="s">
        <v>212</v>
      </c>
      <c r="F1077" s="221">
        <v>2007</v>
      </c>
    </row>
    <row r="1078" spans="2:6">
      <c r="B1078" s="254">
        <v>38846</v>
      </c>
      <c r="C1078" s="221" t="s">
        <v>396</v>
      </c>
      <c r="D1078" s="101">
        <v>38925</v>
      </c>
      <c r="E1078" s="221" t="s">
        <v>211</v>
      </c>
      <c r="F1078" s="221">
        <v>2006</v>
      </c>
    </row>
    <row r="1079" spans="2:6">
      <c r="B1079" s="254">
        <v>39419</v>
      </c>
      <c r="C1079" s="221" t="s">
        <v>396</v>
      </c>
      <c r="D1079" s="101">
        <v>28765</v>
      </c>
      <c r="E1079" s="221" t="s">
        <v>212</v>
      </c>
      <c r="F1079" s="221">
        <v>2007</v>
      </c>
    </row>
    <row r="1080" spans="2:6">
      <c r="B1080" s="254">
        <v>39437</v>
      </c>
      <c r="C1080" s="221" t="s">
        <v>398</v>
      </c>
      <c r="D1080" s="101">
        <v>24222</v>
      </c>
      <c r="E1080" s="221" t="s">
        <v>213</v>
      </c>
      <c r="F1080" s="221">
        <v>2007</v>
      </c>
    </row>
    <row r="1081" spans="2:6">
      <c r="B1081" s="254">
        <v>38912</v>
      </c>
      <c r="C1081" s="221" t="s">
        <v>398</v>
      </c>
      <c r="D1081" s="101">
        <v>33474</v>
      </c>
      <c r="E1081" s="221" t="s">
        <v>212</v>
      </c>
      <c r="F1081" s="221">
        <v>2006</v>
      </c>
    </row>
    <row r="1082" spans="2:6">
      <c r="B1082" s="254">
        <v>39444</v>
      </c>
      <c r="C1082" s="221" t="s">
        <v>398</v>
      </c>
      <c r="D1082" s="101">
        <v>27712</v>
      </c>
      <c r="E1082" s="221" t="s">
        <v>213</v>
      </c>
      <c r="F1082" s="221">
        <v>2007</v>
      </c>
    </row>
    <row r="1083" spans="2:6">
      <c r="B1083" s="254">
        <v>39138</v>
      </c>
      <c r="C1083" s="221" t="s">
        <v>395</v>
      </c>
      <c r="D1083" s="101">
        <v>23565</v>
      </c>
      <c r="E1083" s="221" t="s">
        <v>213</v>
      </c>
      <c r="F1083" s="221">
        <v>2007</v>
      </c>
    </row>
    <row r="1084" spans="2:6">
      <c r="B1084" s="254">
        <v>38909</v>
      </c>
      <c r="C1084" s="221" t="s">
        <v>396</v>
      </c>
      <c r="D1084" s="101">
        <v>10128</v>
      </c>
      <c r="E1084" s="221" t="s">
        <v>213</v>
      </c>
      <c r="F1084" s="221">
        <v>2006</v>
      </c>
    </row>
    <row r="1085" spans="2:6">
      <c r="B1085" s="254">
        <v>38797</v>
      </c>
      <c r="C1085" s="221" t="s">
        <v>398</v>
      </c>
      <c r="D1085" s="101">
        <v>29866</v>
      </c>
      <c r="E1085" s="221" t="s">
        <v>210</v>
      </c>
      <c r="F1085" s="221">
        <v>2006</v>
      </c>
    </row>
    <row r="1086" spans="2:6">
      <c r="B1086" s="254">
        <v>38784</v>
      </c>
      <c r="C1086" s="221" t="s">
        <v>395</v>
      </c>
      <c r="D1086" s="101">
        <v>28262</v>
      </c>
      <c r="E1086" s="221" t="s">
        <v>210</v>
      </c>
      <c r="F1086" s="221">
        <v>2006</v>
      </c>
    </row>
    <row r="1087" spans="2:6">
      <c r="B1087" s="254">
        <v>39556</v>
      </c>
      <c r="C1087" s="221" t="s">
        <v>394</v>
      </c>
      <c r="D1087" s="101">
        <v>7904</v>
      </c>
      <c r="E1087" s="221" t="s">
        <v>210</v>
      </c>
      <c r="F1087" s="221">
        <v>2008</v>
      </c>
    </row>
    <row r="1088" spans="2:6">
      <c r="B1088" s="254">
        <v>39324</v>
      </c>
      <c r="C1088" s="221" t="s">
        <v>396</v>
      </c>
      <c r="D1088" s="101">
        <v>9637</v>
      </c>
      <c r="E1088" s="221" t="s">
        <v>211</v>
      </c>
      <c r="F1088" s="221">
        <v>2007</v>
      </c>
    </row>
    <row r="1089" spans="2:6">
      <c r="B1089" s="254">
        <v>39121</v>
      </c>
      <c r="C1089" s="221" t="s">
        <v>398</v>
      </c>
      <c r="D1089" s="101">
        <v>18477</v>
      </c>
      <c r="E1089" s="221" t="s">
        <v>212</v>
      </c>
      <c r="F1089" s="221">
        <v>2007</v>
      </c>
    </row>
    <row r="1090" spans="2:6">
      <c r="B1090" s="254">
        <v>39011</v>
      </c>
      <c r="C1090" s="221" t="s">
        <v>398</v>
      </c>
      <c r="D1090" s="101">
        <v>25074</v>
      </c>
      <c r="E1090" s="221" t="s">
        <v>212</v>
      </c>
      <c r="F1090" s="221">
        <v>2006</v>
      </c>
    </row>
    <row r="1091" spans="2:6">
      <c r="B1091" s="254">
        <v>39059</v>
      </c>
      <c r="C1091" s="221" t="s">
        <v>398</v>
      </c>
      <c r="D1091" s="101">
        <v>27511</v>
      </c>
      <c r="E1091" s="221" t="s">
        <v>210</v>
      </c>
      <c r="F1091" s="221">
        <v>2006</v>
      </c>
    </row>
    <row r="1092" spans="2:6">
      <c r="B1092" s="254">
        <v>39226</v>
      </c>
      <c r="C1092" s="221" t="s">
        <v>394</v>
      </c>
      <c r="D1092" s="101">
        <v>7533</v>
      </c>
      <c r="E1092" s="221" t="s">
        <v>211</v>
      </c>
      <c r="F1092" s="221">
        <v>2007</v>
      </c>
    </row>
    <row r="1093" spans="2:6">
      <c r="B1093" s="254">
        <v>39404</v>
      </c>
      <c r="C1093" s="221" t="s">
        <v>396</v>
      </c>
      <c r="D1093" s="101">
        <v>14882</v>
      </c>
      <c r="E1093" s="221" t="s">
        <v>210</v>
      </c>
      <c r="F1093" s="221">
        <v>2007</v>
      </c>
    </row>
    <row r="1094" spans="2:6">
      <c r="B1094" s="254">
        <v>38850</v>
      </c>
      <c r="C1094" s="221" t="s">
        <v>395</v>
      </c>
      <c r="D1094" s="101">
        <v>30538</v>
      </c>
      <c r="E1094" s="221" t="s">
        <v>212</v>
      </c>
      <c r="F1094" s="221">
        <v>2006</v>
      </c>
    </row>
    <row r="1095" spans="2:6">
      <c r="B1095" s="254">
        <v>39163</v>
      </c>
      <c r="C1095" s="221" t="s">
        <v>396</v>
      </c>
      <c r="D1095" s="101">
        <v>15756</v>
      </c>
      <c r="E1095" s="221" t="s">
        <v>213</v>
      </c>
      <c r="F1095" s="221">
        <v>2007</v>
      </c>
    </row>
    <row r="1096" spans="2:6">
      <c r="B1096" s="254">
        <v>39608</v>
      </c>
      <c r="C1096" s="221" t="s">
        <v>394</v>
      </c>
      <c r="D1096" s="101">
        <v>31196</v>
      </c>
      <c r="E1096" s="221" t="s">
        <v>211</v>
      </c>
      <c r="F1096" s="221">
        <v>2008</v>
      </c>
    </row>
    <row r="1097" spans="2:6">
      <c r="B1097" s="254">
        <v>39388</v>
      </c>
      <c r="C1097" s="221" t="s">
        <v>398</v>
      </c>
      <c r="D1097" s="101">
        <v>8312</v>
      </c>
      <c r="E1097" s="221" t="s">
        <v>213</v>
      </c>
      <c r="F1097" s="221">
        <v>2007</v>
      </c>
    </row>
    <row r="1098" spans="2:6">
      <c r="B1098" s="254">
        <v>39585</v>
      </c>
      <c r="C1098" s="221" t="s">
        <v>394</v>
      </c>
      <c r="D1098" s="101">
        <v>26209</v>
      </c>
      <c r="E1098" s="221" t="s">
        <v>210</v>
      </c>
      <c r="F1098" s="221">
        <v>2008</v>
      </c>
    </row>
    <row r="1099" spans="2:6">
      <c r="B1099" s="254">
        <v>39284</v>
      </c>
      <c r="C1099" s="221" t="s">
        <v>398</v>
      </c>
      <c r="D1099" s="101">
        <v>13131</v>
      </c>
      <c r="E1099" s="221" t="s">
        <v>212</v>
      </c>
      <c r="F1099" s="221">
        <v>2007</v>
      </c>
    </row>
    <row r="1100" spans="2:6">
      <c r="B1100" s="254">
        <v>39192</v>
      </c>
      <c r="C1100" s="221" t="s">
        <v>394</v>
      </c>
      <c r="D1100" s="101">
        <v>12704</v>
      </c>
      <c r="E1100" s="221" t="s">
        <v>212</v>
      </c>
      <c r="F1100" s="221">
        <v>2007</v>
      </c>
    </row>
    <row r="1101" spans="2:6">
      <c r="B1101" s="254">
        <v>38932</v>
      </c>
      <c r="C1101" s="221" t="s">
        <v>396</v>
      </c>
      <c r="D1101" s="101">
        <v>11020</v>
      </c>
      <c r="E1101" s="221" t="s">
        <v>211</v>
      </c>
      <c r="F1101" s="221">
        <v>2006</v>
      </c>
    </row>
    <row r="1102" spans="2:6">
      <c r="B1102" s="254">
        <v>38833</v>
      </c>
      <c r="C1102" s="221" t="s">
        <v>396</v>
      </c>
      <c r="D1102" s="101">
        <v>15403</v>
      </c>
      <c r="E1102" s="221" t="s">
        <v>210</v>
      </c>
      <c r="F1102" s="221">
        <v>2006</v>
      </c>
    </row>
    <row r="1103" spans="2:6">
      <c r="B1103" s="254">
        <v>38834</v>
      </c>
      <c r="C1103" s="221" t="s">
        <v>394</v>
      </c>
      <c r="D1103" s="101">
        <v>39712</v>
      </c>
      <c r="E1103" s="221" t="s">
        <v>211</v>
      </c>
      <c r="F1103" s="221">
        <v>2006</v>
      </c>
    </row>
    <row r="1104" spans="2:6">
      <c r="B1104" s="254">
        <v>38849</v>
      </c>
      <c r="C1104" s="221" t="s">
        <v>394</v>
      </c>
      <c r="D1104" s="101">
        <v>36177</v>
      </c>
      <c r="E1104" s="221" t="s">
        <v>210</v>
      </c>
      <c r="F1104" s="221">
        <v>2006</v>
      </c>
    </row>
    <row r="1105" spans="2:6">
      <c r="B1105" s="254">
        <v>38958</v>
      </c>
      <c r="C1105" s="221" t="s">
        <v>394</v>
      </c>
      <c r="D1105" s="101">
        <v>28553</v>
      </c>
      <c r="E1105" s="221" t="s">
        <v>211</v>
      </c>
      <c r="F1105" s="221">
        <v>2006</v>
      </c>
    </row>
    <row r="1106" spans="2:6">
      <c r="B1106" s="254">
        <v>39328</v>
      </c>
      <c r="C1106" s="221" t="s">
        <v>395</v>
      </c>
      <c r="D1106" s="101">
        <v>13991</v>
      </c>
      <c r="E1106" s="221" t="s">
        <v>213</v>
      </c>
      <c r="F1106" s="221">
        <v>2007</v>
      </c>
    </row>
    <row r="1107" spans="2:6">
      <c r="B1107" s="254">
        <v>39605</v>
      </c>
      <c r="C1107" s="221" t="s">
        <v>398</v>
      </c>
      <c r="D1107" s="101">
        <v>11451</v>
      </c>
      <c r="E1107" s="221" t="s">
        <v>213</v>
      </c>
      <c r="F1107" s="221">
        <v>2008</v>
      </c>
    </row>
    <row r="1108" spans="2:6">
      <c r="B1108" s="254">
        <v>39527</v>
      </c>
      <c r="C1108" s="221" t="s">
        <v>394</v>
      </c>
      <c r="D1108" s="101">
        <v>25790</v>
      </c>
      <c r="E1108" s="221" t="s">
        <v>211</v>
      </c>
      <c r="F1108" s="221">
        <v>2008</v>
      </c>
    </row>
    <row r="1109" spans="2:6">
      <c r="B1109" s="254">
        <v>39374</v>
      </c>
      <c r="C1109" s="221" t="s">
        <v>394</v>
      </c>
      <c r="D1109" s="101">
        <v>22008</v>
      </c>
      <c r="E1109" s="221" t="s">
        <v>211</v>
      </c>
      <c r="F1109" s="221">
        <v>2007</v>
      </c>
    </row>
    <row r="1110" spans="2:6">
      <c r="B1110" s="254">
        <v>39388</v>
      </c>
      <c r="C1110" s="221" t="s">
        <v>395</v>
      </c>
      <c r="D1110" s="101">
        <v>21330</v>
      </c>
      <c r="E1110" s="221" t="s">
        <v>210</v>
      </c>
      <c r="F1110" s="221">
        <v>2007</v>
      </c>
    </row>
    <row r="1111" spans="2:6">
      <c r="B1111" s="254">
        <v>39118</v>
      </c>
      <c r="C1111" s="221" t="s">
        <v>394</v>
      </c>
      <c r="D1111" s="101">
        <v>18110</v>
      </c>
      <c r="E1111" s="221" t="s">
        <v>210</v>
      </c>
      <c r="F1111" s="221">
        <v>2007</v>
      </c>
    </row>
    <row r="1112" spans="2:6">
      <c r="B1112" s="254">
        <v>38848</v>
      </c>
      <c r="C1112" s="221" t="s">
        <v>395</v>
      </c>
      <c r="D1112" s="101">
        <v>34437</v>
      </c>
      <c r="E1112" s="221" t="s">
        <v>210</v>
      </c>
      <c r="F1112" s="221">
        <v>2006</v>
      </c>
    </row>
    <row r="1113" spans="2:6">
      <c r="B1113" s="254">
        <v>39213</v>
      </c>
      <c r="C1113" s="221" t="s">
        <v>395</v>
      </c>
      <c r="D1113" s="101">
        <v>7174</v>
      </c>
      <c r="E1113" s="221" t="s">
        <v>210</v>
      </c>
      <c r="F1113" s="221">
        <v>2007</v>
      </c>
    </row>
    <row r="1114" spans="2:6">
      <c r="B1114" s="254">
        <v>39511</v>
      </c>
      <c r="C1114" s="221" t="s">
        <v>394</v>
      </c>
      <c r="D1114" s="101">
        <v>29006</v>
      </c>
      <c r="E1114" s="221" t="s">
        <v>212</v>
      </c>
      <c r="F1114" s="221">
        <v>2008</v>
      </c>
    </row>
    <row r="1115" spans="2:6">
      <c r="B1115" s="254">
        <v>39391</v>
      </c>
      <c r="C1115" s="221" t="s">
        <v>398</v>
      </c>
      <c r="D1115" s="101">
        <v>26265</v>
      </c>
      <c r="E1115" s="221" t="s">
        <v>211</v>
      </c>
      <c r="F1115" s="221">
        <v>2007</v>
      </c>
    </row>
    <row r="1116" spans="2:6">
      <c r="B1116" s="254">
        <v>38767</v>
      </c>
      <c r="C1116" s="221" t="s">
        <v>396</v>
      </c>
      <c r="D1116" s="101">
        <v>15198</v>
      </c>
      <c r="E1116" s="221" t="s">
        <v>213</v>
      </c>
      <c r="F1116" s="221">
        <v>2006</v>
      </c>
    </row>
    <row r="1117" spans="2:6">
      <c r="B1117" s="254">
        <v>38890</v>
      </c>
      <c r="C1117" s="221" t="s">
        <v>396</v>
      </c>
      <c r="D1117" s="101">
        <v>28283</v>
      </c>
      <c r="E1117" s="221" t="s">
        <v>213</v>
      </c>
      <c r="F1117" s="221">
        <v>2006</v>
      </c>
    </row>
    <row r="1118" spans="2:6">
      <c r="B1118" s="254">
        <v>39250</v>
      </c>
      <c r="C1118" s="221" t="s">
        <v>394</v>
      </c>
      <c r="D1118" s="101">
        <v>6891</v>
      </c>
      <c r="E1118" s="221" t="s">
        <v>212</v>
      </c>
      <c r="F1118" s="221">
        <v>2007</v>
      </c>
    </row>
    <row r="1119" spans="2:6">
      <c r="B1119" s="254">
        <v>39026</v>
      </c>
      <c r="C1119" s="221" t="s">
        <v>395</v>
      </c>
      <c r="D1119" s="101">
        <v>34989</v>
      </c>
      <c r="E1119" s="221" t="s">
        <v>213</v>
      </c>
      <c r="F1119" s="221">
        <v>2006</v>
      </c>
    </row>
    <row r="1120" spans="2:6">
      <c r="B1120" s="254">
        <v>38971</v>
      </c>
      <c r="C1120" s="221" t="s">
        <v>398</v>
      </c>
      <c r="D1120" s="101">
        <v>26791</v>
      </c>
      <c r="E1120" s="221" t="s">
        <v>211</v>
      </c>
      <c r="F1120" s="221">
        <v>2006</v>
      </c>
    </row>
    <row r="1121" spans="2:6">
      <c r="B1121" s="254">
        <v>39402</v>
      </c>
      <c r="C1121" s="221" t="s">
        <v>396</v>
      </c>
      <c r="D1121" s="101">
        <v>28739</v>
      </c>
      <c r="E1121" s="221" t="s">
        <v>211</v>
      </c>
      <c r="F1121" s="221">
        <v>2007</v>
      </c>
    </row>
    <row r="1122" spans="2:6">
      <c r="B1122" s="254">
        <v>38898</v>
      </c>
      <c r="C1122" s="221" t="s">
        <v>396</v>
      </c>
      <c r="D1122" s="101">
        <v>30673</v>
      </c>
      <c r="E1122" s="221" t="s">
        <v>210</v>
      </c>
      <c r="F1122" s="221">
        <v>2006</v>
      </c>
    </row>
    <row r="1123" spans="2:6">
      <c r="B1123" s="254">
        <v>38743</v>
      </c>
      <c r="C1123" s="221" t="s">
        <v>398</v>
      </c>
      <c r="D1123" s="101">
        <v>10455</v>
      </c>
      <c r="E1123" s="221" t="s">
        <v>212</v>
      </c>
      <c r="F1123" s="221">
        <v>2006</v>
      </c>
    </row>
    <row r="1124" spans="2:6">
      <c r="B1124" s="254">
        <v>38770</v>
      </c>
      <c r="C1124" s="221" t="s">
        <v>396</v>
      </c>
      <c r="D1124" s="101">
        <v>32273</v>
      </c>
      <c r="E1124" s="221" t="s">
        <v>211</v>
      </c>
      <c r="F1124" s="221">
        <v>2006</v>
      </c>
    </row>
    <row r="1125" spans="2:6">
      <c r="B1125" s="254">
        <v>38963</v>
      </c>
      <c r="C1125" s="221" t="s">
        <v>396</v>
      </c>
      <c r="D1125" s="101">
        <v>5933</v>
      </c>
      <c r="E1125" s="221" t="s">
        <v>212</v>
      </c>
      <c r="F1125" s="221">
        <v>2006</v>
      </c>
    </row>
    <row r="1126" spans="2:6">
      <c r="B1126" s="254">
        <v>38934</v>
      </c>
      <c r="C1126" s="221" t="s">
        <v>396</v>
      </c>
      <c r="D1126" s="101">
        <v>16299</v>
      </c>
      <c r="E1126" s="221" t="s">
        <v>211</v>
      </c>
      <c r="F1126" s="221">
        <v>2006</v>
      </c>
    </row>
    <row r="1127" spans="2:6">
      <c r="B1127" s="254">
        <v>39274</v>
      </c>
      <c r="C1127" s="221" t="s">
        <v>395</v>
      </c>
      <c r="D1127" s="101">
        <v>11719</v>
      </c>
      <c r="E1127" s="221" t="s">
        <v>211</v>
      </c>
      <c r="F1127" s="221">
        <v>2007</v>
      </c>
    </row>
    <row r="1128" spans="2:6">
      <c r="B1128" s="254">
        <v>38930</v>
      </c>
      <c r="C1128" s="221" t="s">
        <v>396</v>
      </c>
      <c r="D1128" s="101">
        <v>21252</v>
      </c>
      <c r="E1128" s="221" t="s">
        <v>212</v>
      </c>
      <c r="F1128" s="221">
        <v>2006</v>
      </c>
    </row>
    <row r="1129" spans="2:6">
      <c r="B1129" s="254">
        <v>39085</v>
      </c>
      <c r="C1129" s="221" t="s">
        <v>398</v>
      </c>
      <c r="D1129" s="101">
        <v>22979</v>
      </c>
      <c r="E1129" s="221" t="s">
        <v>211</v>
      </c>
      <c r="F1129" s="221">
        <v>2007</v>
      </c>
    </row>
    <row r="1130" spans="2:6">
      <c r="B1130" s="254">
        <v>39545</v>
      </c>
      <c r="C1130" s="221" t="s">
        <v>395</v>
      </c>
      <c r="D1130" s="101">
        <v>15881</v>
      </c>
      <c r="E1130" s="221" t="s">
        <v>213</v>
      </c>
      <c r="F1130" s="221">
        <v>2008</v>
      </c>
    </row>
    <row r="1131" spans="2:6">
      <c r="B1131" s="254">
        <v>39331</v>
      </c>
      <c r="C1131" s="221" t="s">
        <v>398</v>
      </c>
      <c r="D1131" s="101">
        <v>32223</v>
      </c>
      <c r="E1131" s="221" t="s">
        <v>210</v>
      </c>
      <c r="F1131" s="221">
        <v>2007</v>
      </c>
    </row>
    <row r="1132" spans="2:6">
      <c r="B1132" s="254">
        <v>39484</v>
      </c>
      <c r="C1132" s="221" t="s">
        <v>395</v>
      </c>
      <c r="D1132" s="101">
        <v>9311</v>
      </c>
      <c r="E1132" s="221" t="s">
        <v>212</v>
      </c>
      <c r="F1132" s="221">
        <v>2008</v>
      </c>
    </row>
    <row r="1133" spans="2:6">
      <c r="B1133" s="254">
        <v>39151</v>
      </c>
      <c r="C1133" s="221" t="s">
        <v>394</v>
      </c>
      <c r="D1133" s="101">
        <v>34264</v>
      </c>
      <c r="E1133" s="221" t="s">
        <v>210</v>
      </c>
      <c r="F1133" s="221">
        <v>2007</v>
      </c>
    </row>
    <row r="1134" spans="2:6">
      <c r="B1134" s="254">
        <v>39219</v>
      </c>
      <c r="C1134" s="221" t="s">
        <v>398</v>
      </c>
      <c r="D1134" s="101">
        <v>21595</v>
      </c>
      <c r="E1134" s="221" t="s">
        <v>210</v>
      </c>
      <c r="F1134" s="221">
        <v>2007</v>
      </c>
    </row>
    <row r="1135" spans="2:6">
      <c r="B1135" s="254">
        <v>39308</v>
      </c>
      <c r="C1135" s="221" t="s">
        <v>398</v>
      </c>
      <c r="D1135" s="101">
        <v>7471</v>
      </c>
      <c r="E1135" s="221" t="s">
        <v>213</v>
      </c>
      <c r="F1135" s="221">
        <v>2007</v>
      </c>
    </row>
    <row r="1136" spans="2:6">
      <c r="B1136" s="254">
        <v>38861</v>
      </c>
      <c r="C1136" s="221" t="s">
        <v>394</v>
      </c>
      <c r="D1136" s="101">
        <v>8600</v>
      </c>
      <c r="E1136" s="221" t="s">
        <v>212</v>
      </c>
      <c r="F1136" s="221">
        <v>2006</v>
      </c>
    </row>
    <row r="1137" spans="2:6">
      <c r="B1137" s="254">
        <v>39093</v>
      </c>
      <c r="C1137" s="221" t="s">
        <v>395</v>
      </c>
      <c r="D1137" s="101">
        <v>14811</v>
      </c>
      <c r="E1137" s="221" t="s">
        <v>213</v>
      </c>
      <c r="F1137" s="221">
        <v>2007</v>
      </c>
    </row>
    <row r="1138" spans="2:6">
      <c r="B1138" s="254">
        <v>39122</v>
      </c>
      <c r="C1138" s="221" t="s">
        <v>398</v>
      </c>
      <c r="D1138" s="101">
        <v>9785</v>
      </c>
      <c r="E1138" s="221" t="s">
        <v>211</v>
      </c>
      <c r="F1138" s="221">
        <v>2007</v>
      </c>
    </row>
    <row r="1139" spans="2:6">
      <c r="B1139" s="254">
        <v>39036</v>
      </c>
      <c r="C1139" s="221" t="s">
        <v>394</v>
      </c>
      <c r="D1139" s="101">
        <v>11662</v>
      </c>
      <c r="E1139" s="221" t="s">
        <v>211</v>
      </c>
      <c r="F1139" s="221">
        <v>2006</v>
      </c>
    </row>
    <row r="1140" spans="2:6">
      <c r="B1140" s="254">
        <v>38775</v>
      </c>
      <c r="C1140" s="221" t="s">
        <v>394</v>
      </c>
      <c r="D1140" s="101">
        <v>25420</v>
      </c>
      <c r="E1140" s="221" t="s">
        <v>213</v>
      </c>
      <c r="F1140" s="221">
        <v>2006</v>
      </c>
    </row>
    <row r="1141" spans="2:6">
      <c r="B1141" s="254">
        <v>39276</v>
      </c>
      <c r="C1141" s="221" t="s">
        <v>395</v>
      </c>
      <c r="D1141" s="101">
        <v>31951</v>
      </c>
      <c r="E1141" s="221" t="s">
        <v>211</v>
      </c>
      <c r="F1141" s="221">
        <v>2007</v>
      </c>
    </row>
    <row r="1142" spans="2:6">
      <c r="B1142" s="254">
        <v>39179</v>
      </c>
      <c r="C1142" s="221" t="s">
        <v>396</v>
      </c>
      <c r="D1142" s="101">
        <v>16639</v>
      </c>
      <c r="E1142" s="221" t="s">
        <v>210</v>
      </c>
      <c r="F1142" s="221">
        <v>2007</v>
      </c>
    </row>
    <row r="1143" spans="2:6">
      <c r="B1143" s="254">
        <v>39303</v>
      </c>
      <c r="C1143" s="221" t="s">
        <v>398</v>
      </c>
      <c r="D1143" s="101">
        <v>20764</v>
      </c>
      <c r="E1143" s="221" t="s">
        <v>210</v>
      </c>
      <c r="F1143" s="221">
        <v>2007</v>
      </c>
    </row>
    <row r="1144" spans="2:6">
      <c r="B1144" s="254">
        <v>39191</v>
      </c>
      <c r="C1144" s="221" t="s">
        <v>396</v>
      </c>
      <c r="D1144" s="101">
        <v>26400</v>
      </c>
      <c r="E1144" s="221" t="s">
        <v>212</v>
      </c>
      <c r="F1144" s="221">
        <v>2007</v>
      </c>
    </row>
    <row r="1145" spans="2:6">
      <c r="B1145" s="254">
        <v>39608</v>
      </c>
      <c r="C1145" s="221" t="s">
        <v>394</v>
      </c>
      <c r="D1145" s="101">
        <v>25231</v>
      </c>
      <c r="E1145" s="221" t="s">
        <v>210</v>
      </c>
      <c r="F1145" s="221">
        <v>2008</v>
      </c>
    </row>
    <row r="1146" spans="2:6">
      <c r="B1146" s="254">
        <v>39541</v>
      </c>
      <c r="C1146" s="221" t="s">
        <v>396</v>
      </c>
      <c r="D1146" s="101">
        <v>36432</v>
      </c>
      <c r="E1146" s="221" t="s">
        <v>212</v>
      </c>
      <c r="F1146" s="221">
        <v>2008</v>
      </c>
    </row>
    <row r="1147" spans="2:6">
      <c r="B1147" s="254">
        <v>38720</v>
      </c>
      <c r="C1147" s="221" t="s">
        <v>396</v>
      </c>
      <c r="D1147" s="101">
        <v>37804</v>
      </c>
      <c r="E1147" s="221" t="s">
        <v>211</v>
      </c>
      <c r="F1147" s="221">
        <v>2006</v>
      </c>
    </row>
    <row r="1148" spans="2:6">
      <c r="B1148" s="254">
        <v>39148</v>
      </c>
      <c r="C1148" s="221" t="s">
        <v>394</v>
      </c>
      <c r="D1148" s="101">
        <v>22371</v>
      </c>
      <c r="E1148" s="221" t="s">
        <v>212</v>
      </c>
      <c r="F1148" s="221">
        <v>2007</v>
      </c>
    </row>
    <row r="1149" spans="2:6">
      <c r="B1149" s="254">
        <v>39553</v>
      </c>
      <c r="C1149" s="221" t="s">
        <v>396</v>
      </c>
      <c r="D1149" s="101">
        <v>28487</v>
      </c>
      <c r="E1149" s="221" t="s">
        <v>212</v>
      </c>
      <c r="F1149" s="221">
        <v>2008</v>
      </c>
    </row>
    <row r="1150" spans="2:6">
      <c r="B1150" s="254">
        <v>38968</v>
      </c>
      <c r="C1150" s="221" t="s">
        <v>395</v>
      </c>
      <c r="D1150" s="101">
        <v>36439</v>
      </c>
      <c r="E1150" s="221" t="s">
        <v>211</v>
      </c>
      <c r="F1150" s="221">
        <v>2006</v>
      </c>
    </row>
    <row r="1151" spans="2:6">
      <c r="B1151" s="254">
        <v>39414</v>
      </c>
      <c r="C1151" s="221" t="s">
        <v>396</v>
      </c>
      <c r="D1151" s="101">
        <v>9236</v>
      </c>
      <c r="E1151" s="221" t="s">
        <v>213</v>
      </c>
      <c r="F1151" s="221">
        <v>2007</v>
      </c>
    </row>
    <row r="1152" spans="2:6">
      <c r="B1152" s="254">
        <v>39503</v>
      </c>
      <c r="C1152" s="221" t="s">
        <v>396</v>
      </c>
      <c r="D1152" s="101">
        <v>14253</v>
      </c>
      <c r="E1152" s="221" t="s">
        <v>210</v>
      </c>
      <c r="F1152" s="221">
        <v>2008</v>
      </c>
    </row>
    <row r="1153" spans="2:6">
      <c r="B1153" s="254">
        <v>39122</v>
      </c>
      <c r="C1153" s="221" t="s">
        <v>398</v>
      </c>
      <c r="D1153" s="101">
        <v>17199</v>
      </c>
      <c r="E1153" s="221" t="s">
        <v>210</v>
      </c>
      <c r="F1153" s="221">
        <v>2007</v>
      </c>
    </row>
    <row r="1154" spans="2:6">
      <c r="B1154" s="254">
        <v>39531</v>
      </c>
      <c r="C1154" s="221" t="s">
        <v>395</v>
      </c>
      <c r="D1154" s="101">
        <v>35787</v>
      </c>
      <c r="E1154" s="221" t="s">
        <v>211</v>
      </c>
      <c r="F1154" s="221">
        <v>2008</v>
      </c>
    </row>
    <row r="1155" spans="2:6">
      <c r="B1155" s="254">
        <v>39187</v>
      </c>
      <c r="C1155" s="221" t="s">
        <v>396</v>
      </c>
      <c r="D1155" s="101">
        <v>39139</v>
      </c>
      <c r="E1155" s="221" t="s">
        <v>210</v>
      </c>
      <c r="F1155" s="221">
        <v>2007</v>
      </c>
    </row>
    <row r="1156" spans="2:6">
      <c r="B1156" s="254">
        <v>38965</v>
      </c>
      <c r="C1156" s="221" t="s">
        <v>396</v>
      </c>
      <c r="D1156" s="101">
        <v>10342</v>
      </c>
      <c r="E1156" s="221" t="s">
        <v>213</v>
      </c>
      <c r="F1156" s="221">
        <v>2006</v>
      </c>
    </row>
    <row r="1157" spans="2:6">
      <c r="B1157" s="254">
        <v>39300</v>
      </c>
      <c r="C1157" s="221" t="s">
        <v>396</v>
      </c>
      <c r="D1157" s="101">
        <v>33208</v>
      </c>
      <c r="E1157" s="221" t="s">
        <v>210</v>
      </c>
      <c r="F1157" s="221">
        <v>2007</v>
      </c>
    </row>
    <row r="1158" spans="2:6">
      <c r="B1158" s="254">
        <v>38820</v>
      </c>
      <c r="C1158" s="221" t="s">
        <v>396</v>
      </c>
      <c r="D1158" s="101">
        <v>31130</v>
      </c>
      <c r="E1158" s="221" t="s">
        <v>210</v>
      </c>
      <c r="F1158" s="221">
        <v>2006</v>
      </c>
    </row>
    <row r="1159" spans="2:6">
      <c r="D1159" s="100"/>
    </row>
    <row r="1161" spans="2:6">
      <c r="D1161" s="265"/>
    </row>
    <row r="1163" spans="2:6">
      <c r="D1163" s="265"/>
    </row>
    <row r="1165" spans="2:6">
      <c r="D1165" s="265"/>
    </row>
    <row r="1168" spans="2:6">
      <c r="D1168" s="265"/>
    </row>
    <row r="1170" spans="4:4">
      <c r="D1170" s="265"/>
    </row>
    <row r="1171" spans="4:4">
      <c r="D1171" s="265"/>
    </row>
    <row r="1173" spans="4:4">
      <c r="D1173" s="265"/>
    </row>
    <row r="1174" spans="4:4">
      <c r="D1174" s="265"/>
    </row>
    <row r="1175" spans="4:4">
      <c r="D1175" s="265"/>
    </row>
    <row r="1177" spans="4:4">
      <c r="D1177" s="265"/>
    </row>
    <row r="1178" spans="4:4">
      <c r="D1178" s="265"/>
    </row>
    <row r="1203" spans="4:4">
      <c r="D1203" s="265"/>
    </row>
    <row r="1205" spans="4:4">
      <c r="D1205" s="265"/>
    </row>
    <row r="1213" spans="4:4">
      <c r="D1213" s="265"/>
    </row>
    <row r="1214" spans="4:4">
      <c r="D1214" s="265"/>
    </row>
    <row r="1215" spans="4:4">
      <c r="D1215" s="265"/>
    </row>
    <row r="1218" spans="4:4">
      <c r="D1218" s="265"/>
    </row>
    <row r="1250" spans="4:4">
      <c r="D1250" s="265"/>
    </row>
    <row r="1253" spans="4:4">
      <c r="D1253" s="265"/>
    </row>
    <row r="1254" spans="4:4">
      <c r="D1254" s="265"/>
    </row>
    <row r="1285" spans="4:4">
      <c r="D1285" s="265"/>
    </row>
    <row r="1288" spans="4:4">
      <c r="D1288" s="265"/>
    </row>
    <row r="1290" spans="4:4">
      <c r="D1290" s="265"/>
    </row>
    <row r="1293" spans="4:4">
      <c r="D1293" s="265"/>
    </row>
    <row r="1294" spans="4:4">
      <c r="D1294" s="265"/>
    </row>
    <row r="1298" spans="4:4">
      <c r="D1298" s="265"/>
    </row>
    <row r="1311" spans="4:4">
      <c r="D1311" s="265"/>
    </row>
    <row r="1323" spans="4:4">
      <c r="D1323" s="265"/>
    </row>
    <row r="1325" spans="4:4">
      <c r="D1325" s="265"/>
    </row>
    <row r="1328" spans="4:4">
      <c r="D1328" s="265"/>
    </row>
    <row r="1330" spans="4:4">
      <c r="D1330" s="265"/>
    </row>
    <row r="1333" spans="4:4">
      <c r="D1333" s="265"/>
    </row>
    <row r="1334" spans="4:4">
      <c r="D1334" s="265"/>
    </row>
    <row r="1335" spans="4:4">
      <c r="D1335" s="265"/>
    </row>
    <row r="1338" spans="4:4">
      <c r="D1338" s="265"/>
    </row>
    <row r="1351" spans="4:4">
      <c r="D1351" s="265"/>
    </row>
    <row r="1353" spans="4:4">
      <c r="D1353" s="265"/>
    </row>
    <row r="1361" spans="4:4">
      <c r="D1361" s="265"/>
    </row>
    <row r="1363" spans="4:4">
      <c r="D1363" s="265"/>
    </row>
    <row r="1365" spans="4:4">
      <c r="D1365" s="265"/>
    </row>
    <row r="1368" spans="4:4">
      <c r="D1368" s="265"/>
    </row>
    <row r="1370" spans="4:4">
      <c r="D1370" s="265"/>
    </row>
    <row r="1371" spans="4:4">
      <c r="D1371" s="265"/>
    </row>
    <row r="1373" spans="4:4">
      <c r="D1373" s="265"/>
    </row>
    <row r="1374" spans="4:4">
      <c r="D1374" s="265"/>
    </row>
    <row r="1375" spans="4:4">
      <c r="D1375" s="265"/>
    </row>
    <row r="1377" spans="4:4">
      <c r="D1377" s="265"/>
    </row>
    <row r="1378" spans="4:4">
      <c r="D1378" s="265"/>
    </row>
    <row r="1390" spans="4:4">
      <c r="D1390" s="265"/>
    </row>
    <row r="1391" spans="4:4">
      <c r="D1391" s="265"/>
    </row>
    <row r="1393" spans="4:4">
      <c r="D1393" s="265"/>
    </row>
    <row r="1403" spans="4:4">
      <c r="D1403" s="265"/>
    </row>
    <row r="1405" spans="4:4">
      <c r="D1405" s="265"/>
    </row>
    <row r="1408" spans="4:4">
      <c r="D1408" s="265"/>
    </row>
    <row r="1410" spans="4:4">
      <c r="D1410" s="265"/>
    </row>
    <row r="1413" spans="4:4">
      <c r="D1413" s="265"/>
    </row>
    <row r="1414" spans="4:4">
      <c r="D1414" s="265"/>
    </row>
    <row r="1415" spans="4:4">
      <c r="D1415" s="265"/>
    </row>
    <row r="1418" spans="4:4">
      <c r="D1418" s="265"/>
    </row>
    <row r="1420" spans="4:4">
      <c r="D1420" s="265"/>
    </row>
    <row r="1431" spans="4:4">
      <c r="D1431" s="265"/>
    </row>
    <row r="1433" spans="4:4">
      <c r="D1433" s="265"/>
    </row>
    <row r="1435" spans="4:4">
      <c r="D1435" s="265"/>
    </row>
    <row r="1439" spans="4:4">
      <c r="D1439" s="265"/>
    </row>
    <row r="1441" spans="4:4">
      <c r="D1441" s="265"/>
    </row>
    <row r="1443" spans="4:4">
      <c r="D1443" s="265"/>
    </row>
    <row r="1445" spans="4:4">
      <c r="D1445" s="265"/>
    </row>
    <row r="1453" spans="4:4">
      <c r="D1453" s="265"/>
    </row>
    <row r="1454" spans="4:4">
      <c r="D1454" s="265"/>
    </row>
    <row r="1458" spans="4:4">
      <c r="D1458" s="265"/>
    </row>
    <row r="1490" spans="4:4">
      <c r="D1490" s="265"/>
    </row>
    <row r="1492" spans="4:4">
      <c r="D1492" s="265"/>
    </row>
    <row r="1493" spans="4:4">
      <c r="D1493" s="265"/>
    </row>
    <row r="1494" spans="4:4">
      <c r="D1494" s="265"/>
    </row>
    <row r="1503" spans="4:4">
      <c r="D1503" s="265"/>
    </row>
    <row r="1505" spans="4:4">
      <c r="D1505" s="265"/>
    </row>
    <row r="1511" spans="4:4">
      <c r="D1511" s="265"/>
    </row>
    <row r="1513" spans="4:4">
      <c r="D1513" s="265"/>
    </row>
    <row r="1523" spans="4:4">
      <c r="D1523" s="265"/>
    </row>
    <row r="1525" spans="4:4">
      <c r="D1525" s="265"/>
    </row>
    <row r="1528" spans="4:4">
      <c r="D1528" s="265"/>
    </row>
    <row r="1530" spans="4:4">
      <c r="D1530" s="265"/>
    </row>
    <row r="1533" spans="4:4">
      <c r="D1533" s="265"/>
    </row>
    <row r="1534" spans="4:4">
      <c r="D1534" s="265"/>
    </row>
    <row r="1535" spans="4:4">
      <c r="D1535" s="265"/>
    </row>
    <row r="1538" spans="4:4">
      <c r="D1538" s="265"/>
    </row>
    <row r="1551" spans="4:4">
      <c r="D1551" s="265"/>
    </row>
    <row r="1553" spans="4:4">
      <c r="D1553" s="265"/>
    </row>
    <row r="1555" spans="4:4">
      <c r="D1555" s="265"/>
    </row>
    <row r="1559" spans="4:4">
      <c r="D1559" s="265"/>
    </row>
    <row r="1565" spans="4:4">
      <c r="D1565" s="265"/>
    </row>
    <row r="1568" spans="4:4">
      <c r="D1568" s="265"/>
    </row>
    <row r="1570" spans="4:4">
      <c r="D1570" s="265"/>
    </row>
    <row r="1572" spans="4:4">
      <c r="D1572" s="265"/>
    </row>
    <row r="1573" spans="4:4">
      <c r="D1573" s="265"/>
    </row>
    <row r="1574" spans="4:4">
      <c r="D1574" s="265"/>
    </row>
    <row r="1575" spans="4:4">
      <c r="D1575" s="265"/>
    </row>
    <row r="1578" spans="4:4">
      <c r="D1578" s="265"/>
    </row>
    <row r="1591" spans="4:4">
      <c r="D1591" s="265"/>
    </row>
    <row r="1593" spans="4:4">
      <c r="D1593" s="265"/>
    </row>
    <row r="1601" spans="4:4">
      <c r="D1601" s="265"/>
    </row>
    <row r="1603" spans="4:4">
      <c r="D1603" s="265"/>
    </row>
    <row r="1605" spans="4:4">
      <c r="D1605" s="265"/>
    </row>
    <row r="1608" spans="4:4">
      <c r="D1608" s="265"/>
    </row>
    <row r="1610" spans="4:4">
      <c r="D1610" s="265"/>
    </row>
    <row r="1613" spans="4:4">
      <c r="D1613" s="265"/>
    </row>
    <row r="1614" spans="4:4">
      <c r="D1614" s="265"/>
    </row>
    <row r="1615" spans="4:4">
      <c r="D1615" s="265"/>
    </row>
    <row r="1618" spans="4:4">
      <c r="D1618" s="265"/>
    </row>
    <row r="1631" spans="4:4">
      <c r="D1631" s="265"/>
    </row>
    <row r="1633" spans="4:4">
      <c r="D1633" s="265"/>
    </row>
    <row r="1643" spans="4:4">
      <c r="D1643" s="265"/>
    </row>
    <row r="1645" spans="4:4">
      <c r="D1645" s="265"/>
    </row>
    <row r="1653" spans="4:4">
      <c r="D1653" s="265"/>
    </row>
    <row r="1654" spans="4:4">
      <c r="D1654" s="265"/>
    </row>
    <row r="1655" spans="4:4">
      <c r="D1655" s="265"/>
    </row>
    <row r="1658" spans="4:4">
      <c r="D1658" s="265"/>
    </row>
    <row r="1693" spans="4:4">
      <c r="D1693" s="265"/>
    </row>
    <row r="1694" spans="4:4">
      <c r="D1694" s="265"/>
    </row>
    <row r="1695" spans="4:4">
      <c r="D1695" s="265"/>
    </row>
    <row r="1698" spans="4:4">
      <c r="D1698" s="265"/>
    </row>
    <row r="1728" spans="4:4">
      <c r="D1728" s="265"/>
    </row>
    <row r="1730" spans="4:4">
      <c r="D1730" s="265"/>
    </row>
    <row r="1733" spans="4:4">
      <c r="D1733" s="265"/>
    </row>
    <row r="1734" spans="4:4">
      <c r="D1734" s="265"/>
    </row>
    <row r="1735" spans="4:4">
      <c r="D1735" s="265"/>
    </row>
    <row r="1738" spans="4:4">
      <c r="D1738" s="265"/>
    </row>
    <row r="1751" spans="4:4">
      <c r="D1751" s="265"/>
    </row>
    <row r="1753" spans="4:4">
      <c r="D1753" s="265"/>
    </row>
    <row r="1763" spans="4:4">
      <c r="D1763" s="265"/>
    </row>
    <row r="1765" spans="4:4">
      <c r="D1765" s="265"/>
    </row>
    <row r="1768" spans="4:4">
      <c r="D1768" s="265"/>
    </row>
    <row r="1770" spans="4:4">
      <c r="D1770" s="265"/>
    </row>
    <row r="1773" spans="4:4">
      <c r="D1773" s="265"/>
    </row>
    <row r="1774" spans="4:4">
      <c r="D1774" s="265"/>
    </row>
    <row r="1775" spans="4:4">
      <c r="D1775" s="265"/>
    </row>
    <row r="1778" spans="4:4">
      <c r="D1778" s="265"/>
    </row>
    <row r="1791" spans="4:4">
      <c r="D1791" s="265"/>
    </row>
    <row r="1793" spans="4:4">
      <c r="D1793" s="265"/>
    </row>
    <row r="1803" spans="4:4">
      <c r="D1803" s="265"/>
    </row>
    <row r="1805" spans="4:4">
      <c r="D1805" s="265"/>
    </row>
    <row r="1813" spans="4:4">
      <c r="D1813" s="265"/>
    </row>
    <row r="1814" spans="4:4">
      <c r="D1814" s="265"/>
    </row>
    <row r="1815" spans="4:4">
      <c r="D1815" s="265"/>
    </row>
    <row r="1818" spans="4:4">
      <c r="D1818" s="265"/>
    </row>
    <row r="1853" spans="4:4">
      <c r="D1853" s="265"/>
    </row>
    <row r="1854" spans="4:4">
      <c r="D1854" s="265"/>
    </row>
    <row r="1855" spans="4:4">
      <c r="D1855" s="265"/>
    </row>
    <row r="1858" spans="4:4">
      <c r="D1858" s="265"/>
    </row>
    <row r="1890" spans="4:4">
      <c r="D1890" s="265"/>
    </row>
    <row r="1893" spans="4:4">
      <c r="D1893" s="265"/>
    </row>
    <row r="1894" spans="4:4">
      <c r="D1894" s="265"/>
    </row>
    <row r="1895" spans="4:4">
      <c r="D1895" s="265"/>
    </row>
    <row r="1898" spans="4:4">
      <c r="D1898" s="265"/>
    </row>
    <row r="1925" spans="4:4">
      <c r="D1925" s="265"/>
    </row>
    <row r="1933" spans="4:4">
      <c r="D1933" s="265"/>
    </row>
    <row r="1934" spans="4:4">
      <c r="D1934" s="265"/>
    </row>
    <row r="1935" spans="4:4">
      <c r="D1935" s="265"/>
    </row>
    <row r="1938" spans="4:4">
      <c r="D1938" s="265"/>
    </row>
    <row r="1943" spans="4:4">
      <c r="D1943" s="265"/>
    </row>
    <row r="1945" spans="4:4">
      <c r="D1945" s="265"/>
    </row>
    <row r="1970" spans="4:4">
      <c r="D1970" s="265"/>
    </row>
    <row r="1973" spans="4:4">
      <c r="D1973" s="265"/>
    </row>
    <row r="1974" spans="4:4">
      <c r="D1974" s="265"/>
    </row>
    <row r="1975" spans="4:4">
      <c r="D1975" s="265"/>
    </row>
    <row r="1978" spans="4:4">
      <c r="D1978" s="265"/>
    </row>
    <row r="2001" spans="4:4">
      <c r="D2001" s="265"/>
    </row>
    <row r="2003" spans="4:4">
      <c r="D2003" s="265"/>
    </row>
    <row r="2005" spans="4:4">
      <c r="D2005" s="265"/>
    </row>
    <row r="2013" spans="4:4">
      <c r="D2013" s="265"/>
    </row>
    <row r="2014" spans="4:4">
      <c r="D2014" s="265"/>
    </row>
    <row r="2015" spans="4:4">
      <c r="D2015" s="265"/>
    </row>
    <row r="2018" spans="4:4">
      <c r="D2018" s="265"/>
    </row>
    <row r="2048" spans="4:4">
      <c r="D2048" s="265"/>
    </row>
    <row r="2050" spans="4:4">
      <c r="D2050" s="265"/>
    </row>
    <row r="2053" spans="4:4">
      <c r="D2053" s="265"/>
    </row>
    <row r="2054" spans="4:4">
      <c r="D2054" s="265"/>
    </row>
    <row r="2055" spans="4:4">
      <c r="D2055" s="265"/>
    </row>
    <row r="2058" spans="4:4">
      <c r="D2058" s="265"/>
    </row>
    <row r="2071" spans="4:4">
      <c r="D2071" s="265"/>
    </row>
    <row r="2073" spans="4:4">
      <c r="D2073" s="265"/>
    </row>
    <row r="2085" spans="4:4">
      <c r="D2085" s="265"/>
    </row>
    <row r="2093" spans="4:4">
      <c r="D2093" s="265"/>
    </row>
    <row r="2094" spans="4:4">
      <c r="D2094" s="265"/>
    </row>
    <row r="2103" spans="4:4">
      <c r="D2103" s="265"/>
    </row>
    <row r="2105" spans="4:4">
      <c r="D2105" s="265"/>
    </row>
    <row r="2133" spans="4:4">
      <c r="D2133" s="265"/>
    </row>
    <row r="2134" spans="4:4">
      <c r="D2134" s="265"/>
    </row>
    <row r="2135" spans="4:4">
      <c r="D2135" s="265"/>
    </row>
    <row r="2138" spans="4:4">
      <c r="D2138" s="265"/>
    </row>
    <row r="2143" spans="4:4">
      <c r="D2143" s="265"/>
    </row>
    <row r="2173" spans="4:4">
      <c r="D2173" s="265"/>
    </row>
    <row r="2174" spans="4:4">
      <c r="D2174" s="265"/>
    </row>
    <row r="2178" spans="4:4">
      <c r="D2178" s="265"/>
    </row>
    <row r="2213" spans="4:4">
      <c r="D2213" s="265"/>
    </row>
    <row r="2214" spans="4:4">
      <c r="D2214" s="265"/>
    </row>
    <row r="2215" spans="4:4">
      <c r="D2215" s="265"/>
    </row>
    <row r="2218" spans="4:4">
      <c r="D2218" s="265"/>
    </row>
    <row r="2253" spans="4:4">
      <c r="D2253" s="265"/>
    </row>
    <row r="2254" spans="4:4">
      <c r="D2254" s="265"/>
    </row>
    <row r="2255" spans="4:4">
      <c r="D2255" s="265"/>
    </row>
    <row r="2258" spans="4:4">
      <c r="D2258" s="265"/>
    </row>
    <row r="2288" spans="4:4">
      <c r="D2288" s="265"/>
    </row>
    <row r="2290" spans="4:4">
      <c r="D2290" s="265"/>
    </row>
    <row r="2291" spans="4:4">
      <c r="D2291" s="265"/>
    </row>
    <row r="2293" spans="4:4">
      <c r="D2293" s="265"/>
    </row>
    <row r="2294" spans="4:4">
      <c r="D2294" s="265"/>
    </row>
    <row r="2295" spans="4:4">
      <c r="D2295" s="265"/>
    </row>
    <row r="2297" spans="4:4">
      <c r="D2297" s="265"/>
    </row>
    <row r="2298" spans="4:4">
      <c r="D2298" s="265"/>
    </row>
    <row r="2311" spans="4:4">
      <c r="D2311" s="265"/>
    </row>
    <row r="2313" spans="4:4">
      <c r="D2313" s="265"/>
    </row>
    <row r="2321" spans="4:4">
      <c r="D2321" s="265"/>
    </row>
    <row r="2323" spans="4:4">
      <c r="D2323" s="265"/>
    </row>
    <row r="2325" spans="4:4">
      <c r="D2325" s="265"/>
    </row>
    <row r="2328" spans="4:4">
      <c r="D2328" s="265"/>
    </row>
    <row r="2330" spans="4:4">
      <c r="D2330" s="265"/>
    </row>
    <row r="2333" spans="4:4">
      <c r="D2333" s="265"/>
    </row>
    <row r="2334" spans="4:4">
      <c r="D2334" s="265"/>
    </row>
    <row r="2335" spans="4:4">
      <c r="D2335" s="265"/>
    </row>
    <row r="2338" spans="4:4">
      <c r="D2338" s="265"/>
    </row>
    <row r="2351" spans="4:4">
      <c r="D2351" s="265"/>
    </row>
    <row r="2353" spans="4:4">
      <c r="D2353" s="265"/>
    </row>
    <row r="2363" spans="4:4">
      <c r="D2363" s="265"/>
    </row>
    <row r="2365" spans="4:4">
      <c r="D2365" s="265"/>
    </row>
    <row r="2373" spans="4:4">
      <c r="D2373" s="265"/>
    </row>
    <row r="2374" spans="4:4">
      <c r="D2374" s="265"/>
    </row>
    <row r="2378" spans="4:4">
      <c r="D2378" s="265"/>
    </row>
    <row r="2413" spans="4:4">
      <c r="D2413" s="265"/>
    </row>
    <row r="2414" spans="4:4">
      <c r="D2414" s="265"/>
    </row>
    <row r="2415" spans="4:4">
      <c r="D2415" s="265"/>
    </row>
    <row r="2418" spans="4:4">
      <c r="D2418" s="265"/>
    </row>
    <row r="2448" spans="4:4">
      <c r="D2448" s="265"/>
    </row>
    <row r="2450" spans="4:4">
      <c r="D2450" s="265"/>
    </row>
    <row r="2451" spans="4:4">
      <c r="D2451" s="265"/>
    </row>
    <row r="2453" spans="4:4">
      <c r="D2453" s="265"/>
    </row>
    <row r="2454" spans="4:4">
      <c r="D2454" s="265"/>
    </row>
    <row r="2455" spans="4:4">
      <c r="D2455" s="265"/>
    </row>
    <row r="2457" spans="4:4">
      <c r="D2457" s="265"/>
    </row>
    <row r="2458" spans="4:4">
      <c r="D2458" s="265"/>
    </row>
    <row r="2471" spans="4:4">
      <c r="D2471" s="265"/>
    </row>
    <row r="2473" spans="4:4">
      <c r="D2473" s="265"/>
    </row>
    <row r="2481" spans="4:4">
      <c r="D2481" s="265"/>
    </row>
    <row r="2483" spans="4:4">
      <c r="D2483" s="265"/>
    </row>
    <row r="2485" spans="4:4">
      <c r="D2485" s="265"/>
    </row>
    <row r="2494" spans="4:4">
      <c r="D2494" s="265"/>
    </row>
    <row r="2495" spans="4:4">
      <c r="D2495" s="265"/>
    </row>
    <row r="2498" spans="4:4">
      <c r="D2498" s="265"/>
    </row>
    <row r="2533" spans="4:4">
      <c r="D2533" s="265"/>
    </row>
    <row r="2534" spans="4:4">
      <c r="D2534" s="265"/>
    </row>
    <row r="2535" spans="4:4">
      <c r="D2535" s="265"/>
    </row>
    <row r="2538" spans="4:4">
      <c r="D2538" s="265"/>
    </row>
    <row r="2573" spans="4:4">
      <c r="D2573" s="265"/>
    </row>
    <row r="2574" spans="4:4">
      <c r="D2574" s="265"/>
    </row>
    <row r="2575" spans="4:4">
      <c r="D2575" s="265"/>
    </row>
    <row r="2578" spans="4:4">
      <c r="D2578" s="265"/>
    </row>
    <row r="2613" spans="4:4">
      <c r="D2613" s="265"/>
    </row>
    <row r="2614" spans="4:4">
      <c r="D2614" s="265"/>
    </row>
    <row r="2615" spans="4:4">
      <c r="D2615" s="265"/>
    </row>
    <row r="2618" spans="4:4">
      <c r="D2618" s="265"/>
    </row>
    <row r="2648" spans="4:4">
      <c r="D2648" s="265"/>
    </row>
    <row r="2650" spans="4:4">
      <c r="D2650" s="265"/>
    </row>
    <row r="2653" spans="4:4">
      <c r="D2653" s="265"/>
    </row>
    <row r="2654" spans="4:4">
      <c r="D2654" s="265"/>
    </row>
    <row r="2658" spans="4:4">
      <c r="D2658" s="265"/>
    </row>
    <row r="2660" spans="4:4">
      <c r="D2660" s="265"/>
    </row>
    <row r="2663" spans="4:4">
      <c r="D2663" s="265"/>
    </row>
    <row r="2665" spans="4:4">
      <c r="D2665" s="265"/>
    </row>
    <row r="2671" spans="4:4">
      <c r="D2671" s="265"/>
    </row>
    <row r="2673" spans="4:4">
      <c r="D2673" s="265"/>
    </row>
    <row r="2681" spans="4:4">
      <c r="D2681" s="265"/>
    </row>
    <row r="2683" spans="4:4">
      <c r="D2683" s="265"/>
    </row>
    <row r="2685" spans="4:4">
      <c r="D2685" s="265"/>
    </row>
    <row r="2693" spans="4:4">
      <c r="D2693" s="265"/>
    </row>
    <row r="2694" spans="4:4">
      <c r="D2694" s="265"/>
    </row>
    <row r="2698" spans="4:4">
      <c r="D2698" s="265"/>
    </row>
    <row r="2733" spans="4:4">
      <c r="D2733" s="265"/>
    </row>
    <row r="2734" spans="4:4">
      <c r="D2734" s="265"/>
    </row>
    <row r="2735" spans="4:4">
      <c r="D2735" s="265"/>
    </row>
    <row r="2738" spans="4:4">
      <c r="D2738" s="265"/>
    </row>
    <row r="2772" spans="4:4">
      <c r="D2772" s="265"/>
    </row>
    <row r="2773" spans="4:4">
      <c r="D2773" s="265"/>
    </row>
    <row r="2774" spans="4:4">
      <c r="D2774" s="265"/>
    </row>
    <row r="2775" spans="4:4">
      <c r="D2775" s="265"/>
    </row>
    <row r="2778" spans="4:4">
      <c r="D2778" s="265"/>
    </row>
    <row r="2813" spans="4:4">
      <c r="D2813" s="265"/>
    </row>
    <row r="2814" spans="4:4">
      <c r="D2814" s="265"/>
    </row>
    <row r="2815" spans="4:4">
      <c r="D2815" s="265"/>
    </row>
    <row r="2818" spans="4:4">
      <c r="D2818" s="265"/>
    </row>
    <row r="2848" spans="4:4">
      <c r="D2848" s="265"/>
    </row>
    <row r="2850" spans="4:4">
      <c r="D2850" s="265"/>
    </row>
    <row r="2853" spans="4:4">
      <c r="D2853" s="265"/>
    </row>
    <row r="2854" spans="4:4">
      <c r="D2854" s="265"/>
    </row>
    <row r="2855" spans="4:4">
      <c r="D2855" s="265"/>
    </row>
    <row r="2858" spans="4:4">
      <c r="D2858" s="265"/>
    </row>
    <row r="2885" spans="4:4">
      <c r="D2885" s="265"/>
    </row>
    <row r="2888" spans="4:4">
      <c r="D2888" s="265"/>
    </row>
    <row r="2890" spans="4:4">
      <c r="D2890" s="265"/>
    </row>
    <row r="2893" spans="4:4">
      <c r="D2893" s="265"/>
    </row>
    <row r="2894" spans="4:4">
      <c r="D2894" s="265"/>
    </row>
    <row r="2895" spans="4:4">
      <c r="D2895" s="265"/>
    </row>
    <row r="2898" spans="4:4">
      <c r="D2898" s="265"/>
    </row>
    <row r="2911" spans="4:4">
      <c r="D2911" s="265"/>
    </row>
    <row r="2913" spans="4:4">
      <c r="D2913" s="265"/>
    </row>
    <row r="2915" spans="4:4">
      <c r="D2915" s="265"/>
    </row>
    <row r="2921" spans="4:4">
      <c r="D2921" s="265"/>
    </row>
    <row r="2923" spans="4:4">
      <c r="D2923" s="265"/>
    </row>
    <row r="2925" spans="4:4">
      <c r="D2925" s="265"/>
    </row>
    <row r="2930" spans="4:4">
      <c r="D2930" s="265"/>
    </row>
    <row r="2933" spans="4:4">
      <c r="D2933" s="265"/>
    </row>
    <row r="2934" spans="4:4">
      <c r="D2934" s="265"/>
    </row>
    <row r="2935" spans="4:4">
      <c r="D2935" s="265"/>
    </row>
    <row r="2938" spans="4:4">
      <c r="D2938" s="265"/>
    </row>
    <row r="2961" spans="4:4">
      <c r="D2961" s="265"/>
    </row>
    <row r="2963" spans="4:4">
      <c r="D2963" s="265"/>
    </row>
    <row r="2965" spans="4:4">
      <c r="D2965" s="265"/>
    </row>
    <row r="2968" spans="4:4">
      <c r="D2968" s="265"/>
    </row>
    <row r="2970" spans="4:4">
      <c r="D2970" s="265"/>
    </row>
    <row r="2971" spans="4:4">
      <c r="D2971" s="265"/>
    </row>
    <row r="2973" spans="4:4">
      <c r="D2973" s="265"/>
    </row>
    <row r="2974" spans="4:4">
      <c r="D2974" s="265"/>
    </row>
    <row r="2975" spans="4:4">
      <c r="D2975" s="265"/>
    </row>
    <row r="2977" spans="4:4">
      <c r="D2977" s="265"/>
    </row>
    <row r="2978" spans="4:4">
      <c r="D2978" s="265"/>
    </row>
    <row r="2990" spans="4:4">
      <c r="D2990" s="265"/>
    </row>
    <row r="2991" spans="4:4">
      <c r="D2991" s="265"/>
    </row>
    <row r="2993" spans="4:4">
      <c r="D2993" s="265"/>
    </row>
    <row r="2995" spans="4:4">
      <c r="D2995" s="265"/>
    </row>
    <row r="3003" spans="4:4">
      <c r="D3003" s="265"/>
    </row>
    <row r="3005" spans="4:4">
      <c r="D3005" s="265"/>
    </row>
    <row r="3008" spans="4:4">
      <c r="D3008" s="265"/>
    </row>
    <row r="3010" spans="4:4">
      <c r="D3010" s="265"/>
    </row>
    <row r="3011" spans="4:4">
      <c r="D3011" s="265"/>
    </row>
    <row r="3013" spans="4:4">
      <c r="D3013" s="265"/>
    </row>
    <row r="3014" spans="4:4">
      <c r="D3014" s="265"/>
    </row>
    <row r="3015" spans="4:4">
      <c r="D3015" s="265"/>
    </row>
    <row r="3017" spans="4:4">
      <c r="D3017" s="265"/>
    </row>
    <row r="3018" spans="4:4">
      <c r="D3018" s="265"/>
    </row>
    <row r="3020" spans="4:4">
      <c r="D3020" s="265"/>
    </row>
    <row r="3031" spans="4:4">
      <c r="D3031" s="265"/>
    </row>
    <row r="3033" spans="4:4">
      <c r="D3033" s="265"/>
    </row>
    <row r="3035" spans="4:4">
      <c r="D3035" s="265"/>
    </row>
    <row r="3043" spans="4:4">
      <c r="D3043" s="265"/>
    </row>
    <row r="3045" spans="4:4">
      <c r="D3045" s="265"/>
    </row>
    <row r="3048" spans="4:4">
      <c r="D3048" s="265"/>
    </row>
    <row r="3050" spans="4:4">
      <c r="D3050" s="265"/>
    </row>
    <row r="3052" spans="4:4">
      <c r="D3052" s="265"/>
    </row>
    <row r="3053" spans="4:4">
      <c r="D3053" s="265"/>
    </row>
    <row r="3054" spans="4:4">
      <c r="D3054" s="265"/>
    </row>
    <row r="3055" spans="4:4">
      <c r="D3055" s="265"/>
    </row>
    <row r="3057" spans="4:4">
      <c r="D3057" s="265"/>
    </row>
    <row r="3058" spans="4:4">
      <c r="D3058" s="265"/>
    </row>
    <row r="3060" spans="4:4">
      <c r="D3060" s="265"/>
    </row>
    <row r="3071" spans="4:4">
      <c r="D3071" s="265"/>
    </row>
    <row r="3073" spans="4:4">
      <c r="D3073" s="265"/>
    </row>
    <row r="3075" spans="4:4">
      <c r="D3075" s="265"/>
    </row>
    <row r="3083" spans="4:4">
      <c r="D3083" s="265"/>
    </row>
    <row r="3085" spans="4:4">
      <c r="D3085" s="265"/>
    </row>
    <row r="3088" spans="4:4">
      <c r="D3088" s="265"/>
    </row>
    <row r="3090" spans="4:4">
      <c r="D3090" s="265"/>
    </row>
    <row r="3093" spans="4:4">
      <c r="D3093" s="265"/>
    </row>
    <row r="3094" spans="4:4">
      <c r="D3094" s="265"/>
    </row>
    <row r="3095" spans="4:4">
      <c r="D3095" s="265"/>
    </row>
    <row r="3098" spans="4:4">
      <c r="D3098" s="265"/>
    </row>
    <row r="3111" spans="4:4">
      <c r="D3111" s="265"/>
    </row>
    <row r="3113" spans="4:4">
      <c r="D3113" s="265"/>
    </row>
    <row r="3115" spans="4:4">
      <c r="D3115" s="265"/>
    </row>
    <row r="3119" spans="4:4">
      <c r="D3119" s="265"/>
    </row>
    <row r="3123" spans="4:4">
      <c r="D3123" s="265"/>
    </row>
    <row r="3125" spans="4:4">
      <c r="D3125" s="265"/>
    </row>
    <row r="3133" spans="4:4">
      <c r="D3133" s="265"/>
    </row>
    <row r="3134" spans="4:4">
      <c r="D3134" s="265"/>
    </row>
    <row r="3135" spans="4:4">
      <c r="D3135" s="265"/>
    </row>
    <row r="3138" spans="4:4">
      <c r="D3138" s="265"/>
    </row>
    <row r="3170" spans="4:4">
      <c r="D3170" s="265"/>
    </row>
    <row r="3173" spans="4:4">
      <c r="D3173" s="265"/>
    </row>
    <row r="3174" spans="4:4">
      <c r="D3174" s="265"/>
    </row>
    <row r="3175" spans="4:4">
      <c r="D3175" s="265"/>
    </row>
    <row r="3178" spans="4:4">
      <c r="D3178" s="265"/>
    </row>
    <row r="3205" spans="4:4">
      <c r="D3205" s="265"/>
    </row>
    <row r="3208" spans="4:4">
      <c r="D3208" s="265"/>
    </row>
    <row r="3210" spans="4:4">
      <c r="D3210" s="265"/>
    </row>
    <row r="3211" spans="4:4">
      <c r="D3211" s="265"/>
    </row>
    <row r="3213" spans="4:4">
      <c r="D3213" s="265"/>
    </row>
    <row r="3214" spans="4:4">
      <c r="D3214" s="265"/>
    </row>
    <row r="3215" spans="4:4">
      <c r="D3215" s="265"/>
    </row>
    <row r="3217" spans="4:4">
      <c r="D3217" s="265"/>
    </row>
    <row r="3218" spans="4:4">
      <c r="D3218" s="265"/>
    </row>
    <row r="3241" spans="4:4">
      <c r="D3241" s="265"/>
    </row>
    <row r="3243" spans="4:4">
      <c r="D3243" s="265"/>
    </row>
    <row r="3245" spans="4:4">
      <c r="D3245" s="265"/>
    </row>
    <row r="3250" spans="4:4">
      <c r="D3250" s="265"/>
    </row>
    <row r="3253" spans="4:4">
      <c r="D3253" s="265"/>
    </row>
    <row r="3254" spans="4:4">
      <c r="D3254" s="265"/>
    </row>
    <row r="3255" spans="4:4">
      <c r="D3255" s="265"/>
    </row>
    <row r="3258" spans="4:4">
      <c r="D3258" s="265"/>
    </row>
    <row r="3283" spans="4:4">
      <c r="D3283" s="265"/>
    </row>
    <row r="3285" spans="4:4">
      <c r="D3285" s="265"/>
    </row>
    <row r="3288" spans="4:4">
      <c r="D3288" s="265"/>
    </row>
    <row r="3290" spans="4:4">
      <c r="D3290" s="265"/>
    </row>
    <row r="3291" spans="4:4">
      <c r="D3291" s="265"/>
    </row>
    <row r="3293" spans="4:4">
      <c r="D3293" s="265"/>
    </row>
    <row r="3294" spans="4:4">
      <c r="D3294" s="265"/>
    </row>
    <row r="3295" spans="4:4">
      <c r="D3295" s="265"/>
    </row>
    <row r="3297" spans="4:4">
      <c r="D3297" s="265"/>
    </row>
    <row r="3298" spans="4:4">
      <c r="D3298" s="265"/>
    </row>
    <row r="3311" spans="4:4">
      <c r="D3311" s="265"/>
    </row>
    <row r="3313" spans="4:4">
      <c r="D3313" s="265"/>
    </row>
    <row r="3315" spans="4:4">
      <c r="D3315" s="265"/>
    </row>
    <row r="3317" spans="4:4">
      <c r="D3317" s="265"/>
    </row>
    <row r="3319" spans="4:4">
      <c r="D3319" s="265"/>
    </row>
    <row r="3321" spans="4:4">
      <c r="D3321" s="265"/>
    </row>
    <row r="3323" spans="4:4">
      <c r="D3323" s="265"/>
    </row>
    <row r="3325" spans="4:4">
      <c r="D3325" s="265"/>
    </row>
    <row r="3333" spans="4:4">
      <c r="D3333" s="265"/>
    </row>
    <row r="3334" spans="4:4">
      <c r="D3334" s="265"/>
    </row>
    <row r="3335" spans="4:4">
      <c r="D3335" s="265"/>
    </row>
    <row r="3338" spans="4:4">
      <c r="D3338" s="265"/>
    </row>
    <row r="3368" spans="4:4">
      <c r="D3368" s="265"/>
    </row>
    <row r="3370" spans="4:4">
      <c r="D3370" s="265"/>
    </row>
    <row r="3372" spans="4:4">
      <c r="D3372" s="265"/>
    </row>
    <row r="3373" spans="4:4">
      <c r="D3373" s="265"/>
    </row>
    <row r="3374" spans="4:4">
      <c r="D3374" s="265"/>
    </row>
    <row r="3375" spans="4:4">
      <c r="D3375" s="265"/>
    </row>
    <row r="3378" spans="4:4">
      <c r="D3378" s="265"/>
    </row>
    <row r="3391" spans="4:4">
      <c r="D3391" s="265"/>
    </row>
    <row r="3393" spans="4:4">
      <c r="D3393" s="265"/>
    </row>
    <row r="3403" spans="4:4">
      <c r="D3403" s="265"/>
    </row>
    <row r="3405" spans="4:4">
      <c r="D3405" s="265"/>
    </row>
    <row r="3408" spans="4:4">
      <c r="D3408" s="265"/>
    </row>
    <row r="3410" spans="4:4">
      <c r="D3410" s="265"/>
    </row>
    <row r="3413" spans="4:4">
      <c r="D3413" s="265"/>
    </row>
    <row r="3414" spans="4:4">
      <c r="D3414" s="265"/>
    </row>
    <row r="3415" spans="4:4">
      <c r="D3415" s="265"/>
    </row>
    <row r="3418" spans="4:4">
      <c r="D3418" s="265"/>
    </row>
    <row r="3431" spans="4:4">
      <c r="D3431" s="265"/>
    </row>
    <row r="3433" spans="4:4">
      <c r="D3433" s="265"/>
    </row>
    <row r="3441" spans="4:4">
      <c r="D3441" s="265"/>
    </row>
    <row r="3443" spans="4:4">
      <c r="D3443" s="265"/>
    </row>
    <row r="3445" spans="4:4">
      <c r="D3445" s="265"/>
    </row>
    <row r="3454" spans="4:4">
      <c r="D3454" s="265"/>
    </row>
    <row r="3455" spans="4:4">
      <c r="D3455" s="265"/>
    </row>
    <row r="3458" spans="4:4">
      <c r="D3458" s="265"/>
    </row>
    <row r="3488" spans="4:4">
      <c r="D3488" s="265"/>
    </row>
    <row r="3490" spans="4:4">
      <c r="D3490" s="265"/>
    </row>
    <row r="3491" spans="4:4">
      <c r="D3491" s="265"/>
    </row>
    <row r="3493" spans="4:4">
      <c r="D3493" s="265"/>
    </row>
    <row r="3494" spans="4:4">
      <c r="D3494" s="265"/>
    </row>
    <row r="3495" spans="4:4">
      <c r="D3495" s="265"/>
    </row>
    <row r="3497" spans="4:4">
      <c r="D3497" s="265"/>
    </row>
    <row r="3498" spans="4:4">
      <c r="D3498" s="265"/>
    </row>
    <row r="3511" spans="4:4">
      <c r="D3511" s="265"/>
    </row>
    <row r="3513" spans="4:4">
      <c r="D3513" s="265"/>
    </row>
    <row r="3515" spans="4:4">
      <c r="D3515" s="265"/>
    </row>
    <row r="3523" spans="4:4">
      <c r="D3523" s="265"/>
    </row>
    <row r="3525" spans="4:4">
      <c r="D3525" s="265"/>
    </row>
    <row r="3573" spans="4:4">
      <c r="D3573" s="265"/>
    </row>
    <row r="3574" spans="4:4">
      <c r="D3574" s="265"/>
    </row>
    <row r="3575" spans="4:4">
      <c r="D3575" s="265"/>
    </row>
    <row r="3578" spans="4:4">
      <c r="D3578" s="265"/>
    </row>
    <row r="3613" spans="4:4">
      <c r="D3613" s="265"/>
    </row>
    <row r="3614" spans="4:4">
      <c r="D3614" s="265"/>
    </row>
    <row r="3615" spans="4:4">
      <c r="D3615" s="265"/>
    </row>
    <row r="3618" spans="4:4">
      <c r="D3618" s="265"/>
    </row>
    <row r="3648" spans="4:4">
      <c r="D3648" s="265"/>
    </row>
    <row r="3650" spans="4:4">
      <c r="D3650" s="265"/>
    </row>
    <row r="3653" spans="4:4">
      <c r="D3653" s="265"/>
    </row>
    <row r="3654" spans="4:4">
      <c r="D3654" s="265"/>
    </row>
    <row r="3655" spans="4:4">
      <c r="D3655" s="265"/>
    </row>
    <row r="3658" spans="4:4">
      <c r="D3658" s="265"/>
    </row>
    <row r="3660" spans="4:4">
      <c r="D3660" s="265"/>
    </row>
    <row r="3671" spans="4:4">
      <c r="D3671" s="265"/>
    </row>
    <row r="3673" spans="4:4">
      <c r="D3673" s="265"/>
    </row>
    <row r="3675" spans="4:4">
      <c r="D3675" s="265"/>
    </row>
    <row r="3679" spans="4:4">
      <c r="D3679" s="265"/>
    </row>
    <row r="3683" spans="4:4">
      <c r="D3683" s="265"/>
    </row>
    <row r="3685" spans="4:4">
      <c r="D3685" s="265"/>
    </row>
    <row r="3693" spans="4:4">
      <c r="D3693" s="265"/>
    </row>
    <row r="3694" spans="4:4">
      <c r="D3694" s="265"/>
    </row>
    <row r="3695" spans="4:4">
      <c r="D3695" s="265"/>
    </row>
    <row r="3698" spans="4:4">
      <c r="D3698" s="265"/>
    </row>
    <row r="3728" spans="4:4">
      <c r="D3728" s="265"/>
    </row>
    <row r="3730" spans="4:4">
      <c r="D3730" s="265"/>
    </row>
    <row r="3732" spans="4:4">
      <c r="D3732" s="265"/>
    </row>
    <row r="3733" spans="4:4">
      <c r="D3733" s="265"/>
    </row>
    <row r="3734" spans="4:4">
      <c r="D3734" s="265"/>
    </row>
    <row r="3735" spans="4:4">
      <c r="D3735" s="265"/>
    </row>
    <row r="3738" spans="4:4">
      <c r="D3738" s="265"/>
    </row>
    <row r="3740" spans="4:4">
      <c r="D3740" s="265"/>
    </row>
    <row r="3751" spans="4:4">
      <c r="D3751" s="265"/>
    </row>
    <row r="3753" spans="4:4">
      <c r="D3753" s="265"/>
    </row>
    <row r="3755" spans="4:4">
      <c r="D3755" s="265"/>
    </row>
    <row r="3761" spans="4:4">
      <c r="D3761" s="265"/>
    </row>
    <row r="3763" spans="4:4">
      <c r="D3763" s="265"/>
    </row>
    <row r="3765" spans="4:4">
      <c r="D3765" s="265"/>
    </row>
    <row r="3773" spans="4:4">
      <c r="D3773" s="265"/>
    </row>
    <row r="3774" spans="4:4">
      <c r="D3774" s="265"/>
    </row>
    <row r="3778" spans="4:4">
      <c r="D3778" s="265"/>
    </row>
    <row r="3853" spans="4:4">
      <c r="D3853" s="265"/>
    </row>
    <row r="3854" spans="4:4">
      <c r="D3854" s="265"/>
    </row>
    <row r="3855" spans="4:4">
      <c r="D3855" s="265"/>
    </row>
    <row r="3858" spans="4:4">
      <c r="D3858" s="265"/>
    </row>
    <row r="3893" spans="4:4">
      <c r="D3893" s="265"/>
    </row>
    <row r="3894" spans="4:4">
      <c r="D3894" s="265"/>
    </row>
    <row r="3895" spans="4:4">
      <c r="D3895" s="265"/>
    </row>
    <row r="3898" spans="4:4">
      <c r="D3898" s="265"/>
    </row>
    <row r="3933" spans="4:4">
      <c r="D3933" s="265"/>
    </row>
    <row r="3934" spans="4:4">
      <c r="D3934" s="265"/>
    </row>
    <row r="3935" spans="4:4">
      <c r="D3935" s="265"/>
    </row>
    <row r="3938" spans="4:4">
      <c r="D3938" s="265"/>
    </row>
    <row r="3973" spans="4:4">
      <c r="D3973" s="265"/>
    </row>
    <row r="3974" spans="4:4">
      <c r="D3974" s="265"/>
    </row>
    <row r="3975" spans="4:4">
      <c r="D3975" s="265"/>
    </row>
    <row r="3978" spans="4:4">
      <c r="D3978" s="265"/>
    </row>
    <row r="4008" spans="4:4">
      <c r="D4008" s="265"/>
    </row>
    <row r="4010" spans="4:4">
      <c r="D4010" s="265"/>
    </row>
    <row r="4013" spans="4:4">
      <c r="D4013" s="265"/>
    </row>
    <row r="4014" spans="4:4">
      <c r="D4014" s="265"/>
    </row>
    <row r="4018" spans="4:4">
      <c r="D4018" s="265"/>
    </row>
    <row r="4020" spans="4:4">
      <c r="D4020" s="265"/>
    </row>
    <row r="4031" spans="4:4">
      <c r="D4031" s="265"/>
    </row>
    <row r="4033" spans="4:4">
      <c r="D4033" s="265"/>
    </row>
    <row r="4035" spans="4:4">
      <c r="D4035" s="265"/>
    </row>
    <row r="4043" spans="4:4">
      <c r="D4043" s="265"/>
    </row>
    <row r="4045" spans="4:4">
      <c r="D4045" s="265"/>
    </row>
    <row r="4050" spans="4:4">
      <c r="D4050" s="265"/>
    </row>
    <row r="4053" spans="4:4">
      <c r="D4053" s="265"/>
    </row>
    <row r="4054" spans="4:4">
      <c r="D4054" s="265"/>
    </row>
    <row r="4058" spans="4:4">
      <c r="D4058" s="265"/>
    </row>
    <row r="4085" spans="4:4">
      <c r="D4085" s="265"/>
    </row>
    <row r="4090" spans="4:4">
      <c r="D4090" s="265"/>
    </row>
    <row r="4093" spans="4:4">
      <c r="D4093" s="265"/>
    </row>
    <row r="4094" spans="4:4">
      <c r="D4094" s="265"/>
    </row>
    <row r="4095" spans="4:4">
      <c r="D4095" s="265"/>
    </row>
    <row r="4098" spans="4:4">
      <c r="D4098" s="265"/>
    </row>
    <row r="4125" spans="4:4">
      <c r="D4125" s="265"/>
    </row>
    <row r="4133" spans="4:4">
      <c r="D4133" s="265"/>
    </row>
    <row r="4134" spans="4:4">
      <c r="D4134" s="265"/>
    </row>
    <row r="4135" spans="4:4">
      <c r="D4135" s="265"/>
    </row>
    <row r="4138" spans="4:4">
      <c r="D4138" s="265"/>
    </row>
    <row r="4168" spans="4:4">
      <c r="D4168" s="265"/>
    </row>
    <row r="4170" spans="4:4">
      <c r="D4170" s="265"/>
    </row>
    <row r="4173" spans="4:4">
      <c r="D4173" s="265"/>
    </row>
    <row r="4174" spans="4:4">
      <c r="D4174" s="265"/>
    </row>
    <row r="4178" spans="4:4">
      <c r="D4178" s="265"/>
    </row>
    <row r="4191" spans="4:4">
      <c r="D4191" s="265"/>
    </row>
    <row r="4193" spans="4:4">
      <c r="D4193" s="265"/>
    </row>
    <row r="4201" spans="4:4">
      <c r="D4201" s="265"/>
    </row>
    <row r="4203" spans="4:4">
      <c r="D4203" s="265"/>
    </row>
    <row r="4205" spans="4:4">
      <c r="D4205" s="265"/>
    </row>
    <row r="4213" spans="4:4">
      <c r="D4213" s="265"/>
    </row>
    <row r="4214" spans="4:4">
      <c r="D4214" s="265"/>
    </row>
    <row r="4215" spans="4:4">
      <c r="D4215" s="265"/>
    </row>
    <row r="4218" spans="4:4">
      <c r="D4218" s="265"/>
    </row>
    <row r="4250" spans="4:4">
      <c r="D4250" s="265"/>
    </row>
    <row r="4253" spans="4:4">
      <c r="D4253" s="265"/>
    </row>
    <row r="4254" spans="4:4">
      <c r="D4254" s="265"/>
    </row>
    <row r="4255" spans="4:4">
      <c r="D4255" s="265"/>
    </row>
    <row r="4258" spans="4:4">
      <c r="D4258" s="265"/>
    </row>
    <row r="4285" spans="4:4">
      <c r="D4285" s="265"/>
    </row>
    <row r="4293" spans="4:4">
      <c r="D4293" s="265"/>
    </row>
    <row r="4294" spans="4:4">
      <c r="D4294" s="265"/>
    </row>
    <row r="4295" spans="4:4">
      <c r="D4295" s="265"/>
    </row>
    <row r="4298" spans="4:4">
      <c r="D4298" s="265"/>
    </row>
    <row r="4328" spans="4:4">
      <c r="D4328" s="265"/>
    </row>
    <row r="4330" spans="4:4">
      <c r="D4330" s="265"/>
    </row>
    <row r="4331" spans="4:4">
      <c r="D4331" s="265"/>
    </row>
    <row r="4333" spans="4:4">
      <c r="D4333" s="265"/>
    </row>
    <row r="4334" spans="4:4">
      <c r="D4334" s="265"/>
    </row>
    <row r="4335" spans="4:4">
      <c r="D4335" s="265"/>
    </row>
    <row r="4337" spans="4:4">
      <c r="D4337" s="265"/>
    </row>
    <row r="4338" spans="4:4">
      <c r="D4338" s="265"/>
    </row>
    <row r="4351" spans="4:4">
      <c r="D4351" s="265"/>
    </row>
    <row r="4353" spans="4:4">
      <c r="D4353" s="265"/>
    </row>
    <row r="4361" spans="4:4">
      <c r="D4361" s="265"/>
    </row>
    <row r="4363" spans="4:4">
      <c r="D4363" s="265"/>
    </row>
    <row r="4365" spans="4:4">
      <c r="D4365" s="265"/>
    </row>
    <row r="4373" spans="4:4">
      <c r="D4373" s="265"/>
    </row>
    <row r="4374" spans="4:4">
      <c r="D4374" s="265"/>
    </row>
    <row r="4375" spans="4:4">
      <c r="D4375" s="265"/>
    </row>
    <row r="4378" spans="4:4">
      <c r="D4378" s="265"/>
    </row>
    <row r="4383" spans="4:4">
      <c r="D4383" s="265"/>
    </row>
    <row r="4385" spans="4:4">
      <c r="D4385" s="265"/>
    </row>
    <row r="4408" spans="4:4">
      <c r="D4408" s="265"/>
    </row>
    <row r="4410" spans="4:4">
      <c r="D4410" s="265"/>
    </row>
    <row r="4413" spans="4:4">
      <c r="D4413" s="265"/>
    </row>
    <row r="4414" spans="4:4">
      <c r="D4414" s="265"/>
    </row>
    <row r="4415" spans="4:4">
      <c r="D4415" s="265"/>
    </row>
    <row r="4418" spans="4:4">
      <c r="D4418" s="265"/>
    </row>
    <row r="4431" spans="4:4">
      <c r="D4431" s="265"/>
    </row>
    <row r="4433" spans="4:4">
      <c r="D4433" s="265"/>
    </row>
    <row r="4445" spans="4:4">
      <c r="D4445" s="265"/>
    </row>
    <row r="4458" spans="4:4">
      <c r="D4458" s="265"/>
    </row>
    <row r="4490" spans="4:4">
      <c r="D4490" s="265"/>
    </row>
    <row r="4493" spans="4:4">
      <c r="D4493" s="265"/>
    </row>
    <row r="4494" spans="4:4">
      <c r="D4494" s="265"/>
    </row>
    <row r="4495" spans="4:4">
      <c r="D4495" s="265"/>
    </row>
    <row r="4498" spans="4:4">
      <c r="D4498" s="265"/>
    </row>
    <row r="4525" spans="4:4">
      <c r="D4525" s="265"/>
    </row>
    <row r="4533" spans="4:4">
      <c r="D4533" s="265"/>
    </row>
    <row r="4534" spans="4:4">
      <c r="D4534" s="265"/>
    </row>
    <row r="4538" spans="4:4">
      <c r="D4538" s="265"/>
    </row>
    <row r="4568" spans="4:4">
      <c r="D4568" s="265"/>
    </row>
    <row r="4570" spans="4:4">
      <c r="D4570" s="265"/>
    </row>
    <row r="4573" spans="4:4">
      <c r="D4573" s="265"/>
    </row>
    <row r="4574" spans="4:4">
      <c r="D4574" s="265"/>
    </row>
    <row r="4578" spans="4:4">
      <c r="D4578" s="265"/>
    </row>
    <row r="4583" spans="4:4">
      <c r="D4583" s="265"/>
    </row>
    <row r="4585" spans="4:4">
      <c r="D4585" s="265"/>
    </row>
    <row r="4591" spans="4:4">
      <c r="D4591" s="265"/>
    </row>
    <row r="4593" spans="4:4">
      <c r="D4593" s="265"/>
    </row>
    <row r="4595" spans="4:4">
      <c r="D4595" s="265"/>
    </row>
    <row r="4603" spans="4:4">
      <c r="D4603" s="265"/>
    </row>
    <row r="4605" spans="4:4">
      <c r="D4605" s="265"/>
    </row>
    <row r="4613" spans="4:4">
      <c r="D4613" s="265"/>
    </row>
    <row r="4614" spans="4:4">
      <c r="D4614" s="265"/>
    </row>
    <row r="4615" spans="4:4">
      <c r="D4615" s="265"/>
    </row>
    <row r="4618" spans="4:4">
      <c r="D4618" s="265"/>
    </row>
    <row r="4650" spans="4:4">
      <c r="D4650" s="265"/>
    </row>
    <row r="4653" spans="4:4">
      <c r="D4653" s="265"/>
    </row>
    <row r="4654" spans="4:4">
      <c r="D4654" s="265"/>
    </row>
    <row r="4658" spans="4:4">
      <c r="D4658" s="265"/>
    </row>
    <row r="4685" spans="4:4">
      <c r="D4685" s="265"/>
    </row>
    <row r="4693" spans="4:4">
      <c r="D4693" s="265"/>
    </row>
    <row r="4694" spans="4:4">
      <c r="D4694" s="265"/>
    </row>
    <row r="4695" spans="4:4">
      <c r="D4695" s="265"/>
    </row>
    <row r="4698" spans="4:4">
      <c r="D4698" s="265"/>
    </row>
    <row r="4733" spans="4:4">
      <c r="D4733" s="265"/>
    </row>
    <row r="4734" spans="4:4">
      <c r="D4734" s="265"/>
    </row>
    <row r="4735" spans="4:4">
      <c r="D4735" s="265"/>
    </row>
    <row r="4738" spans="4:4">
      <c r="D4738" s="265"/>
    </row>
    <row r="4773" spans="4:4">
      <c r="D4773" s="265"/>
    </row>
    <row r="4774" spans="4:4">
      <c r="D4774" s="265"/>
    </row>
    <row r="4775" spans="4:4">
      <c r="D4775" s="265"/>
    </row>
    <row r="4778" spans="4:4">
      <c r="D4778" s="265"/>
    </row>
    <row r="4808" spans="4:4">
      <c r="D4808" s="265"/>
    </row>
    <row r="4810" spans="4:4">
      <c r="D4810" s="265"/>
    </row>
    <row r="4813" spans="4:4">
      <c r="D4813" s="265"/>
    </row>
    <row r="4814" spans="4:4">
      <c r="D4814" s="265"/>
    </row>
    <row r="4843" spans="4:4">
      <c r="D4843" s="265"/>
    </row>
    <row r="4845" spans="4:4">
      <c r="D4845" s="265"/>
    </row>
    <row r="4848" spans="4:4">
      <c r="D4848" s="265"/>
    </row>
    <row r="4850" spans="4:4">
      <c r="D4850" s="265"/>
    </row>
    <row r="4853" spans="4:4">
      <c r="D4853" s="265"/>
    </row>
    <row r="4854" spans="4:4">
      <c r="D4854" s="265"/>
    </row>
    <row r="4855" spans="4:4">
      <c r="D4855" s="265"/>
    </row>
    <row r="4858" spans="4:4">
      <c r="D4858" s="265"/>
    </row>
    <row r="4871" spans="4:4">
      <c r="D4871" s="265"/>
    </row>
    <row r="4873" spans="4:4">
      <c r="D4873" s="265"/>
    </row>
    <row r="4881" spans="4:4">
      <c r="D4881" s="265"/>
    </row>
    <row r="4883" spans="4:4">
      <c r="D4883" s="265"/>
    </row>
    <row r="4885" spans="4:4">
      <c r="D4885" s="265"/>
    </row>
    <row r="4888" spans="4:4">
      <c r="D4888" s="265"/>
    </row>
    <row r="4890" spans="4:4">
      <c r="D4890" s="265"/>
    </row>
    <row r="4893" spans="4:4">
      <c r="D4893" s="265"/>
    </row>
    <row r="4894" spans="4:4">
      <c r="D4894" s="265"/>
    </row>
    <row r="4895" spans="4:4">
      <c r="D4895" s="265"/>
    </row>
    <row r="4898" spans="4:4">
      <c r="D4898" s="265"/>
    </row>
    <row r="4911" spans="4:4">
      <c r="D4911" s="265"/>
    </row>
    <row r="4913" spans="4:4">
      <c r="D4913" s="265"/>
    </row>
    <row r="4921" spans="4:4">
      <c r="D4921" s="265"/>
    </row>
    <row r="4923" spans="4:4">
      <c r="D4923" s="265"/>
    </row>
    <row r="4925" spans="4:4">
      <c r="D4925" s="265"/>
    </row>
    <row r="4933" spans="4:4">
      <c r="D4933" s="265"/>
    </row>
    <row r="4934" spans="4:4">
      <c r="D4934" s="265"/>
    </row>
    <row r="4935" spans="4:4">
      <c r="D4935" s="265"/>
    </row>
    <row r="4938" spans="4:4">
      <c r="D4938" s="265"/>
    </row>
    <row r="4968" spans="4:4">
      <c r="D4968" s="265"/>
    </row>
    <row r="4970" spans="4:4">
      <c r="D4970" s="265"/>
    </row>
    <row r="4973" spans="4:4">
      <c r="D4973" s="265"/>
    </row>
    <row r="4974" spans="4:4">
      <c r="D4974" s="265"/>
    </row>
    <row r="4975" spans="4:4">
      <c r="D4975" s="265"/>
    </row>
    <row r="4978" spans="4:4">
      <c r="D4978" s="265"/>
    </row>
    <row r="4991" spans="4:4">
      <c r="D4991" s="265"/>
    </row>
    <row r="4993" spans="4:4">
      <c r="D4993" s="265"/>
    </row>
    <row r="5003" spans="4:4">
      <c r="D5003" s="265"/>
    </row>
    <row r="5005" spans="4:4">
      <c r="D5005" s="265"/>
    </row>
    <row r="5013" spans="4:4">
      <c r="D5013" s="265"/>
    </row>
    <row r="5014" spans="4:4">
      <c r="D5014" s="265"/>
    </row>
    <row r="5015" spans="4:4">
      <c r="D5015" s="265"/>
    </row>
    <row r="5018" spans="4:4">
      <c r="D5018" s="265"/>
    </row>
    <row r="5053" spans="4:4">
      <c r="D5053" s="265"/>
    </row>
    <row r="5054" spans="4:4">
      <c r="D5054" s="265"/>
    </row>
    <row r="5055" spans="4:4">
      <c r="D5055" s="265"/>
    </row>
    <row r="5058" spans="4:4">
      <c r="D5058" s="265"/>
    </row>
    <row r="5088" spans="4:4">
      <c r="D5088" s="265"/>
    </row>
    <row r="5090" spans="4:4">
      <c r="D5090" s="265"/>
    </row>
    <row r="5093" spans="4:4">
      <c r="D5093" s="265"/>
    </row>
    <row r="5094" spans="4:4">
      <c r="D5094" s="265"/>
    </row>
    <row r="5095" spans="4:4">
      <c r="D5095" s="265"/>
    </row>
    <row r="5098" spans="4:4">
      <c r="D5098" s="265"/>
    </row>
    <row r="5100" spans="4:4">
      <c r="D5100" s="265"/>
    </row>
    <row r="5111" spans="4:4">
      <c r="D5111" s="265"/>
    </row>
    <row r="5113" spans="4:4">
      <c r="D5113" s="265"/>
    </row>
    <row r="5123" spans="4:4">
      <c r="D5123" s="265"/>
    </row>
    <row r="5125" spans="4:4">
      <c r="D5125" s="265"/>
    </row>
    <row r="5133" spans="4:4">
      <c r="D5133" s="265"/>
    </row>
    <row r="5134" spans="4:4">
      <c r="D5134" s="265"/>
    </row>
    <row r="5135" spans="4:4">
      <c r="D5135" s="265"/>
    </row>
    <row r="5138" spans="4:4">
      <c r="D5138" s="265"/>
    </row>
    <row r="5168" spans="4:4">
      <c r="D5168" s="265"/>
    </row>
    <row r="5170" spans="4:4">
      <c r="D5170" s="265"/>
    </row>
    <row r="5173" spans="4:4">
      <c r="D5173" s="265"/>
    </row>
    <row r="5174" spans="4:4">
      <c r="D5174" s="265"/>
    </row>
    <row r="5175" spans="4:4">
      <c r="D5175" s="265"/>
    </row>
    <row r="5178" spans="4:4">
      <c r="D5178" s="265"/>
    </row>
    <row r="5191" spans="4:4">
      <c r="D5191" s="265"/>
    </row>
    <row r="5193" spans="4:4">
      <c r="D5193" s="265"/>
    </row>
    <row r="5203" spans="4:4">
      <c r="D5203" s="265"/>
    </row>
    <row r="5205" spans="4:4">
      <c r="D5205" s="265"/>
    </row>
    <row r="5208" spans="4:4">
      <c r="D5208" s="265"/>
    </row>
    <row r="5210" spans="4:4">
      <c r="D5210" s="265"/>
    </row>
    <row r="5213" spans="4:4">
      <c r="D5213" s="265"/>
    </row>
    <row r="5214" spans="4:4">
      <c r="D5214" s="265"/>
    </row>
    <row r="5215" spans="4:4">
      <c r="D5215" s="265"/>
    </row>
    <row r="5218" spans="4:4">
      <c r="D5218" s="265"/>
    </row>
    <row r="5223" spans="4:4">
      <c r="D5223" s="265"/>
    </row>
    <row r="5243" spans="4:4">
      <c r="D5243" s="265"/>
    </row>
    <row r="5245" spans="4:4">
      <c r="D5245" s="265"/>
    </row>
    <row r="5253" spans="4:4">
      <c r="D5253" s="265"/>
    </row>
    <row r="5254" spans="4:4">
      <c r="D5254" s="265"/>
    </row>
    <row r="5255" spans="4:4">
      <c r="D5255" s="265"/>
    </row>
    <row r="5258" spans="4:4">
      <c r="D5258" s="265"/>
    </row>
    <row r="5293" spans="4:4">
      <c r="D5293" s="265"/>
    </row>
    <row r="5294" spans="4:4">
      <c r="D5294" s="265"/>
    </row>
    <row r="5295" spans="4:4">
      <c r="D5295" s="265"/>
    </row>
    <row r="5298" spans="4:4">
      <c r="D5298" s="265"/>
    </row>
    <row r="5333" spans="4:4">
      <c r="D5333" s="265"/>
    </row>
    <row r="5334" spans="4:4">
      <c r="D5334" s="265"/>
    </row>
    <row r="5335" spans="4:4">
      <c r="D5335" s="265"/>
    </row>
    <row r="5338" spans="4:4">
      <c r="D5338" s="265"/>
    </row>
    <row r="5343" spans="4:4">
      <c r="D5343" s="265"/>
    </row>
    <row r="5345" spans="4:4">
      <c r="D5345" s="265"/>
    </row>
    <row r="5368" spans="4:4">
      <c r="D5368" s="265"/>
    </row>
    <row r="5370" spans="4:4">
      <c r="D5370" s="265"/>
    </row>
    <row r="5371" spans="4:4">
      <c r="D5371" s="265"/>
    </row>
    <row r="5373" spans="4:4">
      <c r="D5373" s="265"/>
    </row>
    <row r="5374" spans="4:4">
      <c r="D5374" s="265"/>
    </row>
    <row r="5375" spans="4:4">
      <c r="D5375" s="265"/>
    </row>
    <row r="5377" spans="4:4">
      <c r="D5377" s="265"/>
    </row>
    <row r="5378" spans="4:4">
      <c r="D5378" s="265"/>
    </row>
    <row r="5383" spans="4:4">
      <c r="D5383" s="265"/>
    </row>
    <row r="5385" spans="4:4">
      <c r="D5385" s="265"/>
    </row>
    <row r="5391" spans="4:4">
      <c r="D5391" s="265"/>
    </row>
    <row r="5393" spans="4:4">
      <c r="D5393" s="265"/>
    </row>
    <row r="5395" spans="4:4">
      <c r="D5395" s="265"/>
    </row>
    <row r="5399" spans="4:4">
      <c r="D5399" s="265"/>
    </row>
    <row r="5403" spans="4:4">
      <c r="D5403" s="265"/>
    </row>
    <row r="5405" spans="4:4">
      <c r="D5405" s="265"/>
    </row>
    <row r="5408" spans="4:4">
      <c r="D5408" s="265"/>
    </row>
    <row r="5410" spans="4:4">
      <c r="D5410" s="265"/>
    </row>
    <row r="5413" spans="4:4">
      <c r="D5413" s="265"/>
    </row>
    <row r="5414" spans="4:4">
      <c r="D5414" s="265"/>
    </row>
    <row r="5418" spans="4:4">
      <c r="D5418" s="265"/>
    </row>
    <row r="5431" spans="4:4">
      <c r="D5431" s="265"/>
    </row>
    <row r="5433" spans="4:4">
      <c r="D5433" s="265"/>
    </row>
    <row r="5443" spans="4:4">
      <c r="D5443" s="265"/>
    </row>
    <row r="5445" spans="4:4">
      <c r="D5445" s="265"/>
    </row>
    <row r="5453" spans="4:4">
      <c r="D5453" s="265"/>
    </row>
    <row r="5454" spans="4:4">
      <c r="D5454" s="265"/>
    </row>
    <row r="5455" spans="4:4">
      <c r="D5455" s="265"/>
    </row>
    <row r="5458" spans="4:4">
      <c r="D5458" s="265"/>
    </row>
    <row r="5488" spans="4:4">
      <c r="D5488" s="265"/>
    </row>
    <row r="5490" spans="4:4">
      <c r="D5490" s="265"/>
    </row>
    <row r="5493" spans="4:4">
      <c r="D5493" s="265"/>
    </row>
    <row r="5494" spans="4:4">
      <c r="D5494" s="265"/>
    </row>
    <row r="5495" spans="4:4">
      <c r="D5495" s="265"/>
    </row>
    <row r="5498" spans="4:4">
      <c r="D5498" s="265"/>
    </row>
    <row r="5500" spans="4:4">
      <c r="D5500" s="265"/>
    </row>
    <row r="5511" spans="4:4">
      <c r="D5511" s="265"/>
    </row>
    <row r="5513" spans="4:4">
      <c r="D5513" s="265"/>
    </row>
    <row r="5523" spans="4:4">
      <c r="D5523" s="265"/>
    </row>
    <row r="5525" spans="4:4">
      <c r="D5525" s="265"/>
    </row>
    <row r="5528" spans="4:4">
      <c r="D5528" s="265"/>
    </row>
    <row r="5530" spans="4:4">
      <c r="D5530" s="265"/>
    </row>
    <row r="5533" spans="4:4">
      <c r="D5533" s="265"/>
    </row>
    <row r="5534" spans="4:4">
      <c r="D5534" s="265"/>
    </row>
    <row r="5535" spans="4:4">
      <c r="D5535" s="265"/>
    </row>
    <row r="5538" spans="4:4">
      <c r="D5538" s="265"/>
    </row>
    <row r="5551" spans="4:4">
      <c r="D5551" s="265"/>
    </row>
    <row r="5561" spans="4:4">
      <c r="D5561" s="265"/>
    </row>
    <row r="5565" spans="4:4">
      <c r="D5565" s="265"/>
    </row>
    <row r="5568" spans="4:4">
      <c r="D5568" s="265"/>
    </row>
    <row r="5570" spans="4:4">
      <c r="D5570" s="265"/>
    </row>
    <row r="5573" spans="4:4">
      <c r="D5573" s="265"/>
    </row>
    <row r="5574" spans="4:4">
      <c r="D5574" s="265"/>
    </row>
    <row r="5575" spans="4:4">
      <c r="D5575" s="265"/>
    </row>
    <row r="5578" spans="4:4">
      <c r="D5578" s="265"/>
    </row>
    <row r="5591" spans="4:4">
      <c r="D5591" s="265"/>
    </row>
    <row r="5593" spans="4:4">
      <c r="D5593" s="265"/>
    </row>
    <row r="5603" spans="4:4">
      <c r="D5603" s="265"/>
    </row>
    <row r="5605" spans="4:4">
      <c r="D5605" s="265"/>
    </row>
    <row r="5608" spans="4:4">
      <c r="D5608" s="265"/>
    </row>
    <row r="5610" spans="4:4">
      <c r="D5610" s="265"/>
    </row>
    <row r="5613" spans="4:4">
      <c r="D5613" s="265"/>
    </row>
    <row r="5614" spans="4:4">
      <c r="D5614" s="265"/>
    </row>
    <row r="5615" spans="4:4">
      <c r="D5615" s="265"/>
    </row>
    <row r="5618" spans="4:4">
      <c r="D5618" s="265"/>
    </row>
    <row r="5631" spans="4:4">
      <c r="D5631" s="265"/>
    </row>
    <row r="5633" spans="4:4">
      <c r="D5633" s="265"/>
    </row>
    <row r="5641" spans="4:4">
      <c r="D5641" s="265"/>
    </row>
    <row r="5643" spans="4:4">
      <c r="D5643" s="265"/>
    </row>
    <row r="5645" spans="4:4">
      <c r="D5645" s="265"/>
    </row>
    <row r="5653" spans="4:4">
      <c r="D5653" s="265"/>
    </row>
    <row r="5654" spans="4:4">
      <c r="D5654" s="265"/>
    </row>
    <row r="5655" spans="4:4">
      <c r="D5655" s="265"/>
    </row>
    <row r="5658" spans="4:4">
      <c r="D5658" s="265"/>
    </row>
    <row r="5688" spans="4:4">
      <c r="D5688" s="265"/>
    </row>
    <row r="5690" spans="4:4">
      <c r="D5690" s="265"/>
    </row>
    <row r="5693" spans="4:4">
      <c r="D5693" s="265"/>
    </row>
    <row r="5694" spans="4:4">
      <c r="D5694" s="265"/>
    </row>
    <row r="5698" spans="4:4">
      <c r="D5698" s="265"/>
    </row>
    <row r="5700" spans="4:4">
      <c r="D5700" s="265"/>
    </row>
    <row r="5703" spans="4:4">
      <c r="D5703" s="265"/>
    </row>
    <row r="5705" spans="4:4">
      <c r="D5705" s="265"/>
    </row>
    <row r="5711" spans="4:4">
      <c r="D5711" s="265"/>
    </row>
    <row r="5713" spans="4:4">
      <c r="D5713" s="265"/>
    </row>
    <row r="5723" spans="4:4">
      <c r="D5723" s="265"/>
    </row>
    <row r="5725" spans="4:4">
      <c r="D5725" s="265"/>
    </row>
    <row r="5733" spans="4:4">
      <c r="D5733" s="265"/>
    </row>
    <row r="5734" spans="4:4">
      <c r="D5734" s="265"/>
    </row>
    <row r="5735" spans="4:4">
      <c r="D5735" s="265"/>
    </row>
    <row r="5738" spans="4:4">
      <c r="D5738" s="265"/>
    </row>
    <row r="5773" spans="4:4">
      <c r="D5773" s="265"/>
    </row>
    <row r="5774" spans="4:4">
      <c r="D5774" s="265"/>
    </row>
    <row r="5775" spans="4:4">
      <c r="D5775" s="265"/>
    </row>
    <row r="5778" spans="4:4">
      <c r="D5778" s="265"/>
    </row>
    <row r="5813" spans="4:4">
      <c r="D5813" s="265"/>
    </row>
    <row r="5814" spans="4:4">
      <c r="D5814" s="265"/>
    </row>
    <row r="5815" spans="4:4">
      <c r="D5815" s="265"/>
    </row>
    <row r="5818" spans="4:4">
      <c r="D5818" s="265"/>
    </row>
    <row r="5853" spans="4:4">
      <c r="D5853" s="265"/>
    </row>
    <row r="5854" spans="4:4">
      <c r="D5854" s="265"/>
    </row>
    <row r="5855" spans="4:4">
      <c r="D5855" s="265"/>
    </row>
    <row r="5858" spans="4:4">
      <c r="D5858" s="265"/>
    </row>
    <row r="5888" spans="4:4">
      <c r="D5888" s="265"/>
    </row>
    <row r="5890" spans="4:4">
      <c r="D5890" s="265"/>
    </row>
    <row r="5893" spans="4:4">
      <c r="D5893" s="265"/>
    </row>
    <row r="5894" spans="4:4">
      <c r="D5894" s="265"/>
    </row>
    <row r="5895" spans="4:4">
      <c r="D5895" s="265"/>
    </row>
    <row r="5898" spans="4:4">
      <c r="D5898" s="265"/>
    </row>
    <row r="5911" spans="4:4">
      <c r="D5911" s="265"/>
    </row>
    <row r="5913" spans="4:4">
      <c r="D5913" s="265"/>
    </row>
    <row r="5921" spans="4:4">
      <c r="D5921" s="265"/>
    </row>
    <row r="5923" spans="4:4">
      <c r="D5923" s="265"/>
    </row>
    <row r="5925" spans="4:4">
      <c r="D5925" s="265"/>
    </row>
    <row r="5930" spans="4:4">
      <c r="D5930" s="265"/>
    </row>
    <row r="5931" spans="4:4">
      <c r="D5931" s="265"/>
    </row>
    <row r="5933" spans="4:4">
      <c r="D5933" s="265"/>
    </row>
    <row r="5934" spans="4:4">
      <c r="D5934" s="265"/>
    </row>
    <row r="5935" spans="4:4">
      <c r="D5935" s="265"/>
    </row>
    <row r="5937" spans="4:4">
      <c r="D5937" s="265"/>
    </row>
    <row r="5938" spans="4:4">
      <c r="D5938" s="265"/>
    </row>
    <row r="5963" spans="4:4">
      <c r="D5963" s="265"/>
    </row>
    <row r="5965" spans="4:4">
      <c r="D5965" s="265"/>
    </row>
    <row r="5968" spans="4:4">
      <c r="D5968" s="265"/>
    </row>
    <row r="5970" spans="4:4">
      <c r="D5970" s="265"/>
    </row>
    <row r="5973" spans="4:4">
      <c r="D5973" s="265"/>
    </row>
    <row r="5974" spans="4:4">
      <c r="D5974" s="265"/>
    </row>
    <row r="5975" spans="4:4">
      <c r="D5975" s="265"/>
    </row>
    <row r="5978" spans="4:4">
      <c r="D5978" s="265"/>
    </row>
    <row r="5991" spans="4:4">
      <c r="D5991" s="265"/>
    </row>
    <row r="5993" spans="4:4">
      <c r="D5993" s="265"/>
    </row>
    <row r="6005" spans="4:4">
      <c r="D6005" s="265"/>
    </row>
    <row r="6013" spans="4:4">
      <c r="D6013" s="265"/>
    </row>
    <row r="6014" spans="4:4">
      <c r="D6014" s="265"/>
    </row>
    <row r="6015" spans="4:4">
      <c r="D6015" s="265"/>
    </row>
    <row r="6018" spans="4:4">
      <c r="D6018" s="265"/>
    </row>
    <row r="6053" spans="4:4">
      <c r="D6053" s="265"/>
    </row>
    <row r="6054" spans="4:4">
      <c r="D6054" s="265"/>
    </row>
    <row r="6055" spans="4:4">
      <c r="D6055" s="265"/>
    </row>
    <row r="6058" spans="4:4">
      <c r="D6058" s="265"/>
    </row>
    <row r="6093" spans="4:4">
      <c r="D6093" s="265"/>
    </row>
    <row r="6094" spans="4:4">
      <c r="D6094" s="265"/>
    </row>
    <row r="6095" spans="4:4">
      <c r="D6095" s="265"/>
    </row>
    <row r="6098" spans="4:4">
      <c r="D6098" s="265"/>
    </row>
    <row r="6134" spans="4:4">
      <c r="D6134" s="265"/>
    </row>
    <row r="6135" spans="4:4">
      <c r="D6135" s="265"/>
    </row>
    <row r="6138" spans="4:4">
      <c r="D6138" s="265"/>
    </row>
    <row r="6172" spans="4:4">
      <c r="D6172" s="265"/>
    </row>
    <row r="6174" spans="4:4">
      <c r="D6174" s="265"/>
    </row>
    <row r="6175" spans="4:4">
      <c r="D6175" s="265"/>
    </row>
    <row r="6178" spans="4:4">
      <c r="D6178" s="265"/>
    </row>
    <row r="6183" spans="4:4">
      <c r="D6183" s="265"/>
    </row>
    <row r="6185" spans="4:4">
      <c r="D6185" s="265"/>
    </row>
    <row r="6213" spans="4:4">
      <c r="D6213" s="265"/>
    </row>
    <row r="6214" spans="4:4">
      <c r="D6214" s="265"/>
    </row>
    <row r="6215" spans="4:4">
      <c r="D6215" s="265"/>
    </row>
    <row r="6218" spans="4:4">
      <c r="D6218" s="265"/>
    </row>
    <row r="6248" spans="4:4">
      <c r="D6248" s="265"/>
    </row>
    <row r="6250" spans="4:4">
      <c r="D6250" s="265"/>
    </row>
    <row r="6253" spans="4:4">
      <c r="D6253" s="265"/>
    </row>
    <row r="6254" spans="4:4">
      <c r="D6254" s="265"/>
    </row>
    <row r="6255" spans="4:4">
      <c r="D6255" s="265"/>
    </row>
    <row r="6258" spans="4:4">
      <c r="D6258" s="265"/>
    </row>
    <row r="6271" spans="4:4">
      <c r="D6271" s="265"/>
    </row>
    <row r="6273" spans="4:4">
      <c r="D6273" s="265"/>
    </row>
    <row r="6283" spans="4:4">
      <c r="D6283" s="265"/>
    </row>
    <row r="6285" spans="4:4">
      <c r="D6285" s="265"/>
    </row>
    <row r="6293" spans="4:4">
      <c r="D6293" s="265"/>
    </row>
    <row r="6294" spans="4:4">
      <c r="D6294" s="265"/>
    </row>
    <row r="6295" spans="4:4">
      <c r="D6295" s="265"/>
    </row>
    <row r="6298" spans="4:4">
      <c r="D6298" s="265"/>
    </row>
    <row r="6328" spans="4:4">
      <c r="D6328" s="265"/>
    </row>
    <row r="6330" spans="4:4">
      <c r="D6330" s="265"/>
    </row>
    <row r="6333" spans="4:4">
      <c r="D6333" s="265"/>
    </row>
    <row r="6334" spans="4:4">
      <c r="D6334" s="265"/>
    </row>
    <row r="6335" spans="4:4">
      <c r="D6335" s="265"/>
    </row>
    <row r="6338" spans="4:4">
      <c r="D6338" s="265"/>
    </row>
    <row r="6353" spans="4:4">
      <c r="D6353" s="265"/>
    </row>
    <row r="6363" spans="4:4">
      <c r="D6363" s="265"/>
    </row>
    <row r="6365" spans="4:4">
      <c r="D6365" s="265"/>
    </row>
    <row r="6368" spans="4:4">
      <c r="D6368" s="265"/>
    </row>
    <row r="6370" spans="4:4">
      <c r="D6370" s="265"/>
    </row>
    <row r="6373" spans="4:4">
      <c r="D6373" s="265"/>
    </row>
    <row r="6374" spans="4:4">
      <c r="D6374" s="265"/>
    </row>
    <row r="6375" spans="4:4">
      <c r="D6375" s="265"/>
    </row>
    <row r="6377" spans="4:4">
      <c r="D6377" s="265"/>
    </row>
    <row r="6378" spans="4:4">
      <c r="D6378" s="265"/>
    </row>
    <row r="6391" spans="4:4">
      <c r="D6391" s="265"/>
    </row>
    <row r="6393" spans="4:4">
      <c r="D6393" s="265"/>
    </row>
    <row r="6403" spans="4:4">
      <c r="D6403" s="265"/>
    </row>
    <row r="6405" spans="4:4">
      <c r="D6405" s="265"/>
    </row>
    <row r="6412" spans="4:4">
      <c r="D6412" s="265"/>
    </row>
    <row r="6414" spans="4:4">
      <c r="D6414" s="265"/>
    </row>
    <row r="6415" spans="4:4">
      <c r="D6415" s="265"/>
    </row>
    <row r="6418" spans="4:4">
      <c r="D6418" s="265"/>
    </row>
    <row r="6423" spans="4:4">
      <c r="D6423" s="265"/>
    </row>
    <row r="6448" spans="4:4">
      <c r="D6448" s="265"/>
    </row>
    <row r="6450" spans="4:4">
      <c r="D6450" s="265"/>
    </row>
    <row r="6453" spans="4:4">
      <c r="D6453" s="265"/>
    </row>
    <row r="6454" spans="4:4">
      <c r="D6454" s="265"/>
    </row>
    <row r="6458" spans="4:4">
      <c r="D6458" s="265"/>
    </row>
    <row r="6471" spans="4:4">
      <c r="D6471" s="265"/>
    </row>
    <row r="6473" spans="4:4">
      <c r="D6473" s="265"/>
    </row>
    <row r="6475" spans="4:4">
      <c r="D6475" s="265"/>
    </row>
    <row r="6483" spans="4:4">
      <c r="D6483" s="265"/>
    </row>
    <row r="6485" spans="4:4">
      <c r="D6485" s="265"/>
    </row>
    <row r="6488" spans="4:4">
      <c r="D6488" s="265"/>
    </row>
    <row r="6490" spans="4:4">
      <c r="D6490" s="265"/>
    </row>
    <row r="6493" spans="4:4">
      <c r="D6493" s="265"/>
    </row>
    <row r="6494" spans="4:4">
      <c r="D6494" s="265"/>
    </row>
    <row r="6495" spans="4:4">
      <c r="D6495" s="265"/>
    </row>
    <row r="6498" spans="4:4">
      <c r="D6498" s="265"/>
    </row>
    <row r="6511" spans="4:4">
      <c r="D6511" s="265"/>
    </row>
    <row r="6513" spans="4:4">
      <c r="D6513" s="265"/>
    </row>
    <row r="6523" spans="4:4">
      <c r="D6523" s="265"/>
    </row>
    <row r="6525" spans="4:4">
      <c r="D6525" s="265"/>
    </row>
    <row r="6538" spans="4:4">
      <c r="D6538" s="265"/>
    </row>
    <row r="6568" spans="4:4">
      <c r="D6568" s="265"/>
    </row>
    <row r="6570" spans="4:4">
      <c r="D6570" s="265"/>
    </row>
    <row r="6573" spans="4:4">
      <c r="D6573" s="265"/>
    </row>
    <row r="6574" spans="4:4">
      <c r="D6574" s="265"/>
    </row>
    <row r="6605" spans="4:4">
      <c r="D6605" s="265"/>
    </row>
    <row r="6613" spans="4:4">
      <c r="D6613" s="265"/>
    </row>
    <row r="6614" spans="4:4">
      <c r="D6614" s="265"/>
    </row>
    <row r="6615" spans="4:4">
      <c r="D6615" s="265"/>
    </row>
    <row r="6618" spans="4:4">
      <c r="D6618" s="265"/>
    </row>
    <row r="6693" spans="4:4">
      <c r="D6693" s="265"/>
    </row>
    <row r="6694" spans="4:4">
      <c r="D6694" s="265"/>
    </row>
    <row r="6695" spans="4:4">
      <c r="D6695" s="265"/>
    </row>
    <row r="6698" spans="4:4">
      <c r="D6698" s="265"/>
    </row>
    <row r="6730" spans="4:4">
      <c r="D6730" s="265"/>
    </row>
    <row r="6731" spans="4:4">
      <c r="D6731" s="265"/>
    </row>
    <row r="6732" spans="4:4">
      <c r="D6732" s="265"/>
    </row>
    <row r="6733" spans="4:4">
      <c r="D6733" s="265"/>
    </row>
    <row r="6734" spans="4:4">
      <c r="D6734" s="265"/>
    </row>
    <row r="6735" spans="4:4">
      <c r="D6735" s="265"/>
    </row>
    <row r="6737" spans="4:4">
      <c r="D6737" s="265"/>
    </row>
    <row r="6738" spans="4:4">
      <c r="D6738" s="265"/>
    </row>
    <row r="6765" spans="4:4">
      <c r="D6765" s="265"/>
    </row>
    <row r="6773" spans="4:4">
      <c r="D6773" s="265"/>
    </row>
    <row r="6774" spans="4:4">
      <c r="D6774" s="265"/>
    </row>
    <row r="6775" spans="4:4">
      <c r="D6775" s="265"/>
    </row>
    <row r="6778" spans="4:4">
      <c r="D6778" s="265"/>
    </row>
    <row r="6808" spans="4:4">
      <c r="D6808" s="265"/>
    </row>
    <row r="6810" spans="4:4">
      <c r="D6810" s="265"/>
    </row>
    <row r="6813" spans="4:4">
      <c r="D6813" s="265"/>
    </row>
    <row r="6814" spans="4:4">
      <c r="D6814" s="265"/>
    </row>
    <row r="6818" spans="4:4">
      <c r="D6818" s="265"/>
    </row>
    <row r="6831" spans="4:4">
      <c r="D6831" s="265"/>
    </row>
    <row r="6833" spans="4:4">
      <c r="D6833" s="265"/>
    </row>
    <row r="6835" spans="4:4">
      <c r="D6835" s="265"/>
    </row>
    <row r="6843" spans="4:4">
      <c r="D6843" s="265"/>
    </row>
    <row r="6845" spans="4:4">
      <c r="D6845" s="265"/>
    </row>
    <row r="6850" spans="4:4">
      <c r="D6850" s="265"/>
    </row>
    <row r="6853" spans="4:4">
      <c r="D6853" s="265"/>
    </row>
    <row r="6854" spans="4:4">
      <c r="D6854" s="265"/>
    </row>
    <row r="6855" spans="4:4">
      <c r="D6855" s="265"/>
    </row>
    <row r="6858" spans="4:4">
      <c r="D6858" s="265"/>
    </row>
    <row r="6863" spans="4:4">
      <c r="D6863" s="265"/>
    </row>
    <row r="6865" spans="4:4">
      <c r="D6865" s="265"/>
    </row>
    <row r="6885" spans="4:4">
      <c r="D6885" s="265"/>
    </row>
    <row r="6890" spans="4:4">
      <c r="D6890" s="265"/>
    </row>
    <row r="6893" spans="4:4">
      <c r="D6893" s="265"/>
    </row>
    <row r="6894" spans="4:4">
      <c r="D6894" s="265"/>
    </row>
    <row r="6895" spans="4:4">
      <c r="D6895" s="265"/>
    </row>
    <row r="6898" spans="4:4">
      <c r="D6898" s="265"/>
    </row>
    <row r="6921" spans="4:4">
      <c r="D6921" s="265"/>
    </row>
    <row r="6925" spans="4:4">
      <c r="D6925" s="265"/>
    </row>
    <row r="6928" spans="4:4">
      <c r="D6928" s="265"/>
    </row>
    <row r="6930" spans="4:4">
      <c r="D6930" s="265"/>
    </row>
    <row r="6931" spans="4:4">
      <c r="D6931" s="265"/>
    </row>
    <row r="6933" spans="4:4">
      <c r="D6933" s="265"/>
    </row>
    <row r="6934" spans="4:4">
      <c r="D6934" s="265"/>
    </row>
    <row r="6935" spans="4:4">
      <c r="D6935" s="265"/>
    </row>
    <row r="6937" spans="4:4">
      <c r="D6937" s="265"/>
    </row>
    <row r="6938" spans="4:4">
      <c r="D6938" s="265"/>
    </row>
    <row r="6961" spans="4:4">
      <c r="D6961" s="265"/>
    </row>
    <row r="6963" spans="4:4">
      <c r="D6963" s="265"/>
    </row>
    <row r="6965" spans="4:4">
      <c r="D6965" s="265"/>
    </row>
    <row r="6968" spans="4:4">
      <c r="D6968" s="265"/>
    </row>
    <row r="6970" spans="4:4">
      <c r="D6970" s="265"/>
    </row>
    <row r="6971" spans="4:4">
      <c r="D6971" s="265"/>
    </row>
    <row r="6973" spans="4:4">
      <c r="D6973" s="265"/>
    </row>
    <row r="6974" spans="4:4">
      <c r="D6974" s="265"/>
    </row>
    <row r="6975" spans="4:4">
      <c r="D6975" s="265"/>
    </row>
    <row r="6977" spans="4:4">
      <c r="D6977" s="265"/>
    </row>
    <row r="6978" spans="4:4">
      <c r="D6978" s="265"/>
    </row>
    <row r="6991" spans="4:4">
      <c r="D6991" s="265"/>
    </row>
    <row r="6993" spans="4:4">
      <c r="D6993" s="265"/>
    </row>
    <row r="6995" spans="4:4">
      <c r="D6995" s="265"/>
    </row>
    <row r="6997" spans="4:4">
      <c r="D6997" s="265"/>
    </row>
    <row r="7001" spans="4:4">
      <c r="D7001" s="265"/>
    </row>
    <row r="7003" spans="4:4">
      <c r="D7003" s="265"/>
    </row>
    <row r="7005" spans="4:4">
      <c r="D7005" s="265"/>
    </row>
    <row r="7010" spans="4:4">
      <c r="D7010" s="265"/>
    </row>
    <row r="7013" spans="4:4">
      <c r="D7013" s="265"/>
    </row>
    <row r="7014" spans="4:4">
      <c r="D7014" s="265"/>
    </row>
    <row r="7015" spans="4:4">
      <c r="D7015" s="265"/>
    </row>
    <row r="7018" spans="4:4">
      <c r="D7018" s="265"/>
    </row>
    <row r="7045" spans="4:4">
      <c r="D7045" s="265"/>
    </row>
    <row r="7050" spans="4:4">
      <c r="D7050" s="265"/>
    </row>
    <row r="7052" spans="4:4">
      <c r="D7052" s="265"/>
    </row>
    <row r="7053" spans="4:4">
      <c r="D7053" s="265"/>
    </row>
    <row r="7054" spans="4:4">
      <c r="D7054" s="265"/>
    </row>
    <row r="7055" spans="4:4">
      <c r="D7055" s="265"/>
    </row>
    <row r="7058" spans="4:4">
      <c r="D7058" s="265"/>
    </row>
    <row r="7060" spans="4:4">
      <c r="D7060" s="265"/>
    </row>
    <row r="7063" spans="4:4">
      <c r="D7063" s="265"/>
    </row>
    <row r="7065" spans="4:4">
      <c r="D7065" s="265"/>
    </row>
    <row r="7071" spans="4:4">
      <c r="D7071" s="265"/>
    </row>
    <row r="7073" spans="4:4">
      <c r="D7073" s="265"/>
    </row>
    <row r="7075" spans="4:4">
      <c r="D7075" s="265"/>
    </row>
    <row r="7079" spans="4:4">
      <c r="D7079" s="265"/>
    </row>
    <row r="7083" spans="4:4">
      <c r="D7083" s="265"/>
    </row>
    <row r="7085" spans="4:4">
      <c r="D7085" s="265"/>
    </row>
    <row r="7093" spans="4:4">
      <c r="D7093" s="265"/>
    </row>
    <row r="7094" spans="4:4">
      <c r="D7094" s="265"/>
    </row>
    <row r="7095" spans="4:4">
      <c r="D7095" s="265"/>
    </row>
    <row r="7098" spans="4:4">
      <c r="D7098" s="265"/>
    </row>
    <row r="7130" spans="4:4">
      <c r="D7130" s="265"/>
    </row>
    <row r="7132" spans="4:4">
      <c r="D7132" s="265"/>
    </row>
    <row r="7133" spans="4:4">
      <c r="D7133" s="265"/>
    </row>
    <row r="7134" spans="4:4">
      <c r="D7134" s="265"/>
    </row>
    <row r="7135" spans="4:4">
      <c r="D7135" s="265"/>
    </row>
    <row r="7138" spans="4:4">
      <c r="D7138" s="265"/>
    </row>
    <row r="7143" spans="4:4">
      <c r="D7143" s="265"/>
    </row>
    <row r="7145" spans="4:4">
      <c r="D7145" s="265"/>
    </row>
    <row r="7151" spans="4:4">
      <c r="D7151" s="265"/>
    </row>
    <row r="7153" spans="4:4">
      <c r="D7153" s="265"/>
    </row>
    <row r="7163" spans="4:4">
      <c r="D7163" s="265"/>
    </row>
    <row r="7165" spans="4:4">
      <c r="D7165" s="265"/>
    </row>
    <row r="7168" spans="4:4">
      <c r="D7168" s="265"/>
    </row>
    <row r="7170" spans="4:4">
      <c r="D7170" s="265"/>
    </row>
    <row r="7173" spans="4:4">
      <c r="D7173" s="265"/>
    </row>
    <row r="7174" spans="4:4">
      <c r="D7174" s="265"/>
    </row>
    <row r="7175" spans="4:4">
      <c r="D7175" s="265"/>
    </row>
    <row r="7178" spans="4:4">
      <c r="D7178" s="265"/>
    </row>
    <row r="7180" spans="4:4">
      <c r="D7180" s="265"/>
    </row>
    <row r="7191" spans="4:4">
      <c r="D7191" s="265"/>
    </row>
    <row r="7193" spans="4:4">
      <c r="D7193" s="265"/>
    </row>
    <row r="7195" spans="4:4">
      <c r="D7195" s="265"/>
    </row>
    <row r="7199" spans="4:4">
      <c r="D7199" s="265"/>
    </row>
    <row r="7201" spans="4:4">
      <c r="D7201" s="265"/>
    </row>
    <row r="7203" spans="4:4">
      <c r="D7203" s="265"/>
    </row>
    <row r="7205" spans="4:4">
      <c r="D7205" s="265"/>
    </row>
    <row r="7210" spans="4:4">
      <c r="D7210" s="265"/>
    </row>
    <row r="7212" spans="4:4">
      <c r="D7212" s="265"/>
    </row>
    <row r="7213" spans="4:4">
      <c r="D7213" s="265"/>
    </row>
    <row r="7214" spans="4:4">
      <c r="D7214" s="265"/>
    </row>
    <row r="7215" spans="4:4">
      <c r="D7215" s="265"/>
    </row>
    <row r="7218" spans="4:4">
      <c r="D7218" s="265"/>
    </row>
    <row r="7231" spans="4:4">
      <c r="D7231" s="265"/>
    </row>
    <row r="7233" spans="4:4">
      <c r="D7233" s="265"/>
    </row>
    <row r="7241" spans="4:4">
      <c r="D7241" s="265"/>
    </row>
    <row r="7243" spans="4:4">
      <c r="D7243" s="265"/>
    </row>
    <row r="7245" spans="4:4">
      <c r="D7245" s="265"/>
    </row>
    <row r="7248" spans="4:4">
      <c r="D7248" s="265"/>
    </row>
    <row r="7250" spans="4:4">
      <c r="D7250" s="265"/>
    </row>
    <row r="7253" spans="4:4">
      <c r="D7253" s="265"/>
    </row>
    <row r="7254" spans="4:4">
      <c r="D7254" s="265"/>
    </row>
    <row r="7255" spans="4:4">
      <c r="D7255" s="265"/>
    </row>
    <row r="7258" spans="4:4">
      <c r="D7258" s="265"/>
    </row>
    <row r="7260" spans="4:4">
      <c r="D7260" s="265"/>
    </row>
    <row r="7271" spans="4:4">
      <c r="D7271" s="265"/>
    </row>
    <row r="7273" spans="4:4">
      <c r="D7273" s="265"/>
    </row>
    <row r="7275" spans="4:4">
      <c r="D7275" s="265"/>
    </row>
    <row r="7281" spans="4:4">
      <c r="D7281" s="265"/>
    </row>
    <row r="7283" spans="4:4">
      <c r="D7283" s="265"/>
    </row>
    <row r="7285" spans="4:4">
      <c r="D7285" s="265"/>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dimension ref="A1:N7285"/>
  <sheetViews>
    <sheetView zoomScaleNormal="100" workbookViewId="0"/>
  </sheetViews>
  <sheetFormatPr defaultColWidth="9.109375" defaultRowHeight="14.4"/>
  <cols>
    <col min="1" max="1" width="1.6640625" style="221" customWidth="1"/>
    <col min="2" max="2" width="8.6640625" style="221" bestFit="1" customWidth="1"/>
    <col min="3" max="3" width="8.44140625" style="221" bestFit="1" customWidth="1"/>
    <col min="4" max="4" width="17.44140625" style="221" bestFit="1" customWidth="1"/>
    <col min="5" max="5" width="13.109375" style="221" bestFit="1" customWidth="1"/>
    <col min="6" max="6" width="9.109375" style="221"/>
    <col min="7" max="7" width="1.6640625" style="221" customWidth="1"/>
    <col min="8" max="14" width="9.44140625" style="221" customWidth="1"/>
    <col min="15" max="16384" width="9.109375" style="221"/>
  </cols>
  <sheetData>
    <row r="1" spans="1:14" ht="25.2">
      <c r="A1" s="242" t="s">
        <v>383</v>
      </c>
    </row>
    <row r="2" spans="1:14">
      <c r="B2" s="243"/>
      <c r="C2" s="8"/>
      <c r="D2" s="8"/>
      <c r="E2" s="8"/>
      <c r="F2" s="8"/>
      <c r="H2" s="222"/>
      <c r="I2" s="222"/>
      <c r="J2" s="222"/>
      <c r="K2" s="222"/>
      <c r="L2" s="222"/>
    </row>
    <row r="3" spans="1:14">
      <c r="B3" s="244" t="s">
        <v>384</v>
      </c>
      <c r="C3" s="245"/>
      <c r="D3" s="246"/>
      <c r="E3" s="246"/>
      <c r="F3" s="247"/>
      <c r="H3" s="244" t="s">
        <v>385</v>
      </c>
      <c r="I3" s="248"/>
      <c r="J3" s="248"/>
      <c r="K3" s="248"/>
      <c r="L3" s="248"/>
      <c r="M3" s="248"/>
      <c r="N3" s="249"/>
    </row>
    <row r="4" spans="1:14">
      <c r="B4" s="222" t="s">
        <v>386</v>
      </c>
      <c r="C4" s="222"/>
      <c r="D4" s="222"/>
      <c r="E4" s="222"/>
      <c r="F4" s="9"/>
      <c r="H4" s="222" t="s">
        <v>387</v>
      </c>
      <c r="I4" s="222"/>
      <c r="J4" s="222"/>
      <c r="K4" s="222"/>
    </row>
    <row r="5" spans="1:14">
      <c r="B5" s="221" t="s">
        <v>388</v>
      </c>
      <c r="E5" s="222"/>
      <c r="F5" s="250">
        <v>30000</v>
      </c>
      <c r="H5" s="222" t="s">
        <v>389</v>
      </c>
      <c r="J5" s="222"/>
      <c r="K5" s="251">
        <v>2018</v>
      </c>
    </row>
    <row r="6" spans="1:14">
      <c r="B6" s="243"/>
      <c r="C6" s="8"/>
      <c r="D6" s="8"/>
      <c r="E6" s="8"/>
      <c r="F6" s="8"/>
      <c r="G6" s="222"/>
    </row>
    <row r="7" spans="1:14">
      <c r="B7" s="243" t="s">
        <v>390</v>
      </c>
      <c r="C7" s="8" t="s">
        <v>391</v>
      </c>
      <c r="D7" s="8" t="s">
        <v>392</v>
      </c>
      <c r="E7" s="8" t="s">
        <v>209</v>
      </c>
      <c r="F7" s="8" t="s">
        <v>393</v>
      </c>
      <c r="G7" s="222"/>
    </row>
    <row r="8" spans="1:14">
      <c r="B8" s="252">
        <v>39436</v>
      </c>
      <c r="C8" s="222" t="s">
        <v>394</v>
      </c>
      <c r="D8" s="99">
        <v>29688</v>
      </c>
      <c r="E8" s="222" t="s">
        <v>211</v>
      </c>
      <c r="F8" s="222">
        <v>2007</v>
      </c>
      <c r="G8" s="229"/>
      <c r="I8" s="9">
        <v>2014</v>
      </c>
      <c r="J8" s="9">
        <f>I8+1</f>
        <v>2015</v>
      </c>
      <c r="K8" s="9">
        <f>J8+1</f>
        <v>2016</v>
      </c>
      <c r="L8" s="9">
        <f>K8+1</f>
        <v>2017</v>
      </c>
      <c r="M8" s="9">
        <f>L8+1</f>
        <v>2018</v>
      </c>
      <c r="N8" s="9">
        <f>M8+1</f>
        <v>2019</v>
      </c>
    </row>
    <row r="9" spans="1:14">
      <c r="B9" s="253">
        <v>39496</v>
      </c>
      <c r="C9" s="221" t="s">
        <v>395</v>
      </c>
      <c r="D9" s="101">
        <v>37812</v>
      </c>
      <c r="E9" s="221" t="s">
        <v>211</v>
      </c>
      <c r="F9" s="221">
        <v>2008</v>
      </c>
      <c r="G9" s="229"/>
      <c r="H9" s="221" t="s">
        <v>36</v>
      </c>
      <c r="I9" s="99">
        <v>100</v>
      </c>
      <c r="J9" s="99">
        <f>I9*1.1</f>
        <v>110.00000000000001</v>
      </c>
      <c r="K9" s="99">
        <f>J9*1.1</f>
        <v>121.00000000000003</v>
      </c>
      <c r="L9" s="99">
        <f>K9*1.1</f>
        <v>133.10000000000005</v>
      </c>
      <c r="M9" s="99">
        <f>L9*1.1</f>
        <v>146.41000000000008</v>
      </c>
      <c r="N9" s="99">
        <f>M9*1.1</f>
        <v>161.0510000000001</v>
      </c>
    </row>
    <row r="10" spans="1:14">
      <c r="B10" s="254">
        <v>39179</v>
      </c>
      <c r="C10" s="221" t="s">
        <v>396</v>
      </c>
      <c r="D10" s="101">
        <v>6804</v>
      </c>
      <c r="E10" s="221" t="s">
        <v>213</v>
      </c>
      <c r="F10" s="221">
        <v>2007</v>
      </c>
      <c r="H10" s="221" t="s">
        <v>397</v>
      </c>
      <c r="I10" s="101">
        <f t="shared" ref="I10:N10" si="0">I9*0.55</f>
        <v>55.000000000000007</v>
      </c>
      <c r="J10" s="101">
        <f t="shared" si="0"/>
        <v>60.500000000000014</v>
      </c>
      <c r="K10" s="101">
        <f t="shared" si="0"/>
        <v>66.550000000000026</v>
      </c>
      <c r="L10" s="101">
        <f t="shared" si="0"/>
        <v>73.205000000000041</v>
      </c>
      <c r="M10" s="101">
        <f t="shared" si="0"/>
        <v>80.525500000000051</v>
      </c>
      <c r="N10" s="101">
        <f t="shared" si="0"/>
        <v>88.578050000000061</v>
      </c>
    </row>
    <row r="11" spans="1:14">
      <c r="B11" s="254">
        <v>39508</v>
      </c>
      <c r="C11" s="221" t="s">
        <v>398</v>
      </c>
      <c r="D11" s="101">
        <v>14867</v>
      </c>
      <c r="E11" s="221" t="s">
        <v>210</v>
      </c>
      <c r="F11" s="221">
        <v>2008</v>
      </c>
    </row>
    <row r="12" spans="1:14">
      <c r="B12" s="254">
        <v>38965</v>
      </c>
      <c r="C12" s="221" t="s">
        <v>395</v>
      </c>
      <c r="D12" s="101">
        <v>29406</v>
      </c>
      <c r="E12" s="221" t="s">
        <v>211</v>
      </c>
      <c r="F12" s="221">
        <v>2006</v>
      </c>
    </row>
    <row r="13" spans="1:14">
      <c r="B13" s="254">
        <v>38785</v>
      </c>
      <c r="C13" s="221" t="s">
        <v>398</v>
      </c>
      <c r="D13" s="101">
        <v>35784</v>
      </c>
      <c r="E13" s="221" t="s">
        <v>213</v>
      </c>
      <c r="F13" s="221">
        <v>2006</v>
      </c>
      <c r="H13" s="244" t="s">
        <v>399</v>
      </c>
      <c r="I13" s="248"/>
      <c r="J13" s="248"/>
      <c r="K13" s="248"/>
      <c r="L13" s="249"/>
    </row>
    <row r="14" spans="1:14">
      <c r="B14" s="254">
        <v>39181</v>
      </c>
      <c r="C14" s="221" t="s">
        <v>395</v>
      </c>
      <c r="D14" s="101">
        <v>30005</v>
      </c>
      <c r="E14" s="221" t="s">
        <v>210</v>
      </c>
      <c r="F14" s="221">
        <v>2007</v>
      </c>
      <c r="H14" s="222" t="s">
        <v>400</v>
      </c>
      <c r="I14" s="222"/>
      <c r="J14" s="222"/>
      <c r="L14" s="255">
        <v>2</v>
      </c>
    </row>
    <row r="15" spans="1:14">
      <c r="B15" s="254">
        <v>39418</v>
      </c>
      <c r="C15" s="221" t="s">
        <v>398</v>
      </c>
      <c r="D15" s="101">
        <v>37033</v>
      </c>
      <c r="E15" s="221" t="s">
        <v>212</v>
      </c>
      <c r="F15" s="221">
        <v>2007</v>
      </c>
      <c r="H15" s="221" t="s">
        <v>401</v>
      </c>
      <c r="J15" s="222"/>
      <c r="L15" s="256">
        <v>0.15</v>
      </c>
    </row>
    <row r="16" spans="1:14">
      <c r="B16" s="254">
        <v>38805</v>
      </c>
      <c r="C16" s="221" t="s">
        <v>398</v>
      </c>
      <c r="D16" s="101">
        <v>23106</v>
      </c>
      <c r="E16" s="221" t="s">
        <v>210</v>
      </c>
      <c r="F16" s="221">
        <v>2006</v>
      </c>
      <c r="H16" s="257" t="s">
        <v>402</v>
      </c>
      <c r="J16" s="222"/>
      <c r="K16" s="258"/>
    </row>
    <row r="17" spans="2:12">
      <c r="B17" s="254">
        <v>39373</v>
      </c>
      <c r="C17" s="221" t="s">
        <v>398</v>
      </c>
      <c r="D17" s="101">
        <v>9910</v>
      </c>
      <c r="E17" s="221" t="s">
        <v>213</v>
      </c>
      <c r="F17" s="221">
        <v>2007</v>
      </c>
      <c r="H17" s="257"/>
      <c r="J17" s="222"/>
      <c r="K17" s="258"/>
    </row>
    <row r="18" spans="2:12">
      <c r="B18" s="254">
        <v>38765</v>
      </c>
      <c r="C18" s="221" t="s">
        <v>395</v>
      </c>
      <c r="D18" s="101">
        <v>11012</v>
      </c>
      <c r="E18" s="221" t="s">
        <v>211</v>
      </c>
      <c r="F18" s="221">
        <v>2006</v>
      </c>
      <c r="H18" s="8" t="s">
        <v>403</v>
      </c>
      <c r="I18" s="8" t="s">
        <v>404</v>
      </c>
      <c r="J18" s="8" t="s">
        <v>405</v>
      </c>
      <c r="K18" s="8" t="s">
        <v>406</v>
      </c>
      <c r="L18" s="8" t="s">
        <v>407</v>
      </c>
    </row>
    <row r="19" spans="2:12">
      <c r="B19" s="254">
        <v>39236</v>
      </c>
      <c r="C19" s="221" t="s">
        <v>396</v>
      </c>
      <c r="D19" s="101">
        <v>8032</v>
      </c>
      <c r="E19" s="221" t="s">
        <v>211</v>
      </c>
      <c r="F19" s="221">
        <v>2007</v>
      </c>
      <c r="H19" s="222">
        <v>1</v>
      </c>
      <c r="I19" s="222">
        <v>-1</v>
      </c>
      <c r="J19" s="259">
        <v>0.15</v>
      </c>
      <c r="K19" s="260">
        <v>13</v>
      </c>
      <c r="L19" s="261">
        <v>0.08</v>
      </c>
    </row>
    <row r="20" spans="2:12">
      <c r="B20" s="254">
        <v>39162</v>
      </c>
      <c r="C20" s="221" t="s">
        <v>396</v>
      </c>
      <c r="D20" s="101">
        <v>10112</v>
      </c>
      <c r="E20" s="221" t="s">
        <v>211</v>
      </c>
      <c r="F20" s="221">
        <v>2007</v>
      </c>
      <c r="H20" s="221">
        <v>2</v>
      </c>
      <c r="I20" s="221">
        <v>-2</v>
      </c>
      <c r="J20" s="262">
        <v>0</v>
      </c>
      <c r="K20" s="263">
        <v>13</v>
      </c>
      <c r="L20" s="264">
        <v>0.02</v>
      </c>
    </row>
    <row r="21" spans="2:12">
      <c r="B21" s="254">
        <v>39269</v>
      </c>
      <c r="C21" s="221" t="s">
        <v>398</v>
      </c>
      <c r="D21" s="101">
        <v>24643</v>
      </c>
      <c r="E21" s="221" t="s">
        <v>211</v>
      </c>
      <c r="F21" s="221">
        <v>2007</v>
      </c>
      <c r="H21" s="221">
        <v>3</v>
      </c>
      <c r="I21" s="221">
        <v>-2</v>
      </c>
      <c r="J21" s="262">
        <v>0.1</v>
      </c>
      <c r="K21" s="263">
        <v>13</v>
      </c>
      <c r="L21" s="264">
        <v>0</v>
      </c>
    </row>
    <row r="22" spans="2:12">
      <c r="B22" s="254">
        <v>39434</v>
      </c>
      <c r="C22" s="221" t="s">
        <v>394</v>
      </c>
      <c r="D22" s="101">
        <v>25876</v>
      </c>
      <c r="E22" s="221" t="s">
        <v>212</v>
      </c>
      <c r="F22" s="221">
        <v>2007</v>
      </c>
      <c r="H22" s="221">
        <v>4</v>
      </c>
      <c r="I22" s="221">
        <v>1</v>
      </c>
      <c r="J22" s="262">
        <v>0.03</v>
      </c>
      <c r="K22" s="263">
        <v>14</v>
      </c>
      <c r="L22" s="264">
        <v>0.03</v>
      </c>
    </row>
    <row r="23" spans="2:12">
      <c r="B23" s="254">
        <v>39394</v>
      </c>
      <c r="C23" s="221" t="s">
        <v>398</v>
      </c>
      <c r="D23" s="101">
        <v>25627</v>
      </c>
      <c r="E23" s="221" t="s">
        <v>213</v>
      </c>
      <c r="F23" s="221">
        <v>2007</v>
      </c>
      <c r="H23" s="221">
        <v>5</v>
      </c>
      <c r="I23" s="221">
        <v>-1</v>
      </c>
      <c r="J23" s="262">
        <v>0.09</v>
      </c>
      <c r="K23" s="263">
        <v>8</v>
      </c>
      <c r="L23" s="264">
        <v>0.02</v>
      </c>
    </row>
    <row r="24" spans="2:12">
      <c r="B24" s="254">
        <v>39435</v>
      </c>
      <c r="C24" s="221" t="s">
        <v>398</v>
      </c>
      <c r="D24" s="101">
        <v>13656</v>
      </c>
      <c r="E24" s="221" t="s">
        <v>213</v>
      </c>
      <c r="F24" s="221">
        <v>2007</v>
      </c>
      <c r="H24" s="221">
        <v>6</v>
      </c>
      <c r="I24" s="221">
        <v>3</v>
      </c>
      <c r="J24" s="262">
        <v>0.31</v>
      </c>
      <c r="K24" s="263">
        <v>10</v>
      </c>
      <c r="L24" s="264">
        <v>0.03</v>
      </c>
    </row>
    <row r="25" spans="2:12">
      <c r="B25" s="254">
        <v>39552</v>
      </c>
      <c r="C25" s="221" t="s">
        <v>395</v>
      </c>
      <c r="D25" s="101">
        <v>16159</v>
      </c>
      <c r="E25" s="221" t="s">
        <v>211</v>
      </c>
      <c r="F25" s="221">
        <v>2008</v>
      </c>
      <c r="H25" s="221">
        <v>7</v>
      </c>
      <c r="I25" s="221">
        <v>1</v>
      </c>
      <c r="J25" s="262">
        <v>0.22999999999999998</v>
      </c>
      <c r="K25" s="263">
        <v>9</v>
      </c>
      <c r="L25" s="264">
        <v>0.05</v>
      </c>
    </row>
    <row r="26" spans="2:12">
      <c r="B26" s="254">
        <v>39108</v>
      </c>
      <c r="C26" s="221" t="s">
        <v>398</v>
      </c>
      <c r="D26" s="101">
        <v>22918</v>
      </c>
      <c r="E26" s="221" t="s">
        <v>210</v>
      </c>
      <c r="F26" s="221">
        <v>2007</v>
      </c>
      <c r="H26" s="221">
        <v>8</v>
      </c>
      <c r="I26" s="221">
        <v>-2</v>
      </c>
      <c r="J26" s="262">
        <v>6.9999999999999993E-2</v>
      </c>
      <c r="K26" s="263">
        <v>13</v>
      </c>
      <c r="L26" s="264">
        <v>7.0000000000000007E-2</v>
      </c>
    </row>
    <row r="27" spans="2:12">
      <c r="B27" s="254">
        <v>39382</v>
      </c>
      <c r="C27" s="221" t="s">
        <v>394</v>
      </c>
      <c r="D27" s="101">
        <v>18825</v>
      </c>
      <c r="E27" s="221" t="s">
        <v>210</v>
      </c>
      <c r="F27" s="221">
        <v>2007</v>
      </c>
      <c r="H27" s="221">
        <v>9</v>
      </c>
      <c r="I27" s="221">
        <v>-2</v>
      </c>
      <c r="J27" s="262">
        <v>0.22000000000000003</v>
      </c>
      <c r="K27" s="263">
        <v>7</v>
      </c>
      <c r="L27" s="264">
        <v>0.01</v>
      </c>
    </row>
    <row r="28" spans="2:12">
      <c r="B28" s="254">
        <v>38986</v>
      </c>
      <c r="C28" s="221" t="s">
        <v>394</v>
      </c>
      <c r="D28" s="101">
        <v>17893</v>
      </c>
      <c r="E28" s="221" t="s">
        <v>212</v>
      </c>
      <c r="F28" s="221">
        <v>2006</v>
      </c>
      <c r="H28" s="221">
        <v>10</v>
      </c>
      <c r="I28" s="221">
        <v>3</v>
      </c>
      <c r="J28" s="262">
        <v>0.35</v>
      </c>
      <c r="K28" s="263">
        <v>12</v>
      </c>
      <c r="L28" s="264">
        <v>0.05</v>
      </c>
    </row>
    <row r="29" spans="2:12">
      <c r="B29" s="254">
        <v>39540</v>
      </c>
      <c r="C29" s="221" t="s">
        <v>395</v>
      </c>
      <c r="D29" s="101">
        <v>35667</v>
      </c>
      <c r="E29" s="221" t="s">
        <v>212</v>
      </c>
      <c r="F29" s="221">
        <v>2008</v>
      </c>
      <c r="H29" s="221">
        <v>11</v>
      </c>
      <c r="I29" s="221">
        <v>-2</v>
      </c>
      <c r="J29" s="262">
        <v>0.27</v>
      </c>
      <c r="K29" s="263">
        <v>14</v>
      </c>
      <c r="L29" s="264">
        <v>0</v>
      </c>
    </row>
    <row r="30" spans="2:12">
      <c r="B30" s="254">
        <v>39200</v>
      </c>
      <c r="C30" s="221" t="s">
        <v>396</v>
      </c>
      <c r="D30" s="101">
        <v>8538</v>
      </c>
      <c r="E30" s="221" t="s">
        <v>212</v>
      </c>
      <c r="F30" s="221">
        <v>2007</v>
      </c>
      <c r="H30" s="221">
        <v>12</v>
      </c>
      <c r="I30" s="221">
        <v>4</v>
      </c>
      <c r="J30" s="262">
        <v>0.09</v>
      </c>
      <c r="K30" s="263">
        <v>7</v>
      </c>
      <c r="L30" s="264">
        <v>0.01</v>
      </c>
    </row>
    <row r="31" spans="2:12">
      <c r="B31" s="254">
        <v>39605</v>
      </c>
      <c r="C31" s="221" t="s">
        <v>394</v>
      </c>
      <c r="D31" s="101">
        <v>38989</v>
      </c>
      <c r="E31" s="221" t="s">
        <v>210</v>
      </c>
      <c r="F31" s="221">
        <v>2008</v>
      </c>
      <c r="H31" s="221">
        <v>13</v>
      </c>
      <c r="I31" s="221">
        <v>4</v>
      </c>
      <c r="J31" s="262">
        <v>0.15</v>
      </c>
      <c r="K31" s="263">
        <v>14</v>
      </c>
      <c r="L31" s="264">
        <v>0.06</v>
      </c>
    </row>
    <row r="32" spans="2:12">
      <c r="B32" s="254">
        <v>39572</v>
      </c>
      <c r="C32" s="221" t="s">
        <v>395</v>
      </c>
      <c r="D32" s="101">
        <v>19745</v>
      </c>
      <c r="E32" s="221" t="s">
        <v>213</v>
      </c>
      <c r="F32" s="221">
        <v>2008</v>
      </c>
      <c r="H32" s="221">
        <v>14</v>
      </c>
      <c r="I32" s="221">
        <v>-2</v>
      </c>
      <c r="J32" s="262">
        <v>0.1</v>
      </c>
      <c r="K32" s="263">
        <v>14</v>
      </c>
      <c r="L32" s="264">
        <v>0.04</v>
      </c>
    </row>
    <row r="33" spans="2:12">
      <c r="B33" s="254">
        <v>38796</v>
      </c>
      <c r="C33" s="221" t="s">
        <v>396</v>
      </c>
      <c r="D33" s="101">
        <v>9050</v>
      </c>
      <c r="E33" s="221" t="s">
        <v>211</v>
      </c>
      <c r="F33" s="221">
        <v>2006</v>
      </c>
      <c r="H33" s="221">
        <v>15</v>
      </c>
      <c r="I33" s="221">
        <v>2</v>
      </c>
      <c r="J33" s="262">
        <v>0.19</v>
      </c>
      <c r="K33" s="263">
        <v>14</v>
      </c>
      <c r="L33" s="264">
        <v>0.01</v>
      </c>
    </row>
    <row r="34" spans="2:12">
      <c r="B34" s="254">
        <v>39533</v>
      </c>
      <c r="C34" s="221" t="s">
        <v>396</v>
      </c>
      <c r="D34" s="101">
        <v>17277</v>
      </c>
      <c r="E34" s="221" t="s">
        <v>212</v>
      </c>
      <c r="F34" s="221">
        <v>2008</v>
      </c>
      <c r="H34" s="221">
        <v>16</v>
      </c>
      <c r="I34" s="221">
        <v>-1</v>
      </c>
      <c r="J34" s="262">
        <v>0.21000000000000002</v>
      </c>
      <c r="K34" s="263">
        <v>14</v>
      </c>
      <c r="L34" s="264">
        <v>0.03</v>
      </c>
    </row>
    <row r="35" spans="2:12">
      <c r="B35" s="254">
        <v>39016</v>
      </c>
      <c r="C35" s="221" t="s">
        <v>394</v>
      </c>
      <c r="D35" s="101">
        <v>39030</v>
      </c>
      <c r="E35" s="221" t="s">
        <v>213</v>
      </c>
      <c r="F35" s="221">
        <v>2006</v>
      </c>
      <c r="H35" s="221">
        <v>17</v>
      </c>
      <c r="I35" s="221">
        <v>-2</v>
      </c>
      <c r="J35" s="262">
        <v>0.08</v>
      </c>
      <c r="K35" s="263">
        <v>11</v>
      </c>
      <c r="L35" s="264">
        <v>0.02</v>
      </c>
    </row>
    <row r="36" spans="2:12">
      <c r="B36" s="254">
        <v>38899</v>
      </c>
      <c r="C36" s="221" t="s">
        <v>398</v>
      </c>
      <c r="D36" s="101">
        <v>37998</v>
      </c>
      <c r="E36" s="221" t="s">
        <v>212</v>
      </c>
      <c r="F36" s="221">
        <v>2006</v>
      </c>
      <c r="H36" s="221">
        <v>18</v>
      </c>
      <c r="I36" s="221">
        <v>-2</v>
      </c>
      <c r="J36" s="262">
        <v>0.33999999999999997</v>
      </c>
      <c r="K36" s="263">
        <v>9</v>
      </c>
      <c r="L36" s="264">
        <v>0.08</v>
      </c>
    </row>
    <row r="37" spans="2:12">
      <c r="B37" s="254">
        <v>38743</v>
      </c>
      <c r="C37" s="221" t="s">
        <v>396</v>
      </c>
      <c r="D37" s="101">
        <v>29229</v>
      </c>
      <c r="E37" s="221" t="s">
        <v>213</v>
      </c>
      <c r="F37" s="221">
        <v>2006</v>
      </c>
      <c r="H37" s="221">
        <v>19</v>
      </c>
      <c r="I37" s="221">
        <v>1</v>
      </c>
      <c r="J37" s="262">
        <v>0.05</v>
      </c>
      <c r="K37" s="263">
        <v>8</v>
      </c>
      <c r="L37" s="264">
        <v>0.05</v>
      </c>
    </row>
    <row r="38" spans="2:12">
      <c r="B38" s="254">
        <v>38764</v>
      </c>
      <c r="C38" s="221" t="s">
        <v>398</v>
      </c>
      <c r="D38" s="101">
        <v>23414</v>
      </c>
      <c r="E38" s="221" t="s">
        <v>213</v>
      </c>
      <c r="F38" s="221">
        <v>2006</v>
      </c>
      <c r="H38" s="221">
        <v>20</v>
      </c>
      <c r="I38" s="221">
        <v>2</v>
      </c>
      <c r="J38" s="262">
        <v>0</v>
      </c>
      <c r="K38" s="263">
        <v>12</v>
      </c>
      <c r="L38" s="264">
        <v>0</v>
      </c>
    </row>
    <row r="39" spans="2:12">
      <c r="B39" s="254">
        <v>39441</v>
      </c>
      <c r="C39" s="221" t="s">
        <v>394</v>
      </c>
      <c r="D39" s="101">
        <v>10250</v>
      </c>
      <c r="E39" s="221" t="s">
        <v>211</v>
      </c>
      <c r="F39" s="221">
        <v>2007</v>
      </c>
      <c r="H39" s="221">
        <v>21</v>
      </c>
      <c r="I39" s="221">
        <v>4</v>
      </c>
      <c r="J39" s="262">
        <v>0.21000000000000002</v>
      </c>
      <c r="K39" s="263">
        <v>8</v>
      </c>
      <c r="L39" s="264">
        <v>0</v>
      </c>
    </row>
    <row r="40" spans="2:12">
      <c r="B40" s="254">
        <v>39279</v>
      </c>
      <c r="C40" s="221" t="s">
        <v>398</v>
      </c>
      <c r="D40" s="101">
        <v>31581</v>
      </c>
      <c r="E40" s="221" t="s">
        <v>211</v>
      </c>
      <c r="F40" s="221">
        <v>2007</v>
      </c>
      <c r="H40" s="221">
        <v>22</v>
      </c>
      <c r="I40" s="221">
        <v>-2</v>
      </c>
      <c r="J40" s="262">
        <v>0.19</v>
      </c>
      <c r="K40" s="263">
        <v>8</v>
      </c>
      <c r="L40" s="264">
        <v>0.04</v>
      </c>
    </row>
    <row r="41" spans="2:12">
      <c r="B41" s="254">
        <v>39008</v>
      </c>
      <c r="C41" s="221" t="s">
        <v>394</v>
      </c>
      <c r="D41" s="101">
        <v>8389</v>
      </c>
      <c r="E41" s="221" t="s">
        <v>210</v>
      </c>
      <c r="F41" s="221">
        <v>2006</v>
      </c>
      <c r="H41" s="221">
        <v>23</v>
      </c>
      <c r="I41" s="221">
        <v>0</v>
      </c>
      <c r="J41" s="262">
        <v>0.16</v>
      </c>
      <c r="K41" s="263">
        <v>9</v>
      </c>
      <c r="L41" s="264">
        <v>0</v>
      </c>
    </row>
    <row r="42" spans="2:12">
      <c r="B42" s="254">
        <v>39523</v>
      </c>
      <c r="C42" s="221" t="s">
        <v>395</v>
      </c>
      <c r="D42" s="101">
        <v>22551</v>
      </c>
      <c r="E42" s="221" t="s">
        <v>212</v>
      </c>
      <c r="F42" s="221">
        <v>2008</v>
      </c>
      <c r="H42" s="221">
        <v>24</v>
      </c>
      <c r="I42" s="221">
        <v>1</v>
      </c>
      <c r="J42" s="262">
        <v>0.06</v>
      </c>
      <c r="K42" s="263">
        <v>9</v>
      </c>
      <c r="L42" s="264">
        <v>0.05</v>
      </c>
    </row>
    <row r="43" spans="2:12">
      <c r="B43" s="254">
        <v>38920</v>
      </c>
      <c r="C43" s="221" t="s">
        <v>398</v>
      </c>
      <c r="D43" s="101">
        <v>17083</v>
      </c>
      <c r="E43" s="221" t="s">
        <v>213</v>
      </c>
      <c r="F43" s="221">
        <v>2006</v>
      </c>
      <c r="H43" s="221">
        <v>25</v>
      </c>
      <c r="I43" s="221">
        <v>4</v>
      </c>
      <c r="J43" s="262">
        <v>0.27999999999999997</v>
      </c>
      <c r="K43" s="263">
        <v>15</v>
      </c>
      <c r="L43" s="264">
        <v>0</v>
      </c>
    </row>
    <row r="44" spans="2:12">
      <c r="B44" s="254">
        <v>39155</v>
      </c>
      <c r="C44" s="221" t="s">
        <v>396</v>
      </c>
      <c r="D44" s="101">
        <v>22556</v>
      </c>
      <c r="E44" s="221" t="s">
        <v>211</v>
      </c>
      <c r="F44" s="221">
        <v>2007</v>
      </c>
      <c r="H44" s="221">
        <v>26</v>
      </c>
      <c r="I44" s="221">
        <v>4</v>
      </c>
      <c r="J44" s="262">
        <v>0.2</v>
      </c>
      <c r="K44" s="263">
        <v>8</v>
      </c>
      <c r="L44" s="264">
        <v>0.08</v>
      </c>
    </row>
    <row r="45" spans="2:12">
      <c r="B45" s="254">
        <v>39210</v>
      </c>
      <c r="C45" s="221" t="s">
        <v>395</v>
      </c>
      <c r="D45" s="101">
        <v>21328</v>
      </c>
      <c r="E45" s="221" t="s">
        <v>213</v>
      </c>
      <c r="F45" s="221">
        <v>2007</v>
      </c>
      <c r="H45" s="221">
        <v>27</v>
      </c>
      <c r="I45" s="221">
        <v>4</v>
      </c>
      <c r="J45" s="262">
        <v>0.27999999999999997</v>
      </c>
      <c r="K45" s="263">
        <v>10</v>
      </c>
      <c r="L45" s="264">
        <v>0.04</v>
      </c>
    </row>
    <row r="46" spans="2:12">
      <c r="B46" s="254">
        <v>39169</v>
      </c>
      <c r="C46" s="221" t="s">
        <v>396</v>
      </c>
      <c r="D46" s="101">
        <v>23187</v>
      </c>
      <c r="E46" s="221" t="s">
        <v>213</v>
      </c>
      <c r="F46" s="221">
        <v>2007</v>
      </c>
      <c r="H46" s="221">
        <v>28</v>
      </c>
      <c r="I46" s="221">
        <v>-1</v>
      </c>
      <c r="J46" s="262">
        <v>0.08</v>
      </c>
      <c r="K46" s="263">
        <v>8</v>
      </c>
      <c r="L46" s="264">
        <v>0.08</v>
      </c>
    </row>
    <row r="47" spans="2:12">
      <c r="B47" s="254">
        <v>39048</v>
      </c>
      <c r="C47" s="221" t="s">
        <v>396</v>
      </c>
      <c r="D47" s="101">
        <v>39424</v>
      </c>
      <c r="E47" s="221" t="s">
        <v>211</v>
      </c>
      <c r="F47" s="221">
        <v>2006</v>
      </c>
      <c r="H47" s="221">
        <v>29</v>
      </c>
      <c r="I47" s="221">
        <v>4</v>
      </c>
      <c r="J47" s="262">
        <v>0.1</v>
      </c>
      <c r="K47" s="263">
        <v>15</v>
      </c>
      <c r="L47" s="264">
        <v>0.03</v>
      </c>
    </row>
    <row r="48" spans="2:12">
      <c r="B48" s="254">
        <v>39004</v>
      </c>
      <c r="C48" s="221" t="s">
        <v>396</v>
      </c>
      <c r="D48" s="101">
        <v>21797</v>
      </c>
      <c r="E48" s="221" t="s">
        <v>211</v>
      </c>
      <c r="F48" s="221">
        <v>2006</v>
      </c>
      <c r="H48" s="221">
        <v>30</v>
      </c>
      <c r="I48" s="221">
        <v>4</v>
      </c>
      <c r="J48" s="262">
        <v>0.06</v>
      </c>
      <c r="K48" s="263">
        <v>11</v>
      </c>
      <c r="L48" s="264">
        <v>0.03</v>
      </c>
    </row>
    <row r="49" spans="2:12">
      <c r="B49" s="254">
        <v>39081</v>
      </c>
      <c r="C49" s="221" t="s">
        <v>398</v>
      </c>
      <c r="D49" s="101">
        <v>14781</v>
      </c>
      <c r="E49" s="221" t="s">
        <v>212</v>
      </c>
      <c r="F49" s="221">
        <v>2006</v>
      </c>
      <c r="H49" s="221">
        <v>31</v>
      </c>
      <c r="I49" s="221">
        <v>-1</v>
      </c>
      <c r="J49" s="262">
        <v>6.9999999999999993E-2</v>
      </c>
      <c r="K49" s="263">
        <v>11</v>
      </c>
      <c r="L49" s="264">
        <v>0.06</v>
      </c>
    </row>
    <row r="50" spans="2:12">
      <c r="B50" s="254">
        <v>39300</v>
      </c>
      <c r="C50" s="221" t="s">
        <v>398</v>
      </c>
      <c r="D50" s="101">
        <v>29357</v>
      </c>
      <c r="E50" s="221" t="s">
        <v>210</v>
      </c>
      <c r="F50" s="221">
        <v>2007</v>
      </c>
      <c r="H50" s="221">
        <v>32</v>
      </c>
      <c r="I50" s="221">
        <v>2</v>
      </c>
      <c r="J50" s="262">
        <v>0.22000000000000003</v>
      </c>
      <c r="K50" s="263">
        <v>10</v>
      </c>
      <c r="L50" s="264">
        <v>0.04</v>
      </c>
    </row>
    <row r="51" spans="2:12">
      <c r="B51" s="254">
        <v>38874</v>
      </c>
      <c r="C51" s="221" t="s">
        <v>396</v>
      </c>
      <c r="D51" s="101">
        <v>18499</v>
      </c>
      <c r="E51" s="221" t="s">
        <v>211</v>
      </c>
      <c r="F51" s="221">
        <v>2006</v>
      </c>
      <c r="H51" s="221">
        <v>33</v>
      </c>
      <c r="I51" s="221">
        <v>0</v>
      </c>
      <c r="J51" s="262">
        <v>0.27999999999999997</v>
      </c>
      <c r="K51" s="263">
        <v>13</v>
      </c>
      <c r="L51" s="264">
        <v>0.06</v>
      </c>
    </row>
    <row r="52" spans="2:12">
      <c r="B52" s="254">
        <v>39510</v>
      </c>
      <c r="C52" s="221" t="s">
        <v>395</v>
      </c>
      <c r="D52" s="101">
        <v>36672</v>
      </c>
      <c r="E52" s="221" t="s">
        <v>211</v>
      </c>
      <c r="F52" s="221">
        <v>2008</v>
      </c>
      <c r="H52" s="221">
        <v>34</v>
      </c>
      <c r="I52" s="221">
        <v>4</v>
      </c>
      <c r="J52" s="262">
        <v>0.28999999999999998</v>
      </c>
      <c r="K52" s="263">
        <v>14</v>
      </c>
      <c r="L52" s="264">
        <v>0.04</v>
      </c>
    </row>
    <row r="53" spans="2:12">
      <c r="B53" s="254">
        <v>39558</v>
      </c>
      <c r="C53" s="221" t="s">
        <v>395</v>
      </c>
      <c r="D53" s="101">
        <v>28048</v>
      </c>
      <c r="E53" s="221" t="s">
        <v>212</v>
      </c>
      <c r="F53" s="221">
        <v>2008</v>
      </c>
      <c r="H53" s="221">
        <v>35</v>
      </c>
      <c r="I53" s="221">
        <v>3</v>
      </c>
      <c r="J53" s="262">
        <v>0.24</v>
      </c>
      <c r="K53" s="263">
        <v>8</v>
      </c>
      <c r="L53" s="264">
        <v>0.01</v>
      </c>
    </row>
    <row r="54" spans="2:12">
      <c r="B54" s="254">
        <v>38796</v>
      </c>
      <c r="C54" s="221" t="s">
        <v>396</v>
      </c>
      <c r="D54" s="101">
        <v>34340</v>
      </c>
      <c r="E54" s="221" t="s">
        <v>211</v>
      </c>
      <c r="F54" s="221">
        <v>2006</v>
      </c>
      <c r="H54" s="221">
        <v>36</v>
      </c>
      <c r="I54" s="221">
        <v>4</v>
      </c>
      <c r="J54" s="262">
        <v>0.32999999999999996</v>
      </c>
      <c r="K54" s="263">
        <v>10</v>
      </c>
      <c r="L54" s="264">
        <v>0.01</v>
      </c>
    </row>
    <row r="55" spans="2:12">
      <c r="B55" s="254">
        <v>38824</v>
      </c>
      <c r="C55" s="221" t="s">
        <v>396</v>
      </c>
      <c r="D55" s="101">
        <v>38993</v>
      </c>
      <c r="E55" s="221" t="s">
        <v>212</v>
      </c>
      <c r="F55" s="221">
        <v>2006</v>
      </c>
      <c r="H55" s="221">
        <v>37</v>
      </c>
      <c r="I55" s="221">
        <v>-2</v>
      </c>
      <c r="J55" s="262">
        <v>0.35</v>
      </c>
      <c r="K55" s="263">
        <v>9</v>
      </c>
      <c r="L55" s="264">
        <v>0.02</v>
      </c>
    </row>
    <row r="56" spans="2:12">
      <c r="B56" s="254">
        <v>39603</v>
      </c>
      <c r="C56" s="221" t="s">
        <v>394</v>
      </c>
      <c r="D56" s="101">
        <v>5219</v>
      </c>
      <c r="E56" s="221" t="s">
        <v>213</v>
      </c>
      <c r="F56" s="221">
        <v>2008</v>
      </c>
      <c r="H56" s="221">
        <v>38</v>
      </c>
      <c r="I56" s="221">
        <v>3</v>
      </c>
      <c r="J56" s="262">
        <v>0.27</v>
      </c>
      <c r="K56" s="263">
        <v>13</v>
      </c>
      <c r="L56" s="264">
        <v>0.01</v>
      </c>
    </row>
    <row r="57" spans="2:12">
      <c r="B57" s="254">
        <v>39259</v>
      </c>
      <c r="C57" s="221" t="s">
        <v>396</v>
      </c>
      <c r="D57" s="101">
        <v>20108</v>
      </c>
      <c r="E57" s="221" t="s">
        <v>210</v>
      </c>
      <c r="F57" s="221">
        <v>2007</v>
      </c>
      <c r="H57" s="221">
        <v>39</v>
      </c>
      <c r="I57" s="221">
        <v>4</v>
      </c>
      <c r="J57" s="262">
        <v>0.04</v>
      </c>
      <c r="K57" s="263">
        <v>8</v>
      </c>
      <c r="L57" s="264">
        <v>0.03</v>
      </c>
    </row>
    <row r="58" spans="2:12">
      <c r="B58" s="254">
        <v>39364</v>
      </c>
      <c r="C58" s="221" t="s">
        <v>398</v>
      </c>
      <c r="D58" s="101">
        <v>34661</v>
      </c>
      <c r="E58" s="221" t="s">
        <v>213</v>
      </c>
      <c r="F58" s="221">
        <v>2007</v>
      </c>
      <c r="H58" s="221">
        <v>40</v>
      </c>
      <c r="I58" s="221">
        <v>-1</v>
      </c>
      <c r="J58" s="262">
        <v>0.3</v>
      </c>
      <c r="K58" s="263">
        <v>14</v>
      </c>
      <c r="L58" s="264">
        <v>0.08</v>
      </c>
    </row>
    <row r="59" spans="2:12">
      <c r="B59" s="254">
        <v>38796</v>
      </c>
      <c r="C59" s="221" t="s">
        <v>394</v>
      </c>
      <c r="D59" s="101">
        <v>16143</v>
      </c>
      <c r="E59" s="221" t="s">
        <v>213</v>
      </c>
      <c r="F59" s="221">
        <v>2006</v>
      </c>
      <c r="H59" s="221">
        <v>41</v>
      </c>
      <c r="I59" s="221">
        <v>-2</v>
      </c>
      <c r="J59" s="262">
        <v>0.13</v>
      </c>
      <c r="K59" s="263">
        <v>10</v>
      </c>
      <c r="L59" s="264">
        <v>0.01</v>
      </c>
    </row>
    <row r="60" spans="2:12">
      <c r="B60" s="254">
        <v>39446</v>
      </c>
      <c r="C60" s="221" t="s">
        <v>398</v>
      </c>
      <c r="D60" s="101">
        <v>25809</v>
      </c>
      <c r="E60" s="221" t="s">
        <v>213</v>
      </c>
      <c r="F60" s="221">
        <v>2007</v>
      </c>
      <c r="H60" s="221">
        <v>42</v>
      </c>
      <c r="I60" s="221">
        <v>2</v>
      </c>
      <c r="J60" s="262">
        <v>0.04</v>
      </c>
      <c r="K60" s="263">
        <v>8</v>
      </c>
      <c r="L60" s="264">
        <v>0.05</v>
      </c>
    </row>
    <row r="61" spans="2:12">
      <c r="B61" s="254">
        <v>39170</v>
      </c>
      <c r="C61" s="221" t="s">
        <v>395</v>
      </c>
      <c r="D61" s="101">
        <v>36392</v>
      </c>
      <c r="E61" s="221" t="s">
        <v>212</v>
      </c>
      <c r="F61" s="221">
        <v>2007</v>
      </c>
      <c r="H61" s="221">
        <v>43</v>
      </c>
      <c r="I61" s="221">
        <v>0</v>
      </c>
      <c r="J61" s="262">
        <v>0.12</v>
      </c>
      <c r="K61" s="263">
        <v>8</v>
      </c>
      <c r="L61" s="264">
        <v>0.02</v>
      </c>
    </row>
    <row r="62" spans="2:12">
      <c r="B62" s="254">
        <v>39521</v>
      </c>
      <c r="C62" s="221" t="s">
        <v>395</v>
      </c>
      <c r="D62" s="101">
        <v>8198</v>
      </c>
      <c r="E62" s="221" t="s">
        <v>212</v>
      </c>
      <c r="F62" s="221">
        <v>2008</v>
      </c>
      <c r="H62" s="221">
        <v>44</v>
      </c>
      <c r="I62" s="221">
        <v>-2</v>
      </c>
      <c r="J62" s="262">
        <v>0.33999999999999997</v>
      </c>
      <c r="K62" s="263">
        <v>12</v>
      </c>
      <c r="L62" s="264">
        <v>0.04</v>
      </c>
    </row>
    <row r="63" spans="2:12">
      <c r="B63" s="254">
        <v>39208</v>
      </c>
      <c r="C63" s="221" t="s">
        <v>394</v>
      </c>
      <c r="D63" s="101">
        <v>7333</v>
      </c>
      <c r="E63" s="221" t="s">
        <v>210</v>
      </c>
      <c r="F63" s="221">
        <v>2007</v>
      </c>
      <c r="H63" s="221">
        <v>45</v>
      </c>
      <c r="I63" s="221">
        <v>1</v>
      </c>
      <c r="J63" s="262">
        <v>0.22000000000000003</v>
      </c>
      <c r="K63" s="263">
        <v>10</v>
      </c>
      <c r="L63" s="264">
        <v>0.06</v>
      </c>
    </row>
    <row r="64" spans="2:12">
      <c r="B64" s="254">
        <v>39206</v>
      </c>
      <c r="C64" s="221" t="s">
        <v>398</v>
      </c>
      <c r="D64" s="101">
        <v>19211</v>
      </c>
      <c r="E64" s="221" t="s">
        <v>211</v>
      </c>
      <c r="F64" s="221">
        <v>2007</v>
      </c>
      <c r="H64" s="221">
        <v>46</v>
      </c>
      <c r="I64" s="221">
        <v>2</v>
      </c>
      <c r="J64" s="262">
        <v>0.02</v>
      </c>
      <c r="K64" s="263">
        <v>8</v>
      </c>
      <c r="L64" s="264">
        <v>0.08</v>
      </c>
    </row>
    <row r="65" spans="2:12">
      <c r="B65" s="254">
        <v>39530</v>
      </c>
      <c r="C65" s="221" t="s">
        <v>396</v>
      </c>
      <c r="D65" s="101">
        <v>19078</v>
      </c>
      <c r="E65" s="221" t="s">
        <v>211</v>
      </c>
      <c r="F65" s="221">
        <v>2008</v>
      </c>
      <c r="H65" s="221">
        <v>47</v>
      </c>
      <c r="I65" s="221">
        <v>4</v>
      </c>
      <c r="J65" s="262">
        <v>0.18</v>
      </c>
      <c r="K65" s="263">
        <v>9</v>
      </c>
      <c r="L65" s="264">
        <v>0.01</v>
      </c>
    </row>
    <row r="66" spans="2:12">
      <c r="B66" s="254">
        <v>39075</v>
      </c>
      <c r="C66" s="221" t="s">
        <v>398</v>
      </c>
      <c r="D66" s="101">
        <v>27820</v>
      </c>
      <c r="E66" s="221" t="s">
        <v>211</v>
      </c>
      <c r="F66" s="221">
        <v>2006</v>
      </c>
      <c r="H66" s="221">
        <v>48</v>
      </c>
      <c r="I66" s="221">
        <v>-2</v>
      </c>
      <c r="J66" s="262">
        <v>0.33999999999999997</v>
      </c>
      <c r="K66" s="263">
        <v>15</v>
      </c>
      <c r="L66" s="264">
        <v>7.0000000000000007E-2</v>
      </c>
    </row>
    <row r="67" spans="2:12">
      <c r="B67" s="254">
        <v>39369</v>
      </c>
      <c r="C67" s="221" t="s">
        <v>395</v>
      </c>
      <c r="D67" s="101">
        <v>32391</v>
      </c>
      <c r="E67" s="221" t="s">
        <v>210</v>
      </c>
      <c r="F67" s="221">
        <v>2007</v>
      </c>
      <c r="H67" s="221">
        <v>49</v>
      </c>
      <c r="I67" s="221">
        <v>2</v>
      </c>
      <c r="J67" s="262">
        <v>0.33999999999999997</v>
      </c>
      <c r="K67" s="263">
        <v>15</v>
      </c>
      <c r="L67" s="264">
        <v>0.06</v>
      </c>
    </row>
    <row r="68" spans="2:12">
      <c r="B68" s="254">
        <v>39155</v>
      </c>
      <c r="C68" s="221" t="s">
        <v>398</v>
      </c>
      <c r="D68" s="101">
        <v>29641</v>
      </c>
      <c r="E68" s="221" t="s">
        <v>212</v>
      </c>
      <c r="F68" s="221">
        <v>2007</v>
      </c>
      <c r="H68" s="221">
        <v>50</v>
      </c>
      <c r="I68" s="221">
        <v>0</v>
      </c>
      <c r="J68" s="262">
        <v>0.12</v>
      </c>
      <c r="K68" s="263">
        <v>10</v>
      </c>
      <c r="L68" s="264">
        <v>0.04</v>
      </c>
    </row>
    <row r="69" spans="2:12">
      <c r="B69" s="254">
        <v>39135</v>
      </c>
      <c r="C69" s="221" t="s">
        <v>395</v>
      </c>
      <c r="D69" s="101">
        <v>10953</v>
      </c>
      <c r="E69" s="221" t="s">
        <v>213</v>
      </c>
      <c r="F69" s="221">
        <v>2007</v>
      </c>
    </row>
    <row r="70" spans="2:12">
      <c r="B70" s="254">
        <v>39152</v>
      </c>
      <c r="C70" s="221" t="s">
        <v>396</v>
      </c>
      <c r="D70" s="101">
        <v>17379</v>
      </c>
      <c r="E70" s="221" t="s">
        <v>212</v>
      </c>
      <c r="F70" s="221">
        <v>2007</v>
      </c>
    </row>
    <row r="71" spans="2:12">
      <c r="B71" s="254">
        <v>39053</v>
      </c>
      <c r="C71" s="221" t="s">
        <v>398</v>
      </c>
      <c r="D71" s="101">
        <v>18451</v>
      </c>
      <c r="E71" s="221" t="s">
        <v>211</v>
      </c>
      <c r="F71" s="221">
        <v>2006</v>
      </c>
    </row>
    <row r="72" spans="2:12">
      <c r="B72" s="254">
        <v>38989</v>
      </c>
      <c r="C72" s="221" t="s">
        <v>396</v>
      </c>
      <c r="D72" s="101">
        <v>13605</v>
      </c>
      <c r="E72" s="221" t="s">
        <v>213</v>
      </c>
      <c r="F72" s="221">
        <v>2006</v>
      </c>
    </row>
    <row r="73" spans="2:12">
      <c r="B73" s="254">
        <v>39581</v>
      </c>
      <c r="C73" s="221" t="s">
        <v>398</v>
      </c>
      <c r="D73" s="101">
        <v>30500</v>
      </c>
      <c r="E73" s="221" t="s">
        <v>210</v>
      </c>
      <c r="F73" s="221">
        <v>2008</v>
      </c>
    </row>
    <row r="74" spans="2:12">
      <c r="B74" s="254">
        <v>39594</v>
      </c>
      <c r="C74" s="221" t="s">
        <v>395</v>
      </c>
      <c r="D74" s="101">
        <v>21955</v>
      </c>
      <c r="E74" s="221" t="s">
        <v>211</v>
      </c>
      <c r="F74" s="221">
        <v>2008</v>
      </c>
    </row>
    <row r="75" spans="2:12">
      <c r="B75" s="254">
        <v>39545</v>
      </c>
      <c r="C75" s="221" t="s">
        <v>396</v>
      </c>
      <c r="D75" s="101">
        <v>37154</v>
      </c>
      <c r="E75" s="221" t="s">
        <v>211</v>
      </c>
      <c r="F75" s="221">
        <v>2008</v>
      </c>
    </row>
    <row r="76" spans="2:12">
      <c r="B76" s="254">
        <v>38973</v>
      </c>
      <c r="C76" s="221" t="s">
        <v>395</v>
      </c>
      <c r="D76" s="101">
        <v>27567</v>
      </c>
      <c r="E76" s="221" t="s">
        <v>213</v>
      </c>
      <c r="F76" s="221">
        <v>2006</v>
      </c>
    </row>
    <row r="77" spans="2:12">
      <c r="B77" s="254">
        <v>39117</v>
      </c>
      <c r="C77" s="221" t="s">
        <v>398</v>
      </c>
      <c r="D77" s="101">
        <v>30918</v>
      </c>
      <c r="E77" s="221" t="s">
        <v>211</v>
      </c>
      <c r="F77" s="221">
        <v>2007</v>
      </c>
    </row>
    <row r="78" spans="2:12">
      <c r="B78" s="254">
        <v>38818</v>
      </c>
      <c r="C78" s="221" t="s">
        <v>394</v>
      </c>
      <c r="D78" s="101">
        <v>17335</v>
      </c>
      <c r="E78" s="221" t="s">
        <v>212</v>
      </c>
      <c r="F78" s="221">
        <v>2006</v>
      </c>
    </row>
    <row r="79" spans="2:12">
      <c r="B79" s="254">
        <v>39276</v>
      </c>
      <c r="C79" s="221" t="s">
        <v>394</v>
      </c>
      <c r="D79" s="101">
        <v>35432</v>
      </c>
      <c r="E79" s="221" t="s">
        <v>211</v>
      </c>
      <c r="F79" s="221">
        <v>2007</v>
      </c>
    </row>
    <row r="80" spans="2:12">
      <c r="B80" s="254">
        <v>38779</v>
      </c>
      <c r="C80" s="221" t="s">
        <v>395</v>
      </c>
      <c r="D80" s="101">
        <v>35341</v>
      </c>
      <c r="E80" s="221" t="s">
        <v>211</v>
      </c>
      <c r="F80" s="221">
        <v>2006</v>
      </c>
    </row>
    <row r="81" spans="2:6">
      <c r="B81" s="254">
        <v>39045</v>
      </c>
      <c r="C81" s="221" t="s">
        <v>395</v>
      </c>
      <c r="D81" s="101">
        <v>15071</v>
      </c>
      <c r="E81" s="221" t="s">
        <v>213</v>
      </c>
      <c r="F81" s="221">
        <v>2006</v>
      </c>
    </row>
    <row r="82" spans="2:6">
      <c r="B82" s="254">
        <v>39331</v>
      </c>
      <c r="C82" s="221" t="s">
        <v>395</v>
      </c>
      <c r="D82" s="101">
        <v>29598</v>
      </c>
      <c r="E82" s="221" t="s">
        <v>213</v>
      </c>
      <c r="F82" s="221">
        <v>2007</v>
      </c>
    </row>
    <row r="83" spans="2:6">
      <c r="B83" s="254">
        <v>39269</v>
      </c>
      <c r="C83" s="221" t="s">
        <v>394</v>
      </c>
      <c r="D83" s="101">
        <v>6850</v>
      </c>
      <c r="E83" s="221" t="s">
        <v>211</v>
      </c>
      <c r="F83" s="221">
        <v>2007</v>
      </c>
    </row>
    <row r="84" spans="2:6">
      <c r="B84" s="254">
        <v>38767</v>
      </c>
      <c r="C84" s="221" t="s">
        <v>398</v>
      </c>
      <c r="D84" s="101">
        <v>33946</v>
      </c>
      <c r="E84" s="221" t="s">
        <v>213</v>
      </c>
      <c r="F84" s="221">
        <v>2006</v>
      </c>
    </row>
    <row r="85" spans="2:6">
      <c r="B85" s="254">
        <v>39257</v>
      </c>
      <c r="C85" s="221" t="s">
        <v>398</v>
      </c>
      <c r="D85" s="101">
        <v>30562</v>
      </c>
      <c r="E85" s="221" t="s">
        <v>211</v>
      </c>
      <c r="F85" s="221">
        <v>2007</v>
      </c>
    </row>
    <row r="86" spans="2:6">
      <c r="B86" s="254">
        <v>38883</v>
      </c>
      <c r="C86" s="221" t="s">
        <v>394</v>
      </c>
      <c r="D86" s="101">
        <v>6100</v>
      </c>
      <c r="E86" s="221" t="s">
        <v>212</v>
      </c>
      <c r="F86" s="221">
        <v>2006</v>
      </c>
    </row>
    <row r="87" spans="2:6">
      <c r="B87" s="254">
        <v>39241</v>
      </c>
      <c r="C87" s="221" t="s">
        <v>398</v>
      </c>
      <c r="D87" s="101">
        <v>15446</v>
      </c>
      <c r="E87" s="221" t="s">
        <v>212</v>
      </c>
      <c r="F87" s="221">
        <v>2007</v>
      </c>
    </row>
    <row r="88" spans="2:6">
      <c r="B88" s="254">
        <v>39118</v>
      </c>
      <c r="C88" s="221" t="s">
        <v>396</v>
      </c>
      <c r="D88" s="101">
        <v>26538</v>
      </c>
      <c r="E88" s="221" t="s">
        <v>210</v>
      </c>
      <c r="F88" s="221">
        <v>2007</v>
      </c>
    </row>
    <row r="89" spans="2:6">
      <c r="B89" s="254">
        <v>39430</v>
      </c>
      <c r="C89" s="221" t="s">
        <v>398</v>
      </c>
      <c r="D89" s="101">
        <v>7455</v>
      </c>
      <c r="E89" s="221" t="s">
        <v>213</v>
      </c>
      <c r="F89" s="221">
        <v>2007</v>
      </c>
    </row>
    <row r="90" spans="2:6">
      <c r="B90" s="254">
        <v>38959</v>
      </c>
      <c r="C90" s="221" t="s">
        <v>398</v>
      </c>
      <c r="D90" s="101">
        <v>37299</v>
      </c>
      <c r="E90" s="221" t="s">
        <v>211</v>
      </c>
      <c r="F90" s="221">
        <v>2006</v>
      </c>
    </row>
    <row r="91" spans="2:6">
      <c r="B91" s="254">
        <v>39594</v>
      </c>
      <c r="C91" s="221" t="s">
        <v>395</v>
      </c>
      <c r="D91" s="101">
        <v>35338</v>
      </c>
      <c r="E91" s="221" t="s">
        <v>213</v>
      </c>
      <c r="F91" s="221">
        <v>2008</v>
      </c>
    </row>
    <row r="92" spans="2:6">
      <c r="B92" s="254">
        <v>39445</v>
      </c>
      <c r="C92" s="221" t="s">
        <v>395</v>
      </c>
      <c r="D92" s="101">
        <v>27093</v>
      </c>
      <c r="E92" s="221" t="s">
        <v>213</v>
      </c>
      <c r="F92" s="221">
        <v>2007</v>
      </c>
    </row>
    <row r="93" spans="2:6">
      <c r="B93" s="254">
        <v>39486</v>
      </c>
      <c r="C93" s="221" t="s">
        <v>396</v>
      </c>
      <c r="D93" s="101">
        <v>34728</v>
      </c>
      <c r="E93" s="221" t="s">
        <v>210</v>
      </c>
      <c r="F93" s="221">
        <v>2008</v>
      </c>
    </row>
    <row r="94" spans="2:6">
      <c r="B94" s="254">
        <v>38808</v>
      </c>
      <c r="C94" s="221" t="s">
        <v>398</v>
      </c>
      <c r="D94" s="101">
        <v>31941</v>
      </c>
      <c r="E94" s="221" t="s">
        <v>211</v>
      </c>
      <c r="F94" s="221">
        <v>2006</v>
      </c>
    </row>
    <row r="95" spans="2:6">
      <c r="B95" s="254">
        <v>39452</v>
      </c>
      <c r="C95" s="221" t="s">
        <v>396</v>
      </c>
      <c r="D95" s="101">
        <v>30310</v>
      </c>
      <c r="E95" s="221" t="s">
        <v>213</v>
      </c>
      <c r="F95" s="221">
        <v>2008</v>
      </c>
    </row>
    <row r="96" spans="2:6">
      <c r="B96" s="254">
        <v>38827</v>
      </c>
      <c r="C96" s="221" t="s">
        <v>395</v>
      </c>
      <c r="D96" s="101">
        <v>35609</v>
      </c>
      <c r="E96" s="221" t="s">
        <v>212</v>
      </c>
      <c r="F96" s="221">
        <v>2006</v>
      </c>
    </row>
    <row r="97" spans="2:6">
      <c r="B97" s="254">
        <v>39245</v>
      </c>
      <c r="C97" s="221" t="s">
        <v>395</v>
      </c>
      <c r="D97" s="101">
        <v>20381</v>
      </c>
      <c r="E97" s="221" t="s">
        <v>213</v>
      </c>
      <c r="F97" s="221">
        <v>2007</v>
      </c>
    </row>
    <row r="98" spans="2:6">
      <c r="B98" s="254">
        <v>39171</v>
      </c>
      <c r="C98" s="221" t="s">
        <v>395</v>
      </c>
      <c r="D98" s="101">
        <v>26213</v>
      </c>
      <c r="E98" s="221" t="s">
        <v>212</v>
      </c>
      <c r="F98" s="221">
        <v>2007</v>
      </c>
    </row>
    <row r="99" spans="2:6">
      <c r="B99" s="254">
        <v>39571</v>
      </c>
      <c r="C99" s="221" t="s">
        <v>395</v>
      </c>
      <c r="D99" s="101">
        <v>14904</v>
      </c>
      <c r="E99" s="221" t="s">
        <v>211</v>
      </c>
      <c r="F99" s="221">
        <v>2008</v>
      </c>
    </row>
    <row r="100" spans="2:6">
      <c r="B100" s="254">
        <v>39363</v>
      </c>
      <c r="C100" s="221" t="s">
        <v>395</v>
      </c>
      <c r="D100" s="101">
        <v>11985</v>
      </c>
      <c r="E100" s="221" t="s">
        <v>210</v>
      </c>
      <c r="F100" s="221">
        <v>2007</v>
      </c>
    </row>
    <row r="101" spans="2:6">
      <c r="B101" s="254">
        <v>39543</v>
      </c>
      <c r="C101" s="221" t="s">
        <v>394</v>
      </c>
      <c r="D101" s="101">
        <v>24065</v>
      </c>
      <c r="E101" s="221" t="s">
        <v>210</v>
      </c>
      <c r="F101" s="221">
        <v>2008</v>
      </c>
    </row>
    <row r="102" spans="2:6">
      <c r="B102" s="254">
        <v>39448</v>
      </c>
      <c r="C102" s="221" t="s">
        <v>394</v>
      </c>
      <c r="D102" s="101">
        <v>18694</v>
      </c>
      <c r="E102" s="221" t="s">
        <v>212</v>
      </c>
      <c r="F102" s="221">
        <v>2008</v>
      </c>
    </row>
    <row r="103" spans="2:6">
      <c r="B103" s="254">
        <v>38997</v>
      </c>
      <c r="C103" s="221" t="s">
        <v>395</v>
      </c>
      <c r="D103" s="101">
        <v>29026</v>
      </c>
      <c r="E103" s="221" t="s">
        <v>210</v>
      </c>
      <c r="F103" s="221">
        <v>2006</v>
      </c>
    </row>
    <row r="104" spans="2:6">
      <c r="B104" s="254">
        <v>39410</v>
      </c>
      <c r="C104" s="221" t="s">
        <v>395</v>
      </c>
      <c r="D104" s="101">
        <v>12006</v>
      </c>
      <c r="E104" s="221" t="s">
        <v>213</v>
      </c>
      <c r="F104" s="221">
        <v>2007</v>
      </c>
    </row>
    <row r="105" spans="2:6">
      <c r="B105" s="254">
        <v>38776</v>
      </c>
      <c r="C105" s="221" t="s">
        <v>398</v>
      </c>
      <c r="D105" s="101">
        <v>35731</v>
      </c>
      <c r="E105" s="221" t="s">
        <v>210</v>
      </c>
      <c r="F105" s="221">
        <v>2006</v>
      </c>
    </row>
    <row r="106" spans="2:6">
      <c r="B106" s="254">
        <v>39042</v>
      </c>
      <c r="C106" s="221" t="s">
        <v>396</v>
      </c>
      <c r="D106" s="101">
        <v>19326</v>
      </c>
      <c r="E106" s="221" t="s">
        <v>210</v>
      </c>
      <c r="F106" s="221">
        <v>2006</v>
      </c>
    </row>
    <row r="107" spans="2:6">
      <c r="B107" s="254">
        <v>39066</v>
      </c>
      <c r="C107" s="221" t="s">
        <v>395</v>
      </c>
      <c r="D107" s="101">
        <v>37983</v>
      </c>
      <c r="E107" s="221" t="s">
        <v>211</v>
      </c>
      <c r="F107" s="221">
        <v>2006</v>
      </c>
    </row>
    <row r="108" spans="2:6">
      <c r="B108" s="254">
        <v>38769</v>
      </c>
      <c r="C108" s="221" t="s">
        <v>396</v>
      </c>
      <c r="D108" s="101">
        <v>24360</v>
      </c>
      <c r="E108" s="221" t="s">
        <v>210</v>
      </c>
      <c r="F108" s="221">
        <v>2006</v>
      </c>
    </row>
    <row r="109" spans="2:6">
      <c r="B109" s="254">
        <v>38812</v>
      </c>
      <c r="C109" s="221" t="s">
        <v>395</v>
      </c>
      <c r="D109" s="101">
        <v>39054</v>
      </c>
      <c r="E109" s="221" t="s">
        <v>211</v>
      </c>
      <c r="F109" s="221">
        <v>2006</v>
      </c>
    </row>
    <row r="110" spans="2:6">
      <c r="B110" s="254">
        <v>39555</v>
      </c>
      <c r="C110" s="221" t="s">
        <v>394</v>
      </c>
      <c r="D110" s="101">
        <v>14801</v>
      </c>
      <c r="E110" s="221" t="s">
        <v>211</v>
      </c>
      <c r="F110" s="221">
        <v>2008</v>
      </c>
    </row>
    <row r="111" spans="2:6">
      <c r="B111" s="254">
        <v>39159</v>
      </c>
      <c r="C111" s="221" t="s">
        <v>395</v>
      </c>
      <c r="D111" s="101">
        <v>5112</v>
      </c>
      <c r="E111" s="221" t="s">
        <v>212</v>
      </c>
      <c r="F111" s="221">
        <v>2007</v>
      </c>
    </row>
    <row r="112" spans="2:6">
      <c r="B112" s="254">
        <v>39324</v>
      </c>
      <c r="C112" s="221" t="s">
        <v>395</v>
      </c>
      <c r="D112" s="101">
        <v>14785</v>
      </c>
      <c r="E112" s="221" t="s">
        <v>213</v>
      </c>
      <c r="F112" s="221">
        <v>2007</v>
      </c>
    </row>
    <row r="113" spans="2:6">
      <c r="B113" s="254">
        <v>39067</v>
      </c>
      <c r="C113" s="221" t="s">
        <v>396</v>
      </c>
      <c r="D113" s="101">
        <v>11239</v>
      </c>
      <c r="E113" s="221" t="s">
        <v>212</v>
      </c>
      <c r="F113" s="221">
        <v>2006</v>
      </c>
    </row>
    <row r="114" spans="2:6">
      <c r="B114" s="254">
        <v>39317</v>
      </c>
      <c r="C114" s="221" t="s">
        <v>394</v>
      </c>
      <c r="D114" s="101">
        <v>33686</v>
      </c>
      <c r="E114" s="221" t="s">
        <v>213</v>
      </c>
      <c r="F114" s="221">
        <v>2007</v>
      </c>
    </row>
    <row r="115" spans="2:6">
      <c r="B115" s="254">
        <v>38854</v>
      </c>
      <c r="C115" s="221" t="s">
        <v>395</v>
      </c>
      <c r="D115" s="101">
        <v>28016</v>
      </c>
      <c r="E115" s="221" t="s">
        <v>210</v>
      </c>
      <c r="F115" s="221">
        <v>2006</v>
      </c>
    </row>
    <row r="116" spans="2:6">
      <c r="B116" s="254">
        <v>39318</v>
      </c>
      <c r="C116" s="221" t="s">
        <v>395</v>
      </c>
      <c r="D116" s="101">
        <v>17054</v>
      </c>
      <c r="E116" s="221" t="s">
        <v>213</v>
      </c>
      <c r="F116" s="221">
        <v>2007</v>
      </c>
    </row>
    <row r="117" spans="2:6">
      <c r="B117" s="254">
        <v>38935</v>
      </c>
      <c r="C117" s="221" t="s">
        <v>395</v>
      </c>
      <c r="D117" s="101">
        <v>27199</v>
      </c>
      <c r="E117" s="221" t="s">
        <v>210</v>
      </c>
      <c r="F117" s="221">
        <v>2006</v>
      </c>
    </row>
    <row r="118" spans="2:6">
      <c r="B118" s="254">
        <v>39593</v>
      </c>
      <c r="C118" s="221" t="s">
        <v>396</v>
      </c>
      <c r="D118" s="101">
        <v>7173</v>
      </c>
      <c r="E118" s="221" t="s">
        <v>213</v>
      </c>
      <c r="F118" s="221">
        <v>2008</v>
      </c>
    </row>
    <row r="119" spans="2:6">
      <c r="B119" s="254">
        <v>38770</v>
      </c>
      <c r="C119" s="221" t="s">
        <v>398</v>
      </c>
      <c r="D119" s="101">
        <v>37867</v>
      </c>
      <c r="E119" s="221" t="s">
        <v>211</v>
      </c>
      <c r="F119" s="221">
        <v>2006</v>
      </c>
    </row>
    <row r="120" spans="2:6">
      <c r="B120" s="254">
        <v>39303</v>
      </c>
      <c r="C120" s="221" t="s">
        <v>395</v>
      </c>
      <c r="D120" s="101">
        <v>12739</v>
      </c>
      <c r="E120" s="221" t="s">
        <v>213</v>
      </c>
      <c r="F120" s="221">
        <v>2007</v>
      </c>
    </row>
    <row r="121" spans="2:6">
      <c r="B121" s="254">
        <v>39476</v>
      </c>
      <c r="C121" s="221" t="s">
        <v>394</v>
      </c>
      <c r="D121" s="101">
        <v>14958</v>
      </c>
      <c r="E121" s="221" t="s">
        <v>211</v>
      </c>
      <c r="F121" s="221">
        <v>2008</v>
      </c>
    </row>
    <row r="122" spans="2:6">
      <c r="B122" s="254">
        <v>38897</v>
      </c>
      <c r="C122" s="221" t="s">
        <v>395</v>
      </c>
      <c r="D122" s="101">
        <v>31630</v>
      </c>
      <c r="E122" s="221" t="s">
        <v>213</v>
      </c>
      <c r="F122" s="221">
        <v>2006</v>
      </c>
    </row>
    <row r="123" spans="2:6">
      <c r="B123" s="254">
        <v>39049</v>
      </c>
      <c r="C123" s="221" t="s">
        <v>394</v>
      </c>
      <c r="D123" s="101">
        <v>21276</v>
      </c>
      <c r="E123" s="221" t="s">
        <v>210</v>
      </c>
      <c r="F123" s="221">
        <v>2006</v>
      </c>
    </row>
    <row r="124" spans="2:6">
      <c r="B124" s="254">
        <v>38928</v>
      </c>
      <c r="C124" s="221" t="s">
        <v>394</v>
      </c>
      <c r="D124" s="101">
        <v>37180</v>
      </c>
      <c r="E124" s="221" t="s">
        <v>213</v>
      </c>
      <c r="F124" s="221">
        <v>2006</v>
      </c>
    </row>
    <row r="125" spans="2:6">
      <c r="B125" s="254">
        <v>39485</v>
      </c>
      <c r="C125" s="221" t="s">
        <v>395</v>
      </c>
      <c r="D125" s="101">
        <v>10985</v>
      </c>
      <c r="E125" s="221" t="s">
        <v>212</v>
      </c>
      <c r="F125" s="221">
        <v>2008</v>
      </c>
    </row>
    <row r="126" spans="2:6">
      <c r="B126" s="254">
        <v>38887</v>
      </c>
      <c r="C126" s="221" t="s">
        <v>398</v>
      </c>
      <c r="D126" s="101">
        <v>12358</v>
      </c>
      <c r="E126" s="221" t="s">
        <v>210</v>
      </c>
      <c r="F126" s="221">
        <v>2006</v>
      </c>
    </row>
    <row r="127" spans="2:6">
      <c r="B127" s="254">
        <v>39379</v>
      </c>
      <c r="C127" s="221" t="s">
        <v>398</v>
      </c>
      <c r="D127" s="101">
        <v>27371</v>
      </c>
      <c r="E127" s="221" t="s">
        <v>212</v>
      </c>
      <c r="F127" s="221">
        <v>2007</v>
      </c>
    </row>
    <row r="128" spans="2:6">
      <c r="B128" s="254">
        <v>38781</v>
      </c>
      <c r="C128" s="221" t="s">
        <v>396</v>
      </c>
      <c r="D128" s="101">
        <v>28076</v>
      </c>
      <c r="E128" s="221" t="s">
        <v>211</v>
      </c>
      <c r="F128" s="221">
        <v>2006</v>
      </c>
    </row>
    <row r="129" spans="2:6">
      <c r="B129" s="254">
        <v>39385</v>
      </c>
      <c r="C129" s="221" t="s">
        <v>396</v>
      </c>
      <c r="D129" s="101">
        <v>21065</v>
      </c>
      <c r="E129" s="221" t="s">
        <v>213</v>
      </c>
      <c r="F129" s="221">
        <v>2007</v>
      </c>
    </row>
    <row r="130" spans="2:6">
      <c r="B130" s="254">
        <v>39590</v>
      </c>
      <c r="C130" s="221" t="s">
        <v>396</v>
      </c>
      <c r="D130" s="101">
        <v>27466</v>
      </c>
      <c r="E130" s="221" t="s">
        <v>213</v>
      </c>
      <c r="F130" s="221">
        <v>2008</v>
      </c>
    </row>
    <row r="131" spans="2:6">
      <c r="B131" s="254">
        <v>39327</v>
      </c>
      <c r="C131" s="221" t="s">
        <v>396</v>
      </c>
      <c r="D131" s="101">
        <v>23876</v>
      </c>
      <c r="E131" s="221" t="s">
        <v>211</v>
      </c>
      <c r="F131" s="221">
        <v>2007</v>
      </c>
    </row>
    <row r="132" spans="2:6">
      <c r="B132" s="254">
        <v>39554</v>
      </c>
      <c r="C132" s="221" t="s">
        <v>396</v>
      </c>
      <c r="D132" s="101">
        <v>28929</v>
      </c>
      <c r="E132" s="221" t="s">
        <v>210</v>
      </c>
      <c r="F132" s="221">
        <v>2008</v>
      </c>
    </row>
    <row r="133" spans="2:6">
      <c r="B133" s="254">
        <v>39012</v>
      </c>
      <c r="C133" s="221" t="s">
        <v>394</v>
      </c>
      <c r="D133" s="101">
        <v>17596</v>
      </c>
      <c r="E133" s="221" t="s">
        <v>210</v>
      </c>
      <c r="F133" s="221">
        <v>2006</v>
      </c>
    </row>
    <row r="134" spans="2:6">
      <c r="B134" s="254">
        <v>39336</v>
      </c>
      <c r="C134" s="221" t="s">
        <v>395</v>
      </c>
      <c r="D134" s="101">
        <v>23904</v>
      </c>
      <c r="E134" s="221" t="s">
        <v>210</v>
      </c>
      <c r="F134" s="221">
        <v>2007</v>
      </c>
    </row>
    <row r="135" spans="2:6">
      <c r="B135" s="254">
        <v>39536</v>
      </c>
      <c r="C135" s="221" t="s">
        <v>396</v>
      </c>
      <c r="D135" s="101">
        <v>19949</v>
      </c>
      <c r="E135" s="221" t="s">
        <v>213</v>
      </c>
      <c r="F135" s="221">
        <v>2008</v>
      </c>
    </row>
    <row r="136" spans="2:6">
      <c r="B136" s="254">
        <v>38908</v>
      </c>
      <c r="C136" s="221" t="s">
        <v>396</v>
      </c>
      <c r="D136" s="101">
        <v>35745</v>
      </c>
      <c r="E136" s="221" t="s">
        <v>212</v>
      </c>
      <c r="F136" s="221">
        <v>2006</v>
      </c>
    </row>
    <row r="137" spans="2:6">
      <c r="B137" s="254">
        <v>39163</v>
      </c>
      <c r="C137" s="221" t="s">
        <v>394</v>
      </c>
      <c r="D137" s="101">
        <v>20071</v>
      </c>
      <c r="E137" s="221" t="s">
        <v>210</v>
      </c>
      <c r="F137" s="221">
        <v>2007</v>
      </c>
    </row>
    <row r="138" spans="2:6">
      <c r="B138" s="254">
        <v>39152</v>
      </c>
      <c r="C138" s="221" t="s">
        <v>398</v>
      </c>
      <c r="D138" s="101">
        <v>9705</v>
      </c>
      <c r="E138" s="221" t="s">
        <v>212</v>
      </c>
      <c r="F138" s="221">
        <v>2007</v>
      </c>
    </row>
    <row r="139" spans="2:6">
      <c r="B139" s="254">
        <v>39286</v>
      </c>
      <c r="C139" s="221" t="s">
        <v>394</v>
      </c>
      <c r="D139" s="101">
        <v>32888</v>
      </c>
      <c r="E139" s="221" t="s">
        <v>213</v>
      </c>
      <c r="F139" s="221">
        <v>2007</v>
      </c>
    </row>
    <row r="140" spans="2:6">
      <c r="B140" s="254">
        <v>39437</v>
      </c>
      <c r="C140" s="221" t="s">
        <v>398</v>
      </c>
      <c r="D140" s="101">
        <v>30039</v>
      </c>
      <c r="E140" s="221" t="s">
        <v>210</v>
      </c>
      <c r="F140" s="221">
        <v>2007</v>
      </c>
    </row>
    <row r="141" spans="2:6">
      <c r="B141" s="254">
        <v>38892</v>
      </c>
      <c r="C141" s="221" t="s">
        <v>396</v>
      </c>
      <c r="D141" s="101">
        <v>25631</v>
      </c>
      <c r="E141" s="221" t="s">
        <v>211</v>
      </c>
      <c r="F141" s="221">
        <v>2006</v>
      </c>
    </row>
    <row r="142" spans="2:6">
      <c r="B142" s="254">
        <v>39140</v>
      </c>
      <c r="C142" s="221" t="s">
        <v>395</v>
      </c>
      <c r="D142" s="101">
        <v>15416</v>
      </c>
      <c r="E142" s="221" t="s">
        <v>213</v>
      </c>
      <c r="F142" s="221">
        <v>2007</v>
      </c>
    </row>
    <row r="143" spans="2:6">
      <c r="B143" s="254">
        <v>39073</v>
      </c>
      <c r="C143" s="221" t="s">
        <v>394</v>
      </c>
      <c r="D143" s="101">
        <v>29354</v>
      </c>
      <c r="E143" s="221" t="s">
        <v>211</v>
      </c>
      <c r="F143" s="221">
        <v>2006</v>
      </c>
    </row>
    <row r="144" spans="2:6">
      <c r="B144" s="254">
        <v>38894</v>
      </c>
      <c r="C144" s="221" t="s">
        <v>395</v>
      </c>
      <c r="D144" s="101">
        <v>21811</v>
      </c>
      <c r="E144" s="221" t="s">
        <v>212</v>
      </c>
      <c r="F144" s="221">
        <v>2006</v>
      </c>
    </row>
    <row r="145" spans="2:6">
      <c r="B145" s="254">
        <v>39388</v>
      </c>
      <c r="C145" s="221" t="s">
        <v>398</v>
      </c>
      <c r="D145" s="101">
        <v>22862</v>
      </c>
      <c r="E145" s="221" t="s">
        <v>211</v>
      </c>
      <c r="F145" s="221">
        <v>2007</v>
      </c>
    </row>
    <row r="146" spans="2:6">
      <c r="B146" s="254">
        <v>38911</v>
      </c>
      <c r="C146" s="221" t="s">
        <v>398</v>
      </c>
      <c r="D146" s="101">
        <v>22050</v>
      </c>
      <c r="E146" s="221" t="s">
        <v>213</v>
      </c>
      <c r="F146" s="221">
        <v>2006</v>
      </c>
    </row>
    <row r="147" spans="2:6">
      <c r="B147" s="254">
        <v>39176</v>
      </c>
      <c r="C147" s="221" t="s">
        <v>396</v>
      </c>
      <c r="D147" s="101">
        <v>32437</v>
      </c>
      <c r="E147" s="221" t="s">
        <v>211</v>
      </c>
      <c r="F147" s="221">
        <v>2007</v>
      </c>
    </row>
    <row r="148" spans="2:6">
      <c r="B148" s="254">
        <v>38788</v>
      </c>
      <c r="C148" s="221" t="s">
        <v>394</v>
      </c>
      <c r="D148" s="101">
        <v>25298</v>
      </c>
      <c r="E148" s="221" t="s">
        <v>210</v>
      </c>
      <c r="F148" s="221">
        <v>2006</v>
      </c>
    </row>
    <row r="149" spans="2:6">
      <c r="B149" s="254">
        <v>38782</v>
      </c>
      <c r="C149" s="221" t="s">
        <v>394</v>
      </c>
      <c r="D149" s="101">
        <v>38701</v>
      </c>
      <c r="E149" s="221" t="s">
        <v>210</v>
      </c>
      <c r="F149" s="221">
        <v>2006</v>
      </c>
    </row>
    <row r="150" spans="2:6">
      <c r="B150" s="254">
        <v>38769</v>
      </c>
      <c r="C150" s="221" t="s">
        <v>396</v>
      </c>
      <c r="D150" s="101">
        <v>10113</v>
      </c>
      <c r="E150" s="221" t="s">
        <v>211</v>
      </c>
      <c r="F150" s="221">
        <v>2006</v>
      </c>
    </row>
    <row r="151" spans="2:6">
      <c r="B151" s="254">
        <v>39070</v>
      </c>
      <c r="C151" s="221" t="s">
        <v>396</v>
      </c>
      <c r="D151" s="101">
        <v>12999</v>
      </c>
      <c r="E151" s="221" t="s">
        <v>212</v>
      </c>
      <c r="F151" s="221">
        <v>2006</v>
      </c>
    </row>
    <row r="152" spans="2:6">
      <c r="B152" s="254">
        <v>39348</v>
      </c>
      <c r="C152" s="221" t="s">
        <v>398</v>
      </c>
      <c r="D152" s="101">
        <v>26222</v>
      </c>
      <c r="E152" s="221" t="s">
        <v>210</v>
      </c>
      <c r="F152" s="221">
        <v>2007</v>
      </c>
    </row>
    <row r="153" spans="2:6">
      <c r="B153" s="254">
        <v>39167</v>
      </c>
      <c r="C153" s="221" t="s">
        <v>395</v>
      </c>
      <c r="D153" s="101">
        <v>35661</v>
      </c>
      <c r="E153" s="221" t="s">
        <v>211</v>
      </c>
      <c r="F153" s="221">
        <v>2007</v>
      </c>
    </row>
    <row r="154" spans="2:6">
      <c r="B154" s="254">
        <v>39037</v>
      </c>
      <c r="C154" s="221" t="s">
        <v>396</v>
      </c>
      <c r="D154" s="101">
        <v>35002</v>
      </c>
      <c r="E154" s="221" t="s">
        <v>210</v>
      </c>
      <c r="F154" s="221">
        <v>2006</v>
      </c>
    </row>
    <row r="155" spans="2:6">
      <c r="B155" s="254">
        <v>39387</v>
      </c>
      <c r="C155" s="221" t="s">
        <v>395</v>
      </c>
      <c r="D155" s="101">
        <v>17237</v>
      </c>
      <c r="E155" s="221" t="s">
        <v>213</v>
      </c>
      <c r="F155" s="221">
        <v>2007</v>
      </c>
    </row>
    <row r="156" spans="2:6">
      <c r="B156" s="254">
        <v>38935</v>
      </c>
      <c r="C156" s="221" t="s">
        <v>395</v>
      </c>
      <c r="D156" s="101">
        <v>16097</v>
      </c>
      <c r="E156" s="221" t="s">
        <v>211</v>
      </c>
      <c r="F156" s="221">
        <v>2006</v>
      </c>
    </row>
    <row r="157" spans="2:6">
      <c r="B157" s="254">
        <v>38927</v>
      </c>
      <c r="C157" s="221" t="s">
        <v>394</v>
      </c>
      <c r="D157" s="101">
        <v>18720</v>
      </c>
      <c r="E157" s="221" t="s">
        <v>211</v>
      </c>
      <c r="F157" s="221">
        <v>2006</v>
      </c>
    </row>
    <row r="158" spans="2:6">
      <c r="B158" s="254">
        <v>39408</v>
      </c>
      <c r="C158" s="221" t="s">
        <v>398</v>
      </c>
      <c r="D158" s="101">
        <v>9159</v>
      </c>
      <c r="E158" s="221" t="s">
        <v>210</v>
      </c>
      <c r="F158" s="221">
        <v>2007</v>
      </c>
    </row>
    <row r="159" spans="2:6">
      <c r="B159" s="254">
        <v>38920</v>
      </c>
      <c r="C159" s="221" t="s">
        <v>394</v>
      </c>
      <c r="D159" s="101">
        <v>8361</v>
      </c>
      <c r="E159" s="221" t="s">
        <v>210</v>
      </c>
      <c r="F159" s="221">
        <v>2006</v>
      </c>
    </row>
    <row r="160" spans="2:6">
      <c r="B160" s="254">
        <v>39132</v>
      </c>
      <c r="C160" s="221" t="s">
        <v>395</v>
      </c>
      <c r="D160" s="101">
        <v>33346</v>
      </c>
      <c r="E160" s="221" t="s">
        <v>213</v>
      </c>
      <c r="F160" s="221">
        <v>2007</v>
      </c>
    </row>
    <row r="161" spans="2:6">
      <c r="B161" s="254">
        <v>39485</v>
      </c>
      <c r="C161" s="221" t="s">
        <v>395</v>
      </c>
      <c r="D161" s="101">
        <v>38569</v>
      </c>
      <c r="E161" s="221" t="s">
        <v>213</v>
      </c>
      <c r="F161" s="221">
        <v>2008</v>
      </c>
    </row>
    <row r="162" spans="2:6">
      <c r="B162" s="254">
        <v>38801</v>
      </c>
      <c r="C162" s="221" t="s">
        <v>395</v>
      </c>
      <c r="D162" s="101">
        <v>5348</v>
      </c>
      <c r="E162" s="221" t="s">
        <v>211</v>
      </c>
      <c r="F162" s="221">
        <v>2006</v>
      </c>
    </row>
    <row r="163" spans="2:6">
      <c r="B163" s="254">
        <v>39190</v>
      </c>
      <c r="C163" s="221" t="s">
        <v>398</v>
      </c>
      <c r="D163" s="101">
        <v>13257</v>
      </c>
      <c r="E163" s="221" t="s">
        <v>212</v>
      </c>
      <c r="F163" s="221">
        <v>2007</v>
      </c>
    </row>
    <row r="164" spans="2:6">
      <c r="B164" s="254">
        <v>39164</v>
      </c>
      <c r="C164" s="221" t="s">
        <v>395</v>
      </c>
      <c r="D164" s="101">
        <v>5942</v>
      </c>
      <c r="E164" s="221" t="s">
        <v>212</v>
      </c>
      <c r="F164" s="221">
        <v>2007</v>
      </c>
    </row>
    <row r="165" spans="2:6">
      <c r="B165" s="254">
        <v>39050</v>
      </c>
      <c r="C165" s="221" t="s">
        <v>395</v>
      </c>
      <c r="D165" s="101">
        <v>13305</v>
      </c>
      <c r="E165" s="221" t="s">
        <v>210</v>
      </c>
      <c r="F165" s="221">
        <v>2006</v>
      </c>
    </row>
    <row r="166" spans="2:6">
      <c r="B166" s="254">
        <v>39569</v>
      </c>
      <c r="C166" s="221" t="s">
        <v>394</v>
      </c>
      <c r="D166" s="101">
        <v>24796</v>
      </c>
      <c r="E166" s="221" t="s">
        <v>213</v>
      </c>
      <c r="F166" s="221">
        <v>2008</v>
      </c>
    </row>
    <row r="167" spans="2:6">
      <c r="B167" s="254">
        <v>39395</v>
      </c>
      <c r="C167" s="221" t="s">
        <v>398</v>
      </c>
      <c r="D167" s="101">
        <v>35707</v>
      </c>
      <c r="E167" s="221" t="s">
        <v>213</v>
      </c>
      <c r="F167" s="221">
        <v>2007</v>
      </c>
    </row>
    <row r="168" spans="2:6">
      <c r="B168" s="254">
        <v>39057</v>
      </c>
      <c r="C168" s="221" t="s">
        <v>395</v>
      </c>
      <c r="D168" s="101">
        <v>28302</v>
      </c>
      <c r="E168" s="221" t="s">
        <v>210</v>
      </c>
      <c r="F168" s="221">
        <v>2006</v>
      </c>
    </row>
    <row r="169" spans="2:6">
      <c r="B169" s="254">
        <v>39607</v>
      </c>
      <c r="C169" s="221" t="s">
        <v>395</v>
      </c>
      <c r="D169" s="101">
        <v>20406</v>
      </c>
      <c r="E169" s="221" t="s">
        <v>210</v>
      </c>
      <c r="F169" s="221">
        <v>2008</v>
      </c>
    </row>
    <row r="170" spans="2:6">
      <c r="B170" s="254">
        <v>39484</v>
      </c>
      <c r="C170" s="221" t="s">
        <v>396</v>
      </c>
      <c r="D170" s="101">
        <v>17204</v>
      </c>
      <c r="E170" s="221" t="s">
        <v>212</v>
      </c>
      <c r="F170" s="221">
        <v>2008</v>
      </c>
    </row>
    <row r="171" spans="2:6">
      <c r="B171" s="254">
        <v>38789</v>
      </c>
      <c r="C171" s="221" t="s">
        <v>394</v>
      </c>
      <c r="D171" s="101">
        <v>39381</v>
      </c>
      <c r="E171" s="221" t="s">
        <v>210</v>
      </c>
      <c r="F171" s="221">
        <v>2006</v>
      </c>
    </row>
    <row r="172" spans="2:6">
      <c r="B172" s="254">
        <v>39460</v>
      </c>
      <c r="C172" s="221" t="s">
        <v>398</v>
      </c>
      <c r="D172" s="101">
        <v>5610</v>
      </c>
      <c r="E172" s="221" t="s">
        <v>212</v>
      </c>
      <c r="F172" s="221">
        <v>2008</v>
      </c>
    </row>
    <row r="173" spans="2:6">
      <c r="B173" s="254">
        <v>38966</v>
      </c>
      <c r="C173" s="221" t="s">
        <v>395</v>
      </c>
      <c r="D173" s="101">
        <v>8021</v>
      </c>
      <c r="E173" s="221" t="s">
        <v>213</v>
      </c>
      <c r="F173" s="221">
        <v>2006</v>
      </c>
    </row>
    <row r="174" spans="2:6">
      <c r="B174" s="254">
        <v>39225</v>
      </c>
      <c r="C174" s="221" t="s">
        <v>394</v>
      </c>
      <c r="D174" s="101">
        <v>8808</v>
      </c>
      <c r="E174" s="221" t="s">
        <v>210</v>
      </c>
      <c r="F174" s="221">
        <v>2007</v>
      </c>
    </row>
    <row r="175" spans="2:6">
      <c r="B175" s="254">
        <v>38956</v>
      </c>
      <c r="C175" s="221" t="s">
        <v>398</v>
      </c>
      <c r="D175" s="101">
        <v>36172</v>
      </c>
      <c r="E175" s="221" t="s">
        <v>212</v>
      </c>
      <c r="F175" s="221">
        <v>2006</v>
      </c>
    </row>
    <row r="176" spans="2:6">
      <c r="B176" s="254">
        <v>38862</v>
      </c>
      <c r="C176" s="221" t="s">
        <v>395</v>
      </c>
      <c r="D176" s="101">
        <v>25061</v>
      </c>
      <c r="E176" s="221" t="s">
        <v>212</v>
      </c>
      <c r="F176" s="221">
        <v>2006</v>
      </c>
    </row>
    <row r="177" spans="2:6">
      <c r="B177" s="254">
        <v>38868</v>
      </c>
      <c r="C177" s="221" t="s">
        <v>398</v>
      </c>
      <c r="D177" s="101">
        <v>34496</v>
      </c>
      <c r="E177" s="221" t="s">
        <v>212</v>
      </c>
      <c r="F177" s="221">
        <v>2006</v>
      </c>
    </row>
    <row r="178" spans="2:6">
      <c r="B178" s="254">
        <v>38915</v>
      </c>
      <c r="C178" s="221" t="s">
        <v>395</v>
      </c>
      <c r="D178" s="101">
        <v>8685</v>
      </c>
      <c r="E178" s="221" t="s">
        <v>213</v>
      </c>
      <c r="F178" s="221">
        <v>2006</v>
      </c>
    </row>
    <row r="179" spans="2:6">
      <c r="B179" s="254">
        <v>38916</v>
      </c>
      <c r="C179" s="221" t="s">
        <v>398</v>
      </c>
      <c r="D179" s="101">
        <v>27432</v>
      </c>
      <c r="E179" s="221" t="s">
        <v>210</v>
      </c>
      <c r="F179" s="221">
        <v>2006</v>
      </c>
    </row>
    <row r="180" spans="2:6">
      <c r="B180" s="254">
        <v>39247</v>
      </c>
      <c r="C180" s="221" t="s">
        <v>394</v>
      </c>
      <c r="D180" s="101">
        <v>26531</v>
      </c>
      <c r="E180" s="221" t="s">
        <v>210</v>
      </c>
      <c r="F180" s="221">
        <v>2007</v>
      </c>
    </row>
    <row r="181" spans="2:6">
      <c r="B181" s="254">
        <v>39278</v>
      </c>
      <c r="C181" s="221" t="s">
        <v>395</v>
      </c>
      <c r="D181" s="101">
        <v>8330</v>
      </c>
      <c r="E181" s="221" t="s">
        <v>211</v>
      </c>
      <c r="F181" s="221">
        <v>2007</v>
      </c>
    </row>
    <row r="182" spans="2:6">
      <c r="B182" s="254">
        <v>39081</v>
      </c>
      <c r="C182" s="221" t="s">
        <v>395</v>
      </c>
      <c r="D182" s="101">
        <v>26194</v>
      </c>
      <c r="E182" s="221" t="s">
        <v>213</v>
      </c>
      <c r="F182" s="221">
        <v>2006</v>
      </c>
    </row>
    <row r="183" spans="2:6">
      <c r="B183" s="254">
        <v>39371</v>
      </c>
      <c r="C183" s="221" t="s">
        <v>394</v>
      </c>
      <c r="D183" s="101">
        <v>36140</v>
      </c>
      <c r="E183" s="221" t="s">
        <v>211</v>
      </c>
      <c r="F183" s="221">
        <v>2007</v>
      </c>
    </row>
    <row r="184" spans="2:6">
      <c r="B184" s="254">
        <v>39090</v>
      </c>
      <c r="C184" s="221" t="s">
        <v>396</v>
      </c>
      <c r="D184" s="101">
        <v>30306</v>
      </c>
      <c r="E184" s="221" t="s">
        <v>210</v>
      </c>
      <c r="F184" s="221">
        <v>2007</v>
      </c>
    </row>
    <row r="185" spans="2:6">
      <c r="B185" s="254">
        <v>39432</v>
      </c>
      <c r="C185" s="221" t="s">
        <v>396</v>
      </c>
      <c r="D185" s="101">
        <v>30059</v>
      </c>
      <c r="E185" s="221" t="s">
        <v>210</v>
      </c>
      <c r="F185" s="221">
        <v>2007</v>
      </c>
    </row>
    <row r="186" spans="2:6">
      <c r="B186" s="254">
        <v>39498</v>
      </c>
      <c r="C186" s="221" t="s">
        <v>398</v>
      </c>
      <c r="D186" s="101">
        <v>14673</v>
      </c>
      <c r="E186" s="221" t="s">
        <v>212</v>
      </c>
      <c r="F186" s="221">
        <v>2008</v>
      </c>
    </row>
    <row r="187" spans="2:6">
      <c r="B187" s="254">
        <v>39053</v>
      </c>
      <c r="C187" s="221" t="s">
        <v>398</v>
      </c>
      <c r="D187" s="101">
        <v>14709</v>
      </c>
      <c r="E187" s="221" t="s">
        <v>211</v>
      </c>
      <c r="F187" s="221">
        <v>2006</v>
      </c>
    </row>
    <row r="188" spans="2:6">
      <c r="B188" s="254">
        <v>38979</v>
      </c>
      <c r="C188" s="221" t="s">
        <v>396</v>
      </c>
      <c r="D188" s="101">
        <v>6853</v>
      </c>
      <c r="E188" s="221" t="s">
        <v>211</v>
      </c>
      <c r="F188" s="221">
        <v>2006</v>
      </c>
    </row>
    <row r="189" spans="2:6">
      <c r="B189" s="254">
        <v>38826</v>
      </c>
      <c r="C189" s="221" t="s">
        <v>396</v>
      </c>
      <c r="D189" s="101">
        <v>28214</v>
      </c>
      <c r="E189" s="221" t="s">
        <v>210</v>
      </c>
      <c r="F189" s="221">
        <v>2006</v>
      </c>
    </row>
    <row r="190" spans="2:6">
      <c r="B190" s="254">
        <v>38798</v>
      </c>
      <c r="C190" s="221" t="s">
        <v>394</v>
      </c>
      <c r="D190" s="101">
        <v>6693</v>
      </c>
      <c r="E190" s="221" t="s">
        <v>210</v>
      </c>
      <c r="F190" s="221">
        <v>2006</v>
      </c>
    </row>
    <row r="191" spans="2:6">
      <c r="B191" s="254">
        <v>39584</v>
      </c>
      <c r="C191" s="221" t="s">
        <v>396</v>
      </c>
      <c r="D191" s="101">
        <v>6646</v>
      </c>
      <c r="E191" s="221" t="s">
        <v>211</v>
      </c>
      <c r="F191" s="221">
        <v>2008</v>
      </c>
    </row>
    <row r="192" spans="2:6">
      <c r="B192" s="254">
        <v>39414</v>
      </c>
      <c r="C192" s="221" t="s">
        <v>396</v>
      </c>
      <c r="D192" s="101">
        <v>10742</v>
      </c>
      <c r="E192" s="221" t="s">
        <v>212</v>
      </c>
      <c r="F192" s="221">
        <v>2007</v>
      </c>
    </row>
    <row r="193" spans="2:6">
      <c r="B193" s="254">
        <v>39355</v>
      </c>
      <c r="C193" s="221" t="s">
        <v>394</v>
      </c>
      <c r="D193" s="101">
        <v>14218</v>
      </c>
      <c r="E193" s="221" t="s">
        <v>210</v>
      </c>
      <c r="F193" s="221">
        <v>2007</v>
      </c>
    </row>
    <row r="194" spans="2:6">
      <c r="B194" s="254">
        <v>38719</v>
      </c>
      <c r="C194" s="221" t="s">
        <v>394</v>
      </c>
      <c r="D194" s="101">
        <v>9593</v>
      </c>
      <c r="E194" s="221" t="s">
        <v>211</v>
      </c>
      <c r="F194" s="221">
        <v>2006</v>
      </c>
    </row>
    <row r="195" spans="2:6">
      <c r="B195" s="254">
        <v>39186</v>
      </c>
      <c r="C195" s="221" t="s">
        <v>394</v>
      </c>
      <c r="D195" s="101">
        <v>10862</v>
      </c>
      <c r="E195" s="221" t="s">
        <v>213</v>
      </c>
      <c r="F195" s="221">
        <v>2007</v>
      </c>
    </row>
    <row r="196" spans="2:6">
      <c r="B196" s="254">
        <v>39172</v>
      </c>
      <c r="C196" s="221" t="s">
        <v>398</v>
      </c>
      <c r="D196" s="101">
        <v>6669</v>
      </c>
      <c r="E196" s="221" t="s">
        <v>213</v>
      </c>
      <c r="F196" s="221">
        <v>2007</v>
      </c>
    </row>
    <row r="197" spans="2:6">
      <c r="B197" s="254">
        <v>39591</v>
      </c>
      <c r="C197" s="221" t="s">
        <v>395</v>
      </c>
      <c r="D197" s="101">
        <v>8595</v>
      </c>
      <c r="E197" s="221" t="s">
        <v>213</v>
      </c>
      <c r="F197" s="221">
        <v>2008</v>
      </c>
    </row>
    <row r="198" spans="2:6">
      <c r="B198" s="254">
        <v>39427</v>
      </c>
      <c r="C198" s="221" t="s">
        <v>394</v>
      </c>
      <c r="D198" s="101">
        <v>15990</v>
      </c>
      <c r="E198" s="221" t="s">
        <v>213</v>
      </c>
      <c r="F198" s="221">
        <v>2007</v>
      </c>
    </row>
    <row r="199" spans="2:6">
      <c r="B199" s="254">
        <v>38771</v>
      </c>
      <c r="C199" s="221" t="s">
        <v>398</v>
      </c>
      <c r="D199" s="101">
        <v>38653</v>
      </c>
      <c r="E199" s="221" t="s">
        <v>211</v>
      </c>
      <c r="F199" s="221">
        <v>2006</v>
      </c>
    </row>
    <row r="200" spans="2:6">
      <c r="B200" s="254">
        <v>38973</v>
      </c>
      <c r="C200" s="221" t="s">
        <v>395</v>
      </c>
      <c r="D200" s="101">
        <v>36391</v>
      </c>
      <c r="E200" s="221" t="s">
        <v>213</v>
      </c>
      <c r="F200" s="221">
        <v>2006</v>
      </c>
    </row>
    <row r="201" spans="2:6">
      <c r="B201" s="254">
        <v>39128</v>
      </c>
      <c r="C201" s="221" t="s">
        <v>395</v>
      </c>
      <c r="D201" s="101">
        <v>38682</v>
      </c>
      <c r="E201" s="221" t="s">
        <v>210</v>
      </c>
      <c r="F201" s="221">
        <v>2007</v>
      </c>
    </row>
    <row r="202" spans="2:6">
      <c r="B202" s="254">
        <v>39393</v>
      </c>
      <c r="C202" s="221" t="s">
        <v>398</v>
      </c>
      <c r="D202" s="101">
        <v>26495</v>
      </c>
      <c r="E202" s="221" t="s">
        <v>212</v>
      </c>
      <c r="F202" s="221">
        <v>2007</v>
      </c>
    </row>
    <row r="203" spans="2:6">
      <c r="B203" s="254">
        <v>38981</v>
      </c>
      <c r="C203" s="221" t="s">
        <v>398</v>
      </c>
      <c r="D203" s="101">
        <v>36791</v>
      </c>
      <c r="E203" s="221" t="s">
        <v>210</v>
      </c>
      <c r="F203" s="221">
        <v>2006</v>
      </c>
    </row>
    <row r="204" spans="2:6">
      <c r="B204" s="254">
        <v>39056</v>
      </c>
      <c r="C204" s="221" t="s">
        <v>394</v>
      </c>
      <c r="D204" s="101">
        <v>33999</v>
      </c>
      <c r="E204" s="221" t="s">
        <v>211</v>
      </c>
      <c r="F204" s="221">
        <v>2006</v>
      </c>
    </row>
    <row r="205" spans="2:6">
      <c r="B205" s="254">
        <v>38759</v>
      </c>
      <c r="C205" s="221" t="s">
        <v>398</v>
      </c>
      <c r="D205" s="101">
        <v>7739</v>
      </c>
      <c r="E205" s="221" t="s">
        <v>212</v>
      </c>
      <c r="F205" s="221">
        <v>2006</v>
      </c>
    </row>
    <row r="206" spans="2:6">
      <c r="B206" s="254">
        <v>39561</v>
      </c>
      <c r="C206" s="221" t="s">
        <v>396</v>
      </c>
      <c r="D206" s="101">
        <v>6412</v>
      </c>
      <c r="E206" s="221" t="s">
        <v>211</v>
      </c>
      <c r="F206" s="221">
        <v>2008</v>
      </c>
    </row>
    <row r="207" spans="2:6">
      <c r="B207" s="254">
        <v>39268</v>
      </c>
      <c r="C207" s="221" t="s">
        <v>395</v>
      </c>
      <c r="D207" s="101">
        <v>32893</v>
      </c>
      <c r="E207" s="221" t="s">
        <v>212</v>
      </c>
      <c r="F207" s="221">
        <v>2007</v>
      </c>
    </row>
    <row r="208" spans="2:6">
      <c r="B208" s="254">
        <v>39267</v>
      </c>
      <c r="C208" s="221" t="s">
        <v>398</v>
      </c>
      <c r="D208" s="101">
        <v>5755</v>
      </c>
      <c r="E208" s="221" t="s">
        <v>213</v>
      </c>
      <c r="F208" s="221">
        <v>2007</v>
      </c>
    </row>
    <row r="209" spans="2:6">
      <c r="B209" s="254">
        <v>39398</v>
      </c>
      <c r="C209" s="221" t="s">
        <v>395</v>
      </c>
      <c r="D209" s="101">
        <v>39019</v>
      </c>
      <c r="E209" s="221" t="s">
        <v>213</v>
      </c>
      <c r="F209" s="221">
        <v>2007</v>
      </c>
    </row>
    <row r="210" spans="2:6">
      <c r="B210" s="254">
        <v>38816</v>
      </c>
      <c r="C210" s="221" t="s">
        <v>398</v>
      </c>
      <c r="D210" s="101">
        <v>28987</v>
      </c>
      <c r="E210" s="221" t="s">
        <v>211</v>
      </c>
      <c r="F210" s="221">
        <v>2006</v>
      </c>
    </row>
    <row r="211" spans="2:6">
      <c r="B211" s="254">
        <v>39566</v>
      </c>
      <c r="C211" s="221" t="s">
        <v>394</v>
      </c>
      <c r="D211" s="101">
        <v>33089</v>
      </c>
      <c r="E211" s="221" t="s">
        <v>213</v>
      </c>
      <c r="F211" s="221">
        <v>2008</v>
      </c>
    </row>
    <row r="212" spans="2:6">
      <c r="B212" s="254">
        <v>39304</v>
      </c>
      <c r="C212" s="221" t="s">
        <v>394</v>
      </c>
      <c r="D212" s="101">
        <v>35314</v>
      </c>
      <c r="E212" s="221" t="s">
        <v>211</v>
      </c>
      <c r="F212" s="221">
        <v>2007</v>
      </c>
    </row>
    <row r="213" spans="2:6">
      <c r="B213" s="254">
        <v>39599</v>
      </c>
      <c r="C213" s="221" t="s">
        <v>396</v>
      </c>
      <c r="D213" s="101">
        <v>35800</v>
      </c>
      <c r="E213" s="221" t="s">
        <v>210</v>
      </c>
      <c r="F213" s="221">
        <v>2008</v>
      </c>
    </row>
    <row r="214" spans="2:6">
      <c r="B214" s="254">
        <v>38834</v>
      </c>
      <c r="C214" s="221" t="s">
        <v>398</v>
      </c>
      <c r="D214" s="101">
        <v>28396</v>
      </c>
      <c r="E214" s="221" t="s">
        <v>211</v>
      </c>
      <c r="F214" s="221">
        <v>2006</v>
      </c>
    </row>
    <row r="215" spans="2:6">
      <c r="B215" s="254">
        <v>38990</v>
      </c>
      <c r="C215" s="221" t="s">
        <v>395</v>
      </c>
      <c r="D215" s="101">
        <v>6076</v>
      </c>
      <c r="E215" s="221" t="s">
        <v>210</v>
      </c>
      <c r="F215" s="221">
        <v>2006</v>
      </c>
    </row>
    <row r="216" spans="2:6">
      <c r="B216" s="254">
        <v>38897</v>
      </c>
      <c r="C216" s="221" t="s">
        <v>394</v>
      </c>
      <c r="D216" s="101">
        <v>10305</v>
      </c>
      <c r="E216" s="221" t="s">
        <v>212</v>
      </c>
      <c r="F216" s="221">
        <v>2006</v>
      </c>
    </row>
    <row r="217" spans="2:6">
      <c r="B217" s="254">
        <v>39178</v>
      </c>
      <c r="C217" s="221" t="s">
        <v>398</v>
      </c>
      <c r="D217" s="101">
        <v>14988</v>
      </c>
      <c r="E217" s="221" t="s">
        <v>211</v>
      </c>
      <c r="F217" s="221">
        <v>2007</v>
      </c>
    </row>
    <row r="218" spans="2:6">
      <c r="B218" s="254">
        <v>39390</v>
      </c>
      <c r="C218" s="221" t="s">
        <v>394</v>
      </c>
      <c r="D218" s="101">
        <v>25010</v>
      </c>
      <c r="E218" s="221" t="s">
        <v>210</v>
      </c>
      <c r="F218" s="221">
        <v>2007</v>
      </c>
    </row>
    <row r="219" spans="2:6">
      <c r="B219" s="254">
        <v>39017</v>
      </c>
      <c r="C219" s="221" t="s">
        <v>395</v>
      </c>
      <c r="D219" s="101">
        <v>31233</v>
      </c>
      <c r="E219" s="221" t="s">
        <v>212</v>
      </c>
      <c r="F219" s="221">
        <v>2006</v>
      </c>
    </row>
    <row r="220" spans="2:6">
      <c r="B220" s="254">
        <v>39493</v>
      </c>
      <c r="C220" s="221" t="s">
        <v>394</v>
      </c>
      <c r="D220" s="101">
        <v>21995</v>
      </c>
      <c r="E220" s="221" t="s">
        <v>213</v>
      </c>
      <c r="F220" s="221">
        <v>2008</v>
      </c>
    </row>
    <row r="221" spans="2:6">
      <c r="B221" s="254">
        <v>39615</v>
      </c>
      <c r="C221" s="221" t="s">
        <v>395</v>
      </c>
      <c r="D221" s="101">
        <v>19542</v>
      </c>
      <c r="E221" s="221" t="s">
        <v>213</v>
      </c>
      <c r="F221" s="221">
        <v>2008</v>
      </c>
    </row>
    <row r="222" spans="2:6">
      <c r="B222" s="254">
        <v>39509</v>
      </c>
      <c r="C222" s="221" t="s">
        <v>395</v>
      </c>
      <c r="D222" s="101">
        <v>39369</v>
      </c>
      <c r="E222" s="221" t="s">
        <v>210</v>
      </c>
      <c r="F222" s="221">
        <v>2008</v>
      </c>
    </row>
    <row r="223" spans="2:6">
      <c r="B223" s="254">
        <v>38912</v>
      </c>
      <c r="C223" s="221" t="s">
        <v>395</v>
      </c>
      <c r="D223" s="101">
        <v>37326</v>
      </c>
      <c r="E223" s="221" t="s">
        <v>212</v>
      </c>
      <c r="F223" s="221">
        <v>2006</v>
      </c>
    </row>
    <row r="224" spans="2:6">
      <c r="B224" s="254">
        <v>39377</v>
      </c>
      <c r="C224" s="221" t="s">
        <v>398</v>
      </c>
      <c r="D224" s="101">
        <v>26164</v>
      </c>
      <c r="E224" s="221" t="s">
        <v>212</v>
      </c>
      <c r="F224" s="221">
        <v>2007</v>
      </c>
    </row>
    <row r="225" spans="2:6">
      <c r="B225" s="254">
        <v>39263</v>
      </c>
      <c r="C225" s="221" t="s">
        <v>396</v>
      </c>
      <c r="D225" s="101">
        <v>10156</v>
      </c>
      <c r="E225" s="221" t="s">
        <v>211</v>
      </c>
      <c r="F225" s="221">
        <v>2007</v>
      </c>
    </row>
    <row r="226" spans="2:6">
      <c r="B226" s="254">
        <v>38744</v>
      </c>
      <c r="C226" s="221" t="s">
        <v>394</v>
      </c>
      <c r="D226" s="101">
        <v>32023</v>
      </c>
      <c r="E226" s="221" t="s">
        <v>211</v>
      </c>
      <c r="F226" s="221">
        <v>2006</v>
      </c>
    </row>
    <row r="227" spans="2:6">
      <c r="B227" s="254">
        <v>39270</v>
      </c>
      <c r="C227" s="221" t="s">
        <v>395</v>
      </c>
      <c r="D227" s="101">
        <v>28877</v>
      </c>
      <c r="E227" s="221" t="s">
        <v>212</v>
      </c>
      <c r="F227" s="221">
        <v>2007</v>
      </c>
    </row>
    <row r="228" spans="2:6">
      <c r="B228" s="254">
        <v>38852</v>
      </c>
      <c r="C228" s="221" t="s">
        <v>396</v>
      </c>
      <c r="D228" s="101">
        <v>20439</v>
      </c>
      <c r="E228" s="221" t="s">
        <v>212</v>
      </c>
      <c r="F228" s="221">
        <v>2006</v>
      </c>
    </row>
    <row r="229" spans="2:6">
      <c r="B229" s="254">
        <v>38724</v>
      </c>
      <c r="C229" s="221" t="s">
        <v>394</v>
      </c>
      <c r="D229" s="101">
        <v>17651</v>
      </c>
      <c r="E229" s="221" t="s">
        <v>210</v>
      </c>
      <c r="F229" s="221">
        <v>2006</v>
      </c>
    </row>
    <row r="230" spans="2:6">
      <c r="B230" s="254">
        <v>38848</v>
      </c>
      <c r="C230" s="221" t="s">
        <v>398</v>
      </c>
      <c r="D230" s="101">
        <v>29136</v>
      </c>
      <c r="E230" s="221" t="s">
        <v>211</v>
      </c>
      <c r="F230" s="221">
        <v>2006</v>
      </c>
    </row>
    <row r="231" spans="2:6">
      <c r="B231" s="254">
        <v>39130</v>
      </c>
      <c r="C231" s="221" t="s">
        <v>398</v>
      </c>
      <c r="D231" s="101">
        <v>19689</v>
      </c>
      <c r="E231" s="221" t="s">
        <v>210</v>
      </c>
      <c r="F231" s="221">
        <v>2007</v>
      </c>
    </row>
    <row r="232" spans="2:6">
      <c r="B232" s="254">
        <v>39206</v>
      </c>
      <c r="C232" s="221" t="s">
        <v>398</v>
      </c>
      <c r="D232" s="101">
        <v>15232</v>
      </c>
      <c r="E232" s="221" t="s">
        <v>210</v>
      </c>
      <c r="F232" s="221">
        <v>2007</v>
      </c>
    </row>
    <row r="233" spans="2:6">
      <c r="B233" s="254">
        <v>39113</v>
      </c>
      <c r="C233" s="221" t="s">
        <v>395</v>
      </c>
      <c r="D233" s="101">
        <v>30662</v>
      </c>
      <c r="E233" s="221" t="s">
        <v>211</v>
      </c>
      <c r="F233" s="221">
        <v>2007</v>
      </c>
    </row>
    <row r="234" spans="2:6">
      <c r="B234" s="254">
        <v>39039</v>
      </c>
      <c r="C234" s="221" t="s">
        <v>396</v>
      </c>
      <c r="D234" s="101">
        <v>19993</v>
      </c>
      <c r="E234" s="221" t="s">
        <v>213</v>
      </c>
      <c r="F234" s="221">
        <v>2006</v>
      </c>
    </row>
    <row r="235" spans="2:6">
      <c r="B235" s="254">
        <v>39405</v>
      </c>
      <c r="C235" s="221" t="s">
        <v>394</v>
      </c>
      <c r="D235" s="101">
        <v>31460</v>
      </c>
      <c r="E235" s="221" t="s">
        <v>211</v>
      </c>
      <c r="F235" s="221">
        <v>2007</v>
      </c>
    </row>
    <row r="236" spans="2:6">
      <c r="B236" s="254">
        <v>39237</v>
      </c>
      <c r="C236" s="221" t="s">
        <v>394</v>
      </c>
      <c r="D236" s="101">
        <v>31942</v>
      </c>
      <c r="E236" s="221" t="s">
        <v>211</v>
      </c>
      <c r="F236" s="221">
        <v>2007</v>
      </c>
    </row>
    <row r="237" spans="2:6">
      <c r="B237" s="254">
        <v>39135</v>
      </c>
      <c r="C237" s="221" t="s">
        <v>395</v>
      </c>
      <c r="D237" s="101">
        <v>8560</v>
      </c>
      <c r="E237" s="221" t="s">
        <v>212</v>
      </c>
      <c r="F237" s="221">
        <v>2007</v>
      </c>
    </row>
    <row r="238" spans="2:6">
      <c r="B238" s="254">
        <v>39176</v>
      </c>
      <c r="C238" s="221" t="s">
        <v>398</v>
      </c>
      <c r="D238" s="101">
        <v>21962</v>
      </c>
      <c r="E238" s="221" t="s">
        <v>212</v>
      </c>
      <c r="F238" s="221">
        <v>2007</v>
      </c>
    </row>
    <row r="239" spans="2:6">
      <c r="B239" s="254">
        <v>39530</v>
      </c>
      <c r="C239" s="221" t="s">
        <v>396</v>
      </c>
      <c r="D239" s="101">
        <v>24365</v>
      </c>
      <c r="E239" s="221" t="s">
        <v>212</v>
      </c>
      <c r="F239" s="221">
        <v>2008</v>
      </c>
    </row>
    <row r="240" spans="2:6">
      <c r="B240" s="254">
        <v>39304</v>
      </c>
      <c r="C240" s="221" t="s">
        <v>396</v>
      </c>
      <c r="D240" s="101">
        <v>6825</v>
      </c>
      <c r="E240" s="221" t="s">
        <v>212</v>
      </c>
      <c r="F240" s="221">
        <v>2007</v>
      </c>
    </row>
    <row r="241" spans="2:6">
      <c r="B241" s="254">
        <v>39387</v>
      </c>
      <c r="C241" s="221" t="s">
        <v>396</v>
      </c>
      <c r="D241" s="101">
        <v>13496</v>
      </c>
      <c r="E241" s="221" t="s">
        <v>210</v>
      </c>
      <c r="F241" s="221">
        <v>2007</v>
      </c>
    </row>
    <row r="242" spans="2:6">
      <c r="B242" s="254">
        <v>38767</v>
      </c>
      <c r="C242" s="221" t="s">
        <v>394</v>
      </c>
      <c r="D242" s="101">
        <v>5767</v>
      </c>
      <c r="E242" s="221" t="s">
        <v>211</v>
      </c>
      <c r="F242" s="221">
        <v>2006</v>
      </c>
    </row>
    <row r="243" spans="2:6">
      <c r="B243" s="254">
        <v>38971</v>
      </c>
      <c r="C243" s="221" t="s">
        <v>394</v>
      </c>
      <c r="D243" s="101">
        <v>15765</v>
      </c>
      <c r="E243" s="221" t="s">
        <v>212</v>
      </c>
      <c r="F243" s="221">
        <v>2006</v>
      </c>
    </row>
    <row r="244" spans="2:6">
      <c r="B244" s="254">
        <v>38886</v>
      </c>
      <c r="C244" s="221" t="s">
        <v>396</v>
      </c>
      <c r="D244" s="101">
        <v>27920</v>
      </c>
      <c r="E244" s="221" t="s">
        <v>210</v>
      </c>
      <c r="F244" s="221">
        <v>2006</v>
      </c>
    </row>
    <row r="245" spans="2:6">
      <c r="B245" s="254">
        <v>39413</v>
      </c>
      <c r="C245" s="221" t="s">
        <v>395</v>
      </c>
      <c r="D245" s="101">
        <v>36930</v>
      </c>
      <c r="E245" s="221" t="s">
        <v>211</v>
      </c>
      <c r="F245" s="221">
        <v>2007</v>
      </c>
    </row>
    <row r="246" spans="2:6">
      <c r="B246" s="254">
        <v>39227</v>
      </c>
      <c r="C246" s="221" t="s">
        <v>396</v>
      </c>
      <c r="D246" s="101">
        <v>35814</v>
      </c>
      <c r="E246" s="221" t="s">
        <v>211</v>
      </c>
      <c r="F246" s="221">
        <v>2007</v>
      </c>
    </row>
    <row r="247" spans="2:6">
      <c r="B247" s="254">
        <v>39365</v>
      </c>
      <c r="C247" s="221" t="s">
        <v>398</v>
      </c>
      <c r="D247" s="101">
        <v>32260</v>
      </c>
      <c r="E247" s="221" t="s">
        <v>213</v>
      </c>
      <c r="F247" s="221">
        <v>2007</v>
      </c>
    </row>
    <row r="248" spans="2:6">
      <c r="B248" s="254">
        <v>39246</v>
      </c>
      <c r="C248" s="221" t="s">
        <v>394</v>
      </c>
      <c r="D248" s="101">
        <v>37109</v>
      </c>
      <c r="E248" s="221" t="s">
        <v>210</v>
      </c>
      <c r="F248" s="221">
        <v>2007</v>
      </c>
    </row>
    <row r="249" spans="2:6">
      <c r="B249" s="254">
        <v>39421</v>
      </c>
      <c r="C249" s="221" t="s">
        <v>396</v>
      </c>
      <c r="D249" s="101">
        <v>22221</v>
      </c>
      <c r="E249" s="221" t="s">
        <v>213</v>
      </c>
      <c r="F249" s="221">
        <v>2007</v>
      </c>
    </row>
    <row r="250" spans="2:6">
      <c r="B250" s="254">
        <v>38778</v>
      </c>
      <c r="C250" s="221" t="s">
        <v>395</v>
      </c>
      <c r="D250" s="101">
        <v>16218</v>
      </c>
      <c r="E250" s="221" t="s">
        <v>212</v>
      </c>
      <c r="F250" s="221">
        <v>2006</v>
      </c>
    </row>
    <row r="251" spans="2:6">
      <c r="B251" s="254">
        <v>39523</v>
      </c>
      <c r="C251" s="221" t="s">
        <v>398</v>
      </c>
      <c r="D251" s="101">
        <v>34659</v>
      </c>
      <c r="E251" s="221" t="s">
        <v>212</v>
      </c>
      <c r="F251" s="221">
        <v>2008</v>
      </c>
    </row>
    <row r="252" spans="2:6">
      <c r="B252" s="254">
        <v>39500</v>
      </c>
      <c r="C252" s="221" t="s">
        <v>394</v>
      </c>
      <c r="D252" s="101">
        <v>14376</v>
      </c>
      <c r="E252" s="221" t="s">
        <v>213</v>
      </c>
      <c r="F252" s="221">
        <v>2008</v>
      </c>
    </row>
    <row r="253" spans="2:6">
      <c r="B253" s="254">
        <v>39021</v>
      </c>
      <c r="C253" s="221" t="s">
        <v>394</v>
      </c>
      <c r="D253" s="101">
        <v>25771</v>
      </c>
      <c r="E253" s="221" t="s">
        <v>210</v>
      </c>
      <c r="F253" s="221">
        <v>2006</v>
      </c>
    </row>
    <row r="254" spans="2:6">
      <c r="B254" s="254">
        <v>39373</v>
      </c>
      <c r="C254" s="221" t="s">
        <v>396</v>
      </c>
      <c r="D254" s="101">
        <v>14191</v>
      </c>
      <c r="E254" s="221" t="s">
        <v>211</v>
      </c>
      <c r="F254" s="221">
        <v>2007</v>
      </c>
    </row>
    <row r="255" spans="2:6">
      <c r="B255" s="254">
        <v>39046</v>
      </c>
      <c r="C255" s="221" t="s">
        <v>398</v>
      </c>
      <c r="D255" s="101">
        <v>18922</v>
      </c>
      <c r="E255" s="221" t="s">
        <v>210</v>
      </c>
      <c r="F255" s="221">
        <v>2006</v>
      </c>
    </row>
    <row r="256" spans="2:6">
      <c r="B256" s="254">
        <v>38836</v>
      </c>
      <c r="C256" s="221" t="s">
        <v>394</v>
      </c>
      <c r="D256" s="101">
        <v>21436</v>
      </c>
      <c r="E256" s="221" t="s">
        <v>211</v>
      </c>
      <c r="F256" s="221">
        <v>2006</v>
      </c>
    </row>
    <row r="257" spans="2:6">
      <c r="B257" s="254">
        <v>39341</v>
      </c>
      <c r="C257" s="221" t="s">
        <v>394</v>
      </c>
      <c r="D257" s="101">
        <v>32513</v>
      </c>
      <c r="E257" s="221" t="s">
        <v>212</v>
      </c>
      <c r="F257" s="221">
        <v>2007</v>
      </c>
    </row>
    <row r="258" spans="2:6">
      <c r="B258" s="254">
        <v>38994</v>
      </c>
      <c r="C258" s="221" t="s">
        <v>398</v>
      </c>
      <c r="D258" s="101">
        <v>12769</v>
      </c>
      <c r="E258" s="221" t="s">
        <v>211</v>
      </c>
      <c r="F258" s="221">
        <v>2006</v>
      </c>
    </row>
    <row r="259" spans="2:6">
      <c r="B259" s="254">
        <v>38738</v>
      </c>
      <c r="C259" s="221" t="s">
        <v>396</v>
      </c>
      <c r="D259" s="101">
        <v>17120</v>
      </c>
      <c r="E259" s="221" t="s">
        <v>210</v>
      </c>
      <c r="F259" s="221">
        <v>2006</v>
      </c>
    </row>
    <row r="260" spans="2:6">
      <c r="B260" s="254">
        <v>39012</v>
      </c>
      <c r="C260" s="221" t="s">
        <v>396</v>
      </c>
      <c r="D260" s="101">
        <v>31575</v>
      </c>
      <c r="E260" s="221" t="s">
        <v>213</v>
      </c>
      <c r="F260" s="221">
        <v>2006</v>
      </c>
    </row>
    <row r="261" spans="2:6">
      <c r="B261" s="254">
        <v>38964</v>
      </c>
      <c r="C261" s="221" t="s">
        <v>396</v>
      </c>
      <c r="D261" s="101">
        <v>36599</v>
      </c>
      <c r="E261" s="221" t="s">
        <v>212</v>
      </c>
      <c r="F261" s="221">
        <v>2006</v>
      </c>
    </row>
    <row r="262" spans="2:6">
      <c r="B262" s="254">
        <v>39065</v>
      </c>
      <c r="C262" s="221" t="s">
        <v>396</v>
      </c>
      <c r="D262" s="101">
        <v>27619</v>
      </c>
      <c r="E262" s="221" t="s">
        <v>210</v>
      </c>
      <c r="F262" s="221">
        <v>2006</v>
      </c>
    </row>
    <row r="263" spans="2:6">
      <c r="B263" s="254">
        <v>39229</v>
      </c>
      <c r="C263" s="221" t="s">
        <v>395</v>
      </c>
      <c r="D263" s="101">
        <v>19987</v>
      </c>
      <c r="E263" s="221" t="s">
        <v>210</v>
      </c>
      <c r="F263" s="221">
        <v>2007</v>
      </c>
    </row>
    <row r="264" spans="2:6">
      <c r="B264" s="254">
        <v>39480</v>
      </c>
      <c r="C264" s="221" t="s">
        <v>396</v>
      </c>
      <c r="D264" s="101">
        <v>20176</v>
      </c>
      <c r="E264" s="221" t="s">
        <v>210</v>
      </c>
      <c r="F264" s="221">
        <v>2008</v>
      </c>
    </row>
    <row r="265" spans="2:6">
      <c r="B265" s="254">
        <v>38787</v>
      </c>
      <c r="C265" s="221" t="s">
        <v>398</v>
      </c>
      <c r="D265" s="101">
        <v>12813</v>
      </c>
      <c r="E265" s="221" t="s">
        <v>213</v>
      </c>
      <c r="F265" s="221">
        <v>2006</v>
      </c>
    </row>
    <row r="266" spans="2:6">
      <c r="B266" s="254">
        <v>38731</v>
      </c>
      <c r="C266" s="221" t="s">
        <v>394</v>
      </c>
      <c r="D266" s="101">
        <v>12699</v>
      </c>
      <c r="E266" s="221" t="s">
        <v>212</v>
      </c>
      <c r="F266" s="221">
        <v>2006</v>
      </c>
    </row>
    <row r="267" spans="2:6">
      <c r="B267" s="254">
        <v>39567</v>
      </c>
      <c r="C267" s="221" t="s">
        <v>398</v>
      </c>
      <c r="D267" s="101">
        <v>11181</v>
      </c>
      <c r="E267" s="221" t="s">
        <v>213</v>
      </c>
      <c r="F267" s="221">
        <v>2008</v>
      </c>
    </row>
    <row r="268" spans="2:6">
      <c r="B268" s="254">
        <v>39532</v>
      </c>
      <c r="C268" s="221" t="s">
        <v>395</v>
      </c>
      <c r="D268" s="101">
        <v>30246</v>
      </c>
      <c r="E268" s="221" t="s">
        <v>210</v>
      </c>
      <c r="F268" s="221">
        <v>2008</v>
      </c>
    </row>
    <row r="269" spans="2:6">
      <c r="B269" s="254">
        <v>38929</v>
      </c>
      <c r="C269" s="221" t="s">
        <v>398</v>
      </c>
      <c r="D269" s="101">
        <v>12097</v>
      </c>
      <c r="E269" s="221" t="s">
        <v>213</v>
      </c>
      <c r="F269" s="221">
        <v>2006</v>
      </c>
    </row>
    <row r="270" spans="2:6">
      <c r="B270" s="254">
        <v>39129</v>
      </c>
      <c r="C270" s="221" t="s">
        <v>394</v>
      </c>
      <c r="D270" s="101">
        <v>33542</v>
      </c>
      <c r="E270" s="221" t="s">
        <v>210</v>
      </c>
      <c r="F270" s="221">
        <v>2007</v>
      </c>
    </row>
    <row r="271" spans="2:6">
      <c r="B271" s="254">
        <v>39511</v>
      </c>
      <c r="C271" s="221" t="s">
        <v>394</v>
      </c>
      <c r="D271" s="101">
        <v>13620</v>
      </c>
      <c r="E271" s="221" t="s">
        <v>210</v>
      </c>
      <c r="F271" s="221">
        <v>2008</v>
      </c>
    </row>
    <row r="272" spans="2:6">
      <c r="B272" s="254">
        <v>38801</v>
      </c>
      <c r="C272" s="221" t="s">
        <v>394</v>
      </c>
      <c r="D272" s="101">
        <v>5603</v>
      </c>
      <c r="E272" s="221" t="s">
        <v>212</v>
      </c>
      <c r="F272" s="221">
        <v>2006</v>
      </c>
    </row>
    <row r="273" spans="2:6">
      <c r="B273" s="254">
        <v>39162</v>
      </c>
      <c r="C273" s="221" t="s">
        <v>396</v>
      </c>
      <c r="D273" s="101">
        <v>39437</v>
      </c>
      <c r="E273" s="221" t="s">
        <v>211</v>
      </c>
      <c r="F273" s="221">
        <v>2007</v>
      </c>
    </row>
    <row r="274" spans="2:6">
      <c r="B274" s="254">
        <v>39243</v>
      </c>
      <c r="C274" s="221" t="s">
        <v>394</v>
      </c>
      <c r="D274" s="101">
        <v>29543</v>
      </c>
      <c r="E274" s="221" t="s">
        <v>211</v>
      </c>
      <c r="F274" s="221">
        <v>2007</v>
      </c>
    </row>
    <row r="275" spans="2:6">
      <c r="B275" s="254">
        <v>39589</v>
      </c>
      <c r="C275" s="221" t="s">
        <v>394</v>
      </c>
      <c r="D275" s="101">
        <v>38396</v>
      </c>
      <c r="E275" s="221" t="s">
        <v>213</v>
      </c>
      <c r="F275" s="221">
        <v>2008</v>
      </c>
    </row>
    <row r="276" spans="2:6">
      <c r="B276" s="254">
        <v>39545</v>
      </c>
      <c r="C276" s="221" t="s">
        <v>394</v>
      </c>
      <c r="D276" s="101">
        <v>30365</v>
      </c>
      <c r="E276" s="221" t="s">
        <v>210</v>
      </c>
      <c r="F276" s="221">
        <v>2008</v>
      </c>
    </row>
    <row r="277" spans="2:6">
      <c r="B277" s="254">
        <v>39360</v>
      </c>
      <c r="C277" s="221" t="s">
        <v>398</v>
      </c>
      <c r="D277" s="101">
        <v>9990</v>
      </c>
      <c r="E277" s="221" t="s">
        <v>210</v>
      </c>
      <c r="F277" s="221">
        <v>2007</v>
      </c>
    </row>
    <row r="278" spans="2:6">
      <c r="B278" s="254">
        <v>39222</v>
      </c>
      <c r="C278" s="221" t="s">
        <v>394</v>
      </c>
      <c r="D278" s="101">
        <v>5143</v>
      </c>
      <c r="E278" s="221" t="s">
        <v>213</v>
      </c>
      <c r="F278" s="221">
        <v>2007</v>
      </c>
    </row>
    <row r="279" spans="2:6">
      <c r="B279" s="254">
        <v>39345</v>
      </c>
      <c r="C279" s="221" t="s">
        <v>395</v>
      </c>
      <c r="D279" s="101">
        <v>39950</v>
      </c>
      <c r="E279" s="221" t="s">
        <v>212</v>
      </c>
      <c r="F279" s="221">
        <v>2007</v>
      </c>
    </row>
    <row r="280" spans="2:6">
      <c r="B280" s="254">
        <v>38994</v>
      </c>
      <c r="C280" s="221" t="s">
        <v>398</v>
      </c>
      <c r="D280" s="101">
        <v>19300</v>
      </c>
      <c r="E280" s="221" t="s">
        <v>211</v>
      </c>
      <c r="F280" s="221">
        <v>2006</v>
      </c>
    </row>
    <row r="281" spans="2:6">
      <c r="B281" s="254">
        <v>38955</v>
      </c>
      <c r="C281" s="221" t="s">
        <v>395</v>
      </c>
      <c r="D281" s="101">
        <v>24848</v>
      </c>
      <c r="E281" s="221" t="s">
        <v>211</v>
      </c>
      <c r="F281" s="221">
        <v>2006</v>
      </c>
    </row>
    <row r="282" spans="2:6">
      <c r="B282" s="254">
        <v>38840</v>
      </c>
      <c r="C282" s="221" t="s">
        <v>396</v>
      </c>
      <c r="D282" s="101">
        <v>24535</v>
      </c>
      <c r="E282" s="221" t="s">
        <v>211</v>
      </c>
      <c r="F282" s="221">
        <v>2006</v>
      </c>
    </row>
    <row r="283" spans="2:6">
      <c r="B283" s="254">
        <v>39053</v>
      </c>
      <c r="C283" s="221" t="s">
        <v>396</v>
      </c>
      <c r="D283" s="101">
        <v>15488</v>
      </c>
      <c r="E283" s="221" t="s">
        <v>210</v>
      </c>
      <c r="F283" s="221">
        <v>2006</v>
      </c>
    </row>
    <row r="284" spans="2:6">
      <c r="B284" s="254">
        <v>39340</v>
      </c>
      <c r="C284" s="221" t="s">
        <v>398</v>
      </c>
      <c r="D284" s="101">
        <v>7504</v>
      </c>
      <c r="E284" s="221" t="s">
        <v>213</v>
      </c>
      <c r="F284" s="221">
        <v>2007</v>
      </c>
    </row>
    <row r="285" spans="2:6">
      <c r="B285" s="254">
        <v>39005</v>
      </c>
      <c r="C285" s="221" t="s">
        <v>394</v>
      </c>
      <c r="D285" s="101">
        <v>16231</v>
      </c>
      <c r="E285" s="221" t="s">
        <v>213</v>
      </c>
      <c r="F285" s="221">
        <v>2006</v>
      </c>
    </row>
    <row r="286" spans="2:6">
      <c r="B286" s="254">
        <v>39452</v>
      </c>
      <c r="C286" s="221" t="s">
        <v>398</v>
      </c>
      <c r="D286" s="101">
        <v>35079</v>
      </c>
      <c r="E286" s="221" t="s">
        <v>210</v>
      </c>
      <c r="F286" s="221">
        <v>2008</v>
      </c>
    </row>
    <row r="287" spans="2:6">
      <c r="B287" s="254">
        <v>38827</v>
      </c>
      <c r="C287" s="221" t="s">
        <v>398</v>
      </c>
      <c r="D287" s="101">
        <v>16210</v>
      </c>
      <c r="E287" s="221" t="s">
        <v>211</v>
      </c>
      <c r="F287" s="221">
        <v>2006</v>
      </c>
    </row>
    <row r="288" spans="2:6">
      <c r="B288" s="254">
        <v>39161</v>
      </c>
      <c r="C288" s="221" t="s">
        <v>396</v>
      </c>
      <c r="D288" s="101">
        <v>29904</v>
      </c>
      <c r="E288" s="221" t="s">
        <v>213</v>
      </c>
      <c r="F288" s="221">
        <v>2007</v>
      </c>
    </row>
    <row r="289" spans="2:6">
      <c r="B289" s="254">
        <v>39368</v>
      </c>
      <c r="C289" s="221" t="s">
        <v>394</v>
      </c>
      <c r="D289" s="101">
        <v>13924</v>
      </c>
      <c r="E289" s="221" t="s">
        <v>213</v>
      </c>
      <c r="F289" s="221">
        <v>2007</v>
      </c>
    </row>
    <row r="290" spans="2:6">
      <c r="B290" s="254">
        <v>39143</v>
      </c>
      <c r="C290" s="221" t="s">
        <v>396</v>
      </c>
      <c r="D290" s="101">
        <v>15133</v>
      </c>
      <c r="E290" s="221" t="s">
        <v>210</v>
      </c>
      <c r="F290" s="221">
        <v>2007</v>
      </c>
    </row>
    <row r="291" spans="2:6">
      <c r="B291" s="254">
        <v>39579</v>
      </c>
      <c r="C291" s="221" t="s">
        <v>394</v>
      </c>
      <c r="D291" s="101">
        <v>32553</v>
      </c>
      <c r="E291" s="221" t="s">
        <v>213</v>
      </c>
      <c r="F291" s="221">
        <v>2008</v>
      </c>
    </row>
    <row r="292" spans="2:6">
      <c r="B292" s="254">
        <v>38780</v>
      </c>
      <c r="C292" s="221" t="s">
        <v>396</v>
      </c>
      <c r="D292" s="101">
        <v>12182</v>
      </c>
      <c r="E292" s="221" t="s">
        <v>213</v>
      </c>
      <c r="F292" s="221">
        <v>2006</v>
      </c>
    </row>
    <row r="293" spans="2:6">
      <c r="B293" s="254">
        <v>39539</v>
      </c>
      <c r="C293" s="221" t="s">
        <v>396</v>
      </c>
      <c r="D293" s="101">
        <v>39843</v>
      </c>
      <c r="E293" s="221" t="s">
        <v>210</v>
      </c>
      <c r="F293" s="221">
        <v>2008</v>
      </c>
    </row>
    <row r="294" spans="2:6">
      <c r="B294" s="254">
        <v>39460</v>
      </c>
      <c r="C294" s="221" t="s">
        <v>398</v>
      </c>
      <c r="D294" s="101">
        <v>19515</v>
      </c>
      <c r="E294" s="221" t="s">
        <v>212</v>
      </c>
      <c r="F294" s="221">
        <v>2008</v>
      </c>
    </row>
    <row r="295" spans="2:6">
      <c r="B295" s="254">
        <v>39327</v>
      </c>
      <c r="C295" s="221" t="s">
        <v>396</v>
      </c>
      <c r="D295" s="101">
        <v>32431</v>
      </c>
      <c r="E295" s="221" t="s">
        <v>213</v>
      </c>
      <c r="F295" s="221">
        <v>2007</v>
      </c>
    </row>
    <row r="296" spans="2:6">
      <c r="B296" s="254">
        <v>39339</v>
      </c>
      <c r="C296" s="221" t="s">
        <v>398</v>
      </c>
      <c r="D296" s="101">
        <v>31011</v>
      </c>
      <c r="E296" s="221" t="s">
        <v>213</v>
      </c>
      <c r="F296" s="221">
        <v>2007</v>
      </c>
    </row>
    <row r="297" spans="2:6">
      <c r="B297" s="254">
        <v>38779</v>
      </c>
      <c r="C297" s="221" t="s">
        <v>395</v>
      </c>
      <c r="D297" s="101">
        <v>16357</v>
      </c>
      <c r="E297" s="221" t="s">
        <v>210</v>
      </c>
      <c r="F297" s="221">
        <v>2006</v>
      </c>
    </row>
    <row r="298" spans="2:6">
      <c r="B298" s="254">
        <v>39235</v>
      </c>
      <c r="C298" s="221" t="s">
        <v>394</v>
      </c>
      <c r="D298" s="101">
        <v>12629</v>
      </c>
      <c r="E298" s="221" t="s">
        <v>210</v>
      </c>
      <c r="F298" s="221">
        <v>2007</v>
      </c>
    </row>
    <row r="299" spans="2:6">
      <c r="B299" s="254">
        <v>39165</v>
      </c>
      <c r="C299" s="221" t="s">
        <v>394</v>
      </c>
      <c r="D299" s="101">
        <v>6463</v>
      </c>
      <c r="E299" s="221" t="s">
        <v>210</v>
      </c>
      <c r="F299" s="221">
        <v>2007</v>
      </c>
    </row>
    <row r="300" spans="2:6">
      <c r="B300" s="254">
        <v>39147</v>
      </c>
      <c r="C300" s="221" t="s">
        <v>398</v>
      </c>
      <c r="D300" s="101">
        <v>12394</v>
      </c>
      <c r="E300" s="221" t="s">
        <v>211</v>
      </c>
      <c r="F300" s="221">
        <v>2007</v>
      </c>
    </row>
    <row r="301" spans="2:6">
      <c r="B301" s="254">
        <v>38903</v>
      </c>
      <c r="C301" s="221" t="s">
        <v>396</v>
      </c>
      <c r="D301" s="101">
        <v>11162</v>
      </c>
      <c r="E301" s="221" t="s">
        <v>212</v>
      </c>
      <c r="F301" s="221">
        <v>2006</v>
      </c>
    </row>
    <row r="302" spans="2:6">
      <c r="B302" s="254">
        <v>39133</v>
      </c>
      <c r="C302" s="221" t="s">
        <v>398</v>
      </c>
      <c r="D302" s="101">
        <v>33370</v>
      </c>
      <c r="E302" s="221" t="s">
        <v>213</v>
      </c>
      <c r="F302" s="221">
        <v>2007</v>
      </c>
    </row>
    <row r="303" spans="2:6">
      <c r="B303" s="254">
        <v>38990</v>
      </c>
      <c r="C303" s="221" t="s">
        <v>396</v>
      </c>
      <c r="D303" s="101">
        <v>39220</v>
      </c>
      <c r="E303" s="221" t="s">
        <v>213</v>
      </c>
      <c r="F303" s="221">
        <v>2006</v>
      </c>
    </row>
    <row r="304" spans="2:6">
      <c r="B304" s="254">
        <v>39295</v>
      </c>
      <c r="C304" s="221" t="s">
        <v>398</v>
      </c>
      <c r="D304" s="101">
        <v>17524</v>
      </c>
      <c r="E304" s="221" t="s">
        <v>210</v>
      </c>
      <c r="F304" s="221">
        <v>2007</v>
      </c>
    </row>
    <row r="305" spans="2:6">
      <c r="B305" s="254">
        <v>39339</v>
      </c>
      <c r="C305" s="221" t="s">
        <v>396</v>
      </c>
      <c r="D305" s="101">
        <v>31471</v>
      </c>
      <c r="E305" s="221" t="s">
        <v>210</v>
      </c>
      <c r="F305" s="221">
        <v>2007</v>
      </c>
    </row>
    <row r="306" spans="2:6">
      <c r="B306" s="254">
        <v>38783</v>
      </c>
      <c r="C306" s="221" t="s">
        <v>396</v>
      </c>
      <c r="D306" s="101">
        <v>37833</v>
      </c>
      <c r="E306" s="221" t="s">
        <v>213</v>
      </c>
      <c r="F306" s="221">
        <v>2006</v>
      </c>
    </row>
    <row r="307" spans="2:6">
      <c r="B307" s="254">
        <v>39022</v>
      </c>
      <c r="C307" s="221" t="s">
        <v>395</v>
      </c>
      <c r="D307" s="101">
        <v>12077</v>
      </c>
      <c r="E307" s="221" t="s">
        <v>211</v>
      </c>
      <c r="F307" s="221">
        <v>2006</v>
      </c>
    </row>
    <row r="308" spans="2:6">
      <c r="B308" s="254">
        <v>39252</v>
      </c>
      <c r="C308" s="221" t="s">
        <v>396</v>
      </c>
      <c r="D308" s="101">
        <v>29772</v>
      </c>
      <c r="E308" s="221" t="s">
        <v>210</v>
      </c>
      <c r="F308" s="221">
        <v>2007</v>
      </c>
    </row>
    <row r="309" spans="2:6">
      <c r="B309" s="254">
        <v>38815</v>
      </c>
      <c r="C309" s="221" t="s">
        <v>395</v>
      </c>
      <c r="D309" s="101">
        <v>7834</v>
      </c>
      <c r="E309" s="221" t="s">
        <v>212</v>
      </c>
      <c r="F309" s="221">
        <v>2006</v>
      </c>
    </row>
    <row r="310" spans="2:6">
      <c r="B310" s="254">
        <v>39349</v>
      </c>
      <c r="C310" s="221" t="s">
        <v>394</v>
      </c>
      <c r="D310" s="101">
        <v>18394</v>
      </c>
      <c r="E310" s="221" t="s">
        <v>213</v>
      </c>
      <c r="F310" s="221">
        <v>2007</v>
      </c>
    </row>
    <row r="311" spans="2:6">
      <c r="B311" s="254">
        <v>39348</v>
      </c>
      <c r="C311" s="221" t="s">
        <v>398</v>
      </c>
      <c r="D311" s="101">
        <v>6918</v>
      </c>
      <c r="E311" s="221" t="s">
        <v>211</v>
      </c>
      <c r="F311" s="221">
        <v>2007</v>
      </c>
    </row>
    <row r="312" spans="2:6">
      <c r="B312" s="254">
        <v>39515</v>
      </c>
      <c r="C312" s="221" t="s">
        <v>398</v>
      </c>
      <c r="D312" s="101">
        <v>13975</v>
      </c>
      <c r="E312" s="221" t="s">
        <v>210</v>
      </c>
      <c r="F312" s="221">
        <v>2008</v>
      </c>
    </row>
    <row r="313" spans="2:6">
      <c r="B313" s="254">
        <v>39328</v>
      </c>
      <c r="C313" s="221" t="s">
        <v>396</v>
      </c>
      <c r="D313" s="101">
        <v>5295</v>
      </c>
      <c r="E313" s="221" t="s">
        <v>213</v>
      </c>
      <c r="F313" s="221">
        <v>2007</v>
      </c>
    </row>
    <row r="314" spans="2:6">
      <c r="B314" s="254">
        <v>39139</v>
      </c>
      <c r="C314" s="221" t="s">
        <v>395</v>
      </c>
      <c r="D314" s="101">
        <v>29955</v>
      </c>
      <c r="E314" s="221" t="s">
        <v>213</v>
      </c>
      <c r="F314" s="221">
        <v>2007</v>
      </c>
    </row>
    <row r="315" spans="2:6">
      <c r="B315" s="254">
        <v>38855</v>
      </c>
      <c r="C315" s="221" t="s">
        <v>394</v>
      </c>
      <c r="D315" s="101">
        <v>28927</v>
      </c>
      <c r="E315" s="221" t="s">
        <v>212</v>
      </c>
      <c r="F315" s="221">
        <v>2006</v>
      </c>
    </row>
    <row r="316" spans="2:6">
      <c r="B316" s="254">
        <v>39202</v>
      </c>
      <c r="C316" s="221" t="s">
        <v>396</v>
      </c>
      <c r="D316" s="101">
        <v>11454</v>
      </c>
      <c r="E316" s="221" t="s">
        <v>212</v>
      </c>
      <c r="F316" s="221">
        <v>2007</v>
      </c>
    </row>
    <row r="317" spans="2:6">
      <c r="B317" s="254">
        <v>39485</v>
      </c>
      <c r="C317" s="221" t="s">
        <v>398</v>
      </c>
      <c r="D317" s="101">
        <v>35275</v>
      </c>
      <c r="E317" s="221" t="s">
        <v>211</v>
      </c>
      <c r="F317" s="221">
        <v>2008</v>
      </c>
    </row>
    <row r="318" spans="2:6">
      <c r="B318" s="254">
        <v>39216</v>
      </c>
      <c r="C318" s="221" t="s">
        <v>396</v>
      </c>
      <c r="D318" s="101">
        <v>29301</v>
      </c>
      <c r="E318" s="221" t="s">
        <v>212</v>
      </c>
      <c r="F318" s="221">
        <v>2007</v>
      </c>
    </row>
    <row r="319" spans="2:6">
      <c r="B319" s="254">
        <v>38768</v>
      </c>
      <c r="C319" s="221" t="s">
        <v>394</v>
      </c>
      <c r="D319" s="101">
        <v>36817</v>
      </c>
      <c r="E319" s="221" t="s">
        <v>210</v>
      </c>
      <c r="F319" s="221">
        <v>2006</v>
      </c>
    </row>
    <row r="320" spans="2:6">
      <c r="B320" s="254">
        <v>38881</v>
      </c>
      <c r="C320" s="221" t="s">
        <v>394</v>
      </c>
      <c r="D320" s="101">
        <v>39987</v>
      </c>
      <c r="E320" s="221" t="s">
        <v>211</v>
      </c>
      <c r="F320" s="221">
        <v>2006</v>
      </c>
    </row>
    <row r="321" spans="2:6">
      <c r="B321" s="254">
        <v>39219</v>
      </c>
      <c r="C321" s="221" t="s">
        <v>394</v>
      </c>
      <c r="D321" s="101">
        <v>39574</v>
      </c>
      <c r="E321" s="221" t="s">
        <v>210</v>
      </c>
      <c r="F321" s="221">
        <v>2007</v>
      </c>
    </row>
    <row r="322" spans="2:6">
      <c r="B322" s="254">
        <v>38772</v>
      </c>
      <c r="C322" s="221" t="s">
        <v>394</v>
      </c>
      <c r="D322" s="101">
        <v>25220</v>
      </c>
      <c r="E322" s="221" t="s">
        <v>210</v>
      </c>
      <c r="F322" s="221">
        <v>2006</v>
      </c>
    </row>
    <row r="323" spans="2:6">
      <c r="B323" s="254">
        <v>38935</v>
      </c>
      <c r="C323" s="221" t="s">
        <v>398</v>
      </c>
      <c r="D323" s="101">
        <v>25788</v>
      </c>
      <c r="E323" s="221" t="s">
        <v>212</v>
      </c>
      <c r="F323" s="221">
        <v>2006</v>
      </c>
    </row>
    <row r="324" spans="2:6">
      <c r="B324" s="254">
        <v>39187</v>
      </c>
      <c r="C324" s="221" t="s">
        <v>394</v>
      </c>
      <c r="D324" s="101">
        <v>28599</v>
      </c>
      <c r="E324" s="221" t="s">
        <v>210</v>
      </c>
      <c r="F324" s="221">
        <v>2007</v>
      </c>
    </row>
    <row r="325" spans="2:6">
      <c r="B325" s="254">
        <v>39411</v>
      </c>
      <c r="C325" s="221" t="s">
        <v>396</v>
      </c>
      <c r="D325" s="101">
        <v>9997</v>
      </c>
      <c r="E325" s="221" t="s">
        <v>211</v>
      </c>
      <c r="F325" s="221">
        <v>2007</v>
      </c>
    </row>
    <row r="326" spans="2:6">
      <c r="B326" s="254">
        <v>39097</v>
      </c>
      <c r="C326" s="221" t="s">
        <v>398</v>
      </c>
      <c r="D326" s="101">
        <v>17683</v>
      </c>
      <c r="E326" s="221" t="s">
        <v>213</v>
      </c>
      <c r="F326" s="221">
        <v>2007</v>
      </c>
    </row>
    <row r="327" spans="2:6">
      <c r="B327" s="254">
        <v>39580</v>
      </c>
      <c r="C327" s="221" t="s">
        <v>394</v>
      </c>
      <c r="D327" s="101">
        <v>20872</v>
      </c>
      <c r="E327" s="221" t="s">
        <v>211</v>
      </c>
      <c r="F327" s="221">
        <v>2008</v>
      </c>
    </row>
    <row r="328" spans="2:6">
      <c r="B328" s="254">
        <v>39249</v>
      </c>
      <c r="C328" s="221" t="s">
        <v>395</v>
      </c>
      <c r="D328" s="101">
        <v>28089</v>
      </c>
      <c r="E328" s="221" t="s">
        <v>210</v>
      </c>
      <c r="F328" s="221">
        <v>2007</v>
      </c>
    </row>
    <row r="329" spans="2:6">
      <c r="B329" s="254">
        <v>39216</v>
      </c>
      <c r="C329" s="221" t="s">
        <v>398</v>
      </c>
      <c r="D329" s="101">
        <v>39641</v>
      </c>
      <c r="E329" s="221" t="s">
        <v>210</v>
      </c>
      <c r="F329" s="221">
        <v>2007</v>
      </c>
    </row>
    <row r="330" spans="2:6">
      <c r="B330" s="254">
        <v>38998</v>
      </c>
      <c r="C330" s="221" t="s">
        <v>395</v>
      </c>
      <c r="D330" s="101">
        <v>27542</v>
      </c>
      <c r="E330" s="221" t="s">
        <v>212</v>
      </c>
      <c r="F330" s="221">
        <v>2006</v>
      </c>
    </row>
    <row r="331" spans="2:6">
      <c r="B331" s="254">
        <v>39184</v>
      </c>
      <c r="C331" s="221" t="s">
        <v>394</v>
      </c>
      <c r="D331" s="101">
        <v>38816</v>
      </c>
      <c r="E331" s="221" t="s">
        <v>213</v>
      </c>
      <c r="F331" s="221">
        <v>2007</v>
      </c>
    </row>
    <row r="332" spans="2:6">
      <c r="B332" s="254">
        <v>39270</v>
      </c>
      <c r="C332" s="221" t="s">
        <v>396</v>
      </c>
      <c r="D332" s="101">
        <v>31474</v>
      </c>
      <c r="E332" s="221" t="s">
        <v>211</v>
      </c>
      <c r="F332" s="221">
        <v>2007</v>
      </c>
    </row>
    <row r="333" spans="2:6">
      <c r="B333" s="254">
        <v>39269</v>
      </c>
      <c r="C333" s="221" t="s">
        <v>396</v>
      </c>
      <c r="D333" s="101">
        <v>31791</v>
      </c>
      <c r="E333" s="221" t="s">
        <v>211</v>
      </c>
      <c r="F333" s="221">
        <v>2007</v>
      </c>
    </row>
    <row r="334" spans="2:6">
      <c r="B334" s="254">
        <v>39098</v>
      </c>
      <c r="C334" s="221" t="s">
        <v>394</v>
      </c>
      <c r="D334" s="101">
        <v>36342</v>
      </c>
      <c r="E334" s="221" t="s">
        <v>212</v>
      </c>
      <c r="F334" s="221">
        <v>2007</v>
      </c>
    </row>
    <row r="335" spans="2:6">
      <c r="B335" s="254">
        <v>39075</v>
      </c>
      <c r="C335" s="221" t="s">
        <v>398</v>
      </c>
      <c r="D335" s="101">
        <v>27500</v>
      </c>
      <c r="E335" s="221" t="s">
        <v>213</v>
      </c>
      <c r="F335" s="221">
        <v>2006</v>
      </c>
    </row>
    <row r="336" spans="2:6">
      <c r="B336" s="254">
        <v>38876</v>
      </c>
      <c r="C336" s="221" t="s">
        <v>396</v>
      </c>
      <c r="D336" s="101">
        <v>35427</v>
      </c>
      <c r="E336" s="221" t="s">
        <v>212</v>
      </c>
      <c r="F336" s="221">
        <v>2006</v>
      </c>
    </row>
    <row r="337" spans="2:6">
      <c r="B337" s="254">
        <v>38887</v>
      </c>
      <c r="C337" s="221" t="s">
        <v>396</v>
      </c>
      <c r="D337" s="101">
        <v>7221</v>
      </c>
      <c r="E337" s="221" t="s">
        <v>213</v>
      </c>
      <c r="F337" s="221">
        <v>2006</v>
      </c>
    </row>
    <row r="338" spans="2:6">
      <c r="B338" s="254">
        <v>38909</v>
      </c>
      <c r="C338" s="221" t="s">
        <v>395</v>
      </c>
      <c r="D338" s="101">
        <v>37793</v>
      </c>
      <c r="E338" s="221" t="s">
        <v>213</v>
      </c>
      <c r="F338" s="221">
        <v>2006</v>
      </c>
    </row>
    <row r="339" spans="2:6">
      <c r="B339" s="254">
        <v>39126</v>
      </c>
      <c r="C339" s="221" t="s">
        <v>396</v>
      </c>
      <c r="D339" s="101">
        <v>14617</v>
      </c>
      <c r="E339" s="221" t="s">
        <v>211</v>
      </c>
      <c r="F339" s="221">
        <v>2007</v>
      </c>
    </row>
    <row r="340" spans="2:6">
      <c r="B340" s="254">
        <v>39017</v>
      </c>
      <c r="C340" s="221" t="s">
        <v>396</v>
      </c>
      <c r="D340" s="101">
        <v>28239</v>
      </c>
      <c r="E340" s="221" t="s">
        <v>211</v>
      </c>
      <c r="F340" s="221">
        <v>2006</v>
      </c>
    </row>
    <row r="341" spans="2:6">
      <c r="B341" s="254">
        <v>39589</v>
      </c>
      <c r="C341" s="221" t="s">
        <v>395</v>
      </c>
      <c r="D341" s="101">
        <v>9170</v>
      </c>
      <c r="E341" s="221" t="s">
        <v>210</v>
      </c>
      <c r="F341" s="221">
        <v>2008</v>
      </c>
    </row>
    <row r="342" spans="2:6">
      <c r="B342" s="254">
        <v>39441</v>
      </c>
      <c r="C342" s="221" t="s">
        <v>394</v>
      </c>
      <c r="D342" s="101">
        <v>11027</v>
      </c>
      <c r="E342" s="221" t="s">
        <v>211</v>
      </c>
      <c r="F342" s="221">
        <v>2007</v>
      </c>
    </row>
    <row r="343" spans="2:6">
      <c r="B343" s="254">
        <v>38825</v>
      </c>
      <c r="C343" s="221" t="s">
        <v>398</v>
      </c>
      <c r="D343" s="101">
        <v>22966</v>
      </c>
      <c r="E343" s="221" t="s">
        <v>211</v>
      </c>
      <c r="F343" s="221">
        <v>2006</v>
      </c>
    </row>
    <row r="344" spans="2:6">
      <c r="B344" s="254">
        <v>39068</v>
      </c>
      <c r="C344" s="221" t="s">
        <v>396</v>
      </c>
      <c r="D344" s="101">
        <v>34075</v>
      </c>
      <c r="E344" s="221" t="s">
        <v>213</v>
      </c>
      <c r="F344" s="221">
        <v>2006</v>
      </c>
    </row>
    <row r="345" spans="2:6">
      <c r="B345" s="254">
        <v>39482</v>
      </c>
      <c r="C345" s="221" t="s">
        <v>395</v>
      </c>
      <c r="D345" s="101">
        <v>5971</v>
      </c>
      <c r="E345" s="221" t="s">
        <v>210</v>
      </c>
      <c r="F345" s="221">
        <v>2008</v>
      </c>
    </row>
    <row r="346" spans="2:6">
      <c r="B346" s="254">
        <v>39158</v>
      </c>
      <c r="C346" s="221" t="s">
        <v>395</v>
      </c>
      <c r="D346" s="101">
        <v>32354</v>
      </c>
      <c r="E346" s="221" t="s">
        <v>212</v>
      </c>
      <c r="F346" s="221">
        <v>2007</v>
      </c>
    </row>
    <row r="347" spans="2:6">
      <c r="B347" s="254">
        <v>39200</v>
      </c>
      <c r="C347" s="221" t="s">
        <v>396</v>
      </c>
      <c r="D347" s="101">
        <v>25207</v>
      </c>
      <c r="E347" s="221" t="s">
        <v>213</v>
      </c>
      <c r="F347" s="221">
        <v>2007</v>
      </c>
    </row>
    <row r="348" spans="2:6">
      <c r="B348" s="254">
        <v>38894</v>
      </c>
      <c r="C348" s="221" t="s">
        <v>395</v>
      </c>
      <c r="D348" s="101">
        <v>39409</v>
      </c>
      <c r="E348" s="221" t="s">
        <v>213</v>
      </c>
      <c r="F348" s="221">
        <v>2006</v>
      </c>
    </row>
    <row r="349" spans="2:6">
      <c r="B349" s="254">
        <v>39143</v>
      </c>
      <c r="C349" s="221" t="s">
        <v>394</v>
      </c>
      <c r="D349" s="101">
        <v>34257</v>
      </c>
      <c r="E349" s="221" t="s">
        <v>213</v>
      </c>
      <c r="F349" s="221">
        <v>2007</v>
      </c>
    </row>
    <row r="350" spans="2:6">
      <c r="B350" s="254">
        <v>38905</v>
      </c>
      <c r="C350" s="221" t="s">
        <v>394</v>
      </c>
      <c r="D350" s="101">
        <v>33369</v>
      </c>
      <c r="E350" s="221" t="s">
        <v>210</v>
      </c>
      <c r="F350" s="221">
        <v>2006</v>
      </c>
    </row>
    <row r="351" spans="2:6">
      <c r="B351" s="254">
        <v>39368</v>
      </c>
      <c r="C351" s="221" t="s">
        <v>395</v>
      </c>
      <c r="D351" s="101">
        <v>9613</v>
      </c>
      <c r="E351" s="221" t="s">
        <v>211</v>
      </c>
      <c r="F351" s="221">
        <v>2007</v>
      </c>
    </row>
    <row r="352" spans="2:6">
      <c r="B352" s="254">
        <v>39540</v>
      </c>
      <c r="C352" s="221" t="s">
        <v>395</v>
      </c>
      <c r="D352" s="101">
        <v>37940</v>
      </c>
      <c r="E352" s="221" t="s">
        <v>210</v>
      </c>
      <c r="F352" s="221">
        <v>2008</v>
      </c>
    </row>
    <row r="353" spans="2:6">
      <c r="B353" s="254">
        <v>39285</v>
      </c>
      <c r="C353" s="221" t="s">
        <v>394</v>
      </c>
      <c r="D353" s="101">
        <v>15906</v>
      </c>
      <c r="E353" s="221" t="s">
        <v>213</v>
      </c>
      <c r="F353" s="221">
        <v>2007</v>
      </c>
    </row>
    <row r="354" spans="2:6">
      <c r="B354" s="254">
        <v>39202</v>
      </c>
      <c r="C354" s="221" t="s">
        <v>398</v>
      </c>
      <c r="D354" s="101">
        <v>25842</v>
      </c>
      <c r="E354" s="221" t="s">
        <v>211</v>
      </c>
      <c r="F354" s="221">
        <v>2007</v>
      </c>
    </row>
    <row r="355" spans="2:6">
      <c r="B355" s="254">
        <v>39556</v>
      </c>
      <c r="C355" s="221" t="s">
        <v>395</v>
      </c>
      <c r="D355" s="101">
        <v>30271</v>
      </c>
      <c r="E355" s="221" t="s">
        <v>210</v>
      </c>
      <c r="F355" s="221">
        <v>2008</v>
      </c>
    </row>
    <row r="356" spans="2:6">
      <c r="B356" s="254">
        <v>39565</v>
      </c>
      <c r="C356" s="221" t="s">
        <v>394</v>
      </c>
      <c r="D356" s="101">
        <v>31955</v>
      </c>
      <c r="E356" s="221" t="s">
        <v>211</v>
      </c>
      <c r="F356" s="221">
        <v>2008</v>
      </c>
    </row>
    <row r="357" spans="2:6">
      <c r="B357" s="254">
        <v>39435</v>
      </c>
      <c r="C357" s="221" t="s">
        <v>394</v>
      </c>
      <c r="D357" s="101">
        <v>10407</v>
      </c>
      <c r="E357" s="221" t="s">
        <v>211</v>
      </c>
      <c r="F357" s="221">
        <v>2007</v>
      </c>
    </row>
    <row r="358" spans="2:6">
      <c r="B358" s="254">
        <v>39495</v>
      </c>
      <c r="C358" s="221" t="s">
        <v>396</v>
      </c>
      <c r="D358" s="101">
        <v>17527</v>
      </c>
      <c r="E358" s="221" t="s">
        <v>211</v>
      </c>
      <c r="F358" s="221">
        <v>2008</v>
      </c>
    </row>
    <row r="359" spans="2:6">
      <c r="B359" s="254">
        <v>39247</v>
      </c>
      <c r="C359" s="221" t="s">
        <v>396</v>
      </c>
      <c r="D359" s="101">
        <v>33604</v>
      </c>
      <c r="E359" s="221" t="s">
        <v>213</v>
      </c>
      <c r="F359" s="221">
        <v>2007</v>
      </c>
    </row>
    <row r="360" spans="2:6">
      <c r="B360" s="254">
        <v>38876</v>
      </c>
      <c r="C360" s="221" t="s">
        <v>398</v>
      </c>
      <c r="D360" s="101">
        <v>28250</v>
      </c>
      <c r="E360" s="221" t="s">
        <v>212</v>
      </c>
      <c r="F360" s="221">
        <v>2006</v>
      </c>
    </row>
    <row r="361" spans="2:6">
      <c r="B361" s="254">
        <v>39521</v>
      </c>
      <c r="C361" s="221" t="s">
        <v>395</v>
      </c>
      <c r="D361" s="101">
        <v>35464</v>
      </c>
      <c r="E361" s="221" t="s">
        <v>212</v>
      </c>
      <c r="F361" s="221">
        <v>2008</v>
      </c>
    </row>
    <row r="362" spans="2:6">
      <c r="B362" s="254">
        <v>39119</v>
      </c>
      <c r="C362" s="221" t="s">
        <v>396</v>
      </c>
      <c r="D362" s="101">
        <v>22897</v>
      </c>
      <c r="E362" s="221" t="s">
        <v>213</v>
      </c>
      <c r="F362" s="221">
        <v>2007</v>
      </c>
    </row>
    <row r="363" spans="2:6">
      <c r="B363" s="254">
        <v>39451</v>
      </c>
      <c r="C363" s="221" t="s">
        <v>394</v>
      </c>
      <c r="D363" s="101">
        <v>28107</v>
      </c>
      <c r="E363" s="221" t="s">
        <v>212</v>
      </c>
      <c r="F363" s="221">
        <v>2008</v>
      </c>
    </row>
    <row r="364" spans="2:6">
      <c r="B364" s="254">
        <v>39617</v>
      </c>
      <c r="C364" s="221" t="s">
        <v>395</v>
      </c>
      <c r="D364" s="101">
        <v>9609</v>
      </c>
      <c r="E364" s="221" t="s">
        <v>212</v>
      </c>
      <c r="F364" s="221">
        <v>2008</v>
      </c>
    </row>
    <row r="365" spans="2:6">
      <c r="B365" s="254">
        <v>39107</v>
      </c>
      <c r="C365" s="221" t="s">
        <v>394</v>
      </c>
      <c r="D365" s="101">
        <v>11195</v>
      </c>
      <c r="E365" s="221" t="s">
        <v>213</v>
      </c>
      <c r="F365" s="221">
        <v>2007</v>
      </c>
    </row>
    <row r="366" spans="2:6">
      <c r="B366" s="254">
        <v>39047</v>
      </c>
      <c r="C366" s="221" t="s">
        <v>395</v>
      </c>
      <c r="D366" s="101">
        <v>22885</v>
      </c>
      <c r="E366" s="221" t="s">
        <v>212</v>
      </c>
      <c r="F366" s="221">
        <v>2006</v>
      </c>
    </row>
    <row r="367" spans="2:6">
      <c r="B367" s="254">
        <v>39409</v>
      </c>
      <c r="C367" s="221" t="s">
        <v>398</v>
      </c>
      <c r="D367" s="101">
        <v>5481</v>
      </c>
      <c r="E367" s="221" t="s">
        <v>213</v>
      </c>
      <c r="F367" s="221">
        <v>2007</v>
      </c>
    </row>
    <row r="368" spans="2:6">
      <c r="B368" s="254">
        <v>39184</v>
      </c>
      <c r="C368" s="221" t="s">
        <v>396</v>
      </c>
      <c r="D368" s="101">
        <v>12996</v>
      </c>
      <c r="E368" s="221" t="s">
        <v>211</v>
      </c>
      <c r="F368" s="221">
        <v>2007</v>
      </c>
    </row>
    <row r="369" spans="2:6">
      <c r="B369" s="254">
        <v>39338</v>
      </c>
      <c r="C369" s="221" t="s">
        <v>394</v>
      </c>
      <c r="D369" s="101">
        <v>34409</v>
      </c>
      <c r="E369" s="221" t="s">
        <v>211</v>
      </c>
      <c r="F369" s="221">
        <v>2007</v>
      </c>
    </row>
    <row r="370" spans="2:6">
      <c r="B370" s="254">
        <v>39199</v>
      </c>
      <c r="C370" s="221" t="s">
        <v>395</v>
      </c>
      <c r="D370" s="101">
        <v>22871</v>
      </c>
      <c r="E370" s="221" t="s">
        <v>213</v>
      </c>
      <c r="F370" s="221">
        <v>2007</v>
      </c>
    </row>
    <row r="371" spans="2:6">
      <c r="B371" s="254">
        <v>39431</v>
      </c>
      <c r="C371" s="221" t="s">
        <v>398</v>
      </c>
      <c r="D371" s="101">
        <v>38174</v>
      </c>
      <c r="E371" s="221" t="s">
        <v>211</v>
      </c>
      <c r="F371" s="221">
        <v>2007</v>
      </c>
    </row>
    <row r="372" spans="2:6">
      <c r="B372" s="254">
        <v>39067</v>
      </c>
      <c r="C372" s="221" t="s">
        <v>395</v>
      </c>
      <c r="D372" s="101">
        <v>24668</v>
      </c>
      <c r="E372" s="221" t="s">
        <v>211</v>
      </c>
      <c r="F372" s="221">
        <v>2006</v>
      </c>
    </row>
    <row r="373" spans="2:6">
      <c r="B373" s="254">
        <v>39530</v>
      </c>
      <c r="C373" s="221" t="s">
        <v>394</v>
      </c>
      <c r="D373" s="101">
        <v>27215</v>
      </c>
      <c r="E373" s="221" t="s">
        <v>213</v>
      </c>
      <c r="F373" s="221">
        <v>2008</v>
      </c>
    </row>
    <row r="374" spans="2:6">
      <c r="B374" s="254">
        <v>38919</v>
      </c>
      <c r="C374" s="221" t="s">
        <v>394</v>
      </c>
      <c r="D374" s="101">
        <v>32720</v>
      </c>
      <c r="E374" s="221" t="s">
        <v>212</v>
      </c>
      <c r="F374" s="221">
        <v>2006</v>
      </c>
    </row>
    <row r="375" spans="2:6">
      <c r="B375" s="254">
        <v>39015</v>
      </c>
      <c r="C375" s="221" t="s">
        <v>395</v>
      </c>
      <c r="D375" s="101">
        <v>33669</v>
      </c>
      <c r="E375" s="221" t="s">
        <v>210</v>
      </c>
      <c r="F375" s="221">
        <v>2006</v>
      </c>
    </row>
    <row r="376" spans="2:6">
      <c r="B376" s="254">
        <v>38856</v>
      </c>
      <c r="C376" s="221" t="s">
        <v>398</v>
      </c>
      <c r="D376" s="101">
        <v>25720</v>
      </c>
      <c r="E376" s="221" t="s">
        <v>210</v>
      </c>
      <c r="F376" s="221">
        <v>2006</v>
      </c>
    </row>
    <row r="377" spans="2:6">
      <c r="B377" s="254">
        <v>39608</v>
      </c>
      <c r="C377" s="221" t="s">
        <v>394</v>
      </c>
      <c r="D377" s="101">
        <v>29008</v>
      </c>
      <c r="E377" s="221" t="s">
        <v>212</v>
      </c>
      <c r="F377" s="221">
        <v>2008</v>
      </c>
    </row>
    <row r="378" spans="2:6">
      <c r="B378" s="254">
        <v>39302</v>
      </c>
      <c r="C378" s="221" t="s">
        <v>398</v>
      </c>
      <c r="D378" s="101">
        <v>9218</v>
      </c>
      <c r="E378" s="221" t="s">
        <v>211</v>
      </c>
      <c r="F378" s="221">
        <v>2007</v>
      </c>
    </row>
    <row r="379" spans="2:6">
      <c r="B379" s="254">
        <v>39526</v>
      </c>
      <c r="C379" s="221" t="s">
        <v>398</v>
      </c>
      <c r="D379" s="101">
        <v>39565</v>
      </c>
      <c r="E379" s="221" t="s">
        <v>213</v>
      </c>
      <c r="F379" s="221">
        <v>2008</v>
      </c>
    </row>
    <row r="380" spans="2:6">
      <c r="B380" s="254">
        <v>39403</v>
      </c>
      <c r="C380" s="221" t="s">
        <v>394</v>
      </c>
      <c r="D380" s="101">
        <v>8310</v>
      </c>
      <c r="E380" s="221" t="s">
        <v>212</v>
      </c>
      <c r="F380" s="221">
        <v>2007</v>
      </c>
    </row>
    <row r="381" spans="2:6">
      <c r="B381" s="254">
        <v>39219</v>
      </c>
      <c r="C381" s="221" t="s">
        <v>395</v>
      </c>
      <c r="D381" s="101">
        <v>39168</v>
      </c>
      <c r="E381" s="221" t="s">
        <v>212</v>
      </c>
      <c r="F381" s="221">
        <v>2007</v>
      </c>
    </row>
    <row r="382" spans="2:6">
      <c r="B382" s="254">
        <v>39410</v>
      </c>
      <c r="C382" s="221" t="s">
        <v>395</v>
      </c>
      <c r="D382" s="101">
        <v>26135</v>
      </c>
      <c r="E382" s="221" t="s">
        <v>211</v>
      </c>
      <c r="F382" s="221">
        <v>2007</v>
      </c>
    </row>
    <row r="383" spans="2:6">
      <c r="B383" s="254">
        <v>38854</v>
      </c>
      <c r="C383" s="221" t="s">
        <v>395</v>
      </c>
      <c r="D383" s="101">
        <v>31565</v>
      </c>
      <c r="E383" s="221" t="s">
        <v>212</v>
      </c>
      <c r="F383" s="221">
        <v>2006</v>
      </c>
    </row>
    <row r="384" spans="2:6">
      <c r="B384" s="254">
        <v>39013</v>
      </c>
      <c r="C384" s="221" t="s">
        <v>398</v>
      </c>
      <c r="D384" s="101">
        <v>24397</v>
      </c>
      <c r="E384" s="221" t="s">
        <v>210</v>
      </c>
      <c r="F384" s="221">
        <v>2006</v>
      </c>
    </row>
    <row r="385" spans="2:6">
      <c r="B385" s="254">
        <v>38975</v>
      </c>
      <c r="C385" s="221" t="s">
        <v>396</v>
      </c>
      <c r="D385" s="101">
        <v>14690</v>
      </c>
      <c r="E385" s="221" t="s">
        <v>211</v>
      </c>
      <c r="F385" s="221">
        <v>2006</v>
      </c>
    </row>
    <row r="386" spans="2:6">
      <c r="B386" s="254">
        <v>39232</v>
      </c>
      <c r="C386" s="221" t="s">
        <v>396</v>
      </c>
      <c r="D386" s="101">
        <v>26689</v>
      </c>
      <c r="E386" s="221" t="s">
        <v>211</v>
      </c>
      <c r="F386" s="221">
        <v>2007</v>
      </c>
    </row>
    <row r="387" spans="2:6">
      <c r="B387" s="254">
        <v>39464</v>
      </c>
      <c r="C387" s="221" t="s">
        <v>398</v>
      </c>
      <c r="D387" s="101">
        <v>8523</v>
      </c>
      <c r="E387" s="221" t="s">
        <v>212</v>
      </c>
      <c r="F387" s="221">
        <v>2008</v>
      </c>
    </row>
    <row r="388" spans="2:6">
      <c r="B388" s="254">
        <v>38948</v>
      </c>
      <c r="C388" s="221" t="s">
        <v>398</v>
      </c>
      <c r="D388" s="101">
        <v>39652</v>
      </c>
      <c r="E388" s="221" t="s">
        <v>213</v>
      </c>
      <c r="F388" s="221">
        <v>2006</v>
      </c>
    </row>
    <row r="389" spans="2:6">
      <c r="B389" s="254">
        <v>38914</v>
      </c>
      <c r="C389" s="221" t="s">
        <v>394</v>
      </c>
      <c r="D389" s="101">
        <v>9059</v>
      </c>
      <c r="E389" s="221" t="s">
        <v>211</v>
      </c>
      <c r="F389" s="221">
        <v>2006</v>
      </c>
    </row>
    <row r="390" spans="2:6">
      <c r="B390" s="254">
        <v>39169</v>
      </c>
      <c r="C390" s="221" t="s">
        <v>394</v>
      </c>
      <c r="D390" s="101">
        <v>32931</v>
      </c>
      <c r="E390" s="221" t="s">
        <v>213</v>
      </c>
      <c r="F390" s="221">
        <v>2007</v>
      </c>
    </row>
    <row r="391" spans="2:6">
      <c r="B391" s="254">
        <v>39408</v>
      </c>
      <c r="C391" s="221" t="s">
        <v>396</v>
      </c>
      <c r="D391" s="101">
        <v>28328</v>
      </c>
      <c r="E391" s="221" t="s">
        <v>211</v>
      </c>
      <c r="F391" s="221">
        <v>2007</v>
      </c>
    </row>
    <row r="392" spans="2:6">
      <c r="B392" s="254">
        <v>39578</v>
      </c>
      <c r="C392" s="221" t="s">
        <v>394</v>
      </c>
      <c r="D392" s="101">
        <v>20207</v>
      </c>
      <c r="E392" s="221" t="s">
        <v>213</v>
      </c>
      <c r="F392" s="221">
        <v>2008</v>
      </c>
    </row>
    <row r="393" spans="2:6">
      <c r="B393" s="254">
        <v>39353</v>
      </c>
      <c r="C393" s="221" t="s">
        <v>398</v>
      </c>
      <c r="D393" s="101">
        <v>39189</v>
      </c>
      <c r="E393" s="221" t="s">
        <v>210</v>
      </c>
      <c r="F393" s="221">
        <v>2007</v>
      </c>
    </row>
    <row r="394" spans="2:6">
      <c r="B394" s="254">
        <v>39254</v>
      </c>
      <c r="C394" s="221" t="s">
        <v>396</v>
      </c>
      <c r="D394" s="101">
        <v>13127</v>
      </c>
      <c r="E394" s="221" t="s">
        <v>212</v>
      </c>
      <c r="F394" s="221">
        <v>2007</v>
      </c>
    </row>
    <row r="395" spans="2:6">
      <c r="B395" s="254">
        <v>38798</v>
      </c>
      <c r="C395" s="221" t="s">
        <v>394</v>
      </c>
      <c r="D395" s="101">
        <v>26691</v>
      </c>
      <c r="E395" s="221" t="s">
        <v>212</v>
      </c>
      <c r="F395" s="221">
        <v>2006</v>
      </c>
    </row>
    <row r="396" spans="2:6">
      <c r="B396" s="254">
        <v>39403</v>
      </c>
      <c r="C396" s="221" t="s">
        <v>398</v>
      </c>
      <c r="D396" s="101">
        <v>11110</v>
      </c>
      <c r="E396" s="221" t="s">
        <v>213</v>
      </c>
      <c r="F396" s="221">
        <v>2007</v>
      </c>
    </row>
    <row r="397" spans="2:6">
      <c r="B397" s="254">
        <v>38949</v>
      </c>
      <c r="C397" s="221" t="s">
        <v>394</v>
      </c>
      <c r="D397" s="101">
        <v>20306</v>
      </c>
      <c r="E397" s="221" t="s">
        <v>213</v>
      </c>
      <c r="F397" s="221">
        <v>2006</v>
      </c>
    </row>
    <row r="398" spans="2:6">
      <c r="B398" s="254">
        <v>39406</v>
      </c>
      <c r="C398" s="221" t="s">
        <v>396</v>
      </c>
      <c r="D398" s="101">
        <v>14307</v>
      </c>
      <c r="E398" s="221" t="s">
        <v>210</v>
      </c>
      <c r="F398" s="221">
        <v>2007</v>
      </c>
    </row>
    <row r="399" spans="2:6">
      <c r="B399" s="254">
        <v>39112</v>
      </c>
      <c r="C399" s="221" t="s">
        <v>396</v>
      </c>
      <c r="D399" s="101">
        <v>19361</v>
      </c>
      <c r="E399" s="221" t="s">
        <v>213</v>
      </c>
      <c r="F399" s="221">
        <v>2007</v>
      </c>
    </row>
    <row r="400" spans="2:6">
      <c r="B400" s="254">
        <v>39588</v>
      </c>
      <c r="C400" s="221" t="s">
        <v>394</v>
      </c>
      <c r="D400" s="101">
        <v>26905</v>
      </c>
      <c r="E400" s="221" t="s">
        <v>210</v>
      </c>
      <c r="F400" s="221">
        <v>2008</v>
      </c>
    </row>
    <row r="401" spans="2:6">
      <c r="B401" s="254">
        <v>38842</v>
      </c>
      <c r="C401" s="221" t="s">
        <v>396</v>
      </c>
      <c r="D401" s="101">
        <v>14769</v>
      </c>
      <c r="E401" s="221" t="s">
        <v>212</v>
      </c>
      <c r="F401" s="221">
        <v>2006</v>
      </c>
    </row>
    <row r="402" spans="2:6">
      <c r="B402" s="254">
        <v>39024</v>
      </c>
      <c r="C402" s="221" t="s">
        <v>398</v>
      </c>
      <c r="D402" s="101">
        <v>9754</v>
      </c>
      <c r="E402" s="221" t="s">
        <v>211</v>
      </c>
      <c r="F402" s="221">
        <v>2006</v>
      </c>
    </row>
    <row r="403" spans="2:6">
      <c r="B403" s="254">
        <v>39052</v>
      </c>
      <c r="C403" s="221" t="s">
        <v>398</v>
      </c>
      <c r="D403" s="101">
        <v>30257</v>
      </c>
      <c r="E403" s="221" t="s">
        <v>210</v>
      </c>
      <c r="F403" s="221">
        <v>2006</v>
      </c>
    </row>
    <row r="404" spans="2:6">
      <c r="B404" s="254">
        <v>39544</v>
      </c>
      <c r="C404" s="221" t="s">
        <v>396</v>
      </c>
      <c r="D404" s="101">
        <v>16068</v>
      </c>
      <c r="E404" s="221" t="s">
        <v>211</v>
      </c>
      <c r="F404" s="221">
        <v>2008</v>
      </c>
    </row>
    <row r="405" spans="2:6">
      <c r="B405" s="254">
        <v>39517</v>
      </c>
      <c r="C405" s="221" t="s">
        <v>394</v>
      </c>
      <c r="D405" s="101">
        <v>35768</v>
      </c>
      <c r="E405" s="221" t="s">
        <v>212</v>
      </c>
      <c r="F405" s="221">
        <v>2008</v>
      </c>
    </row>
    <row r="406" spans="2:6">
      <c r="B406" s="254">
        <v>39591</v>
      </c>
      <c r="C406" s="221" t="s">
        <v>398</v>
      </c>
      <c r="D406" s="101">
        <v>38117</v>
      </c>
      <c r="E406" s="221" t="s">
        <v>211</v>
      </c>
      <c r="F406" s="221">
        <v>2008</v>
      </c>
    </row>
    <row r="407" spans="2:6">
      <c r="B407" s="254">
        <v>39359</v>
      </c>
      <c r="C407" s="221" t="s">
        <v>394</v>
      </c>
      <c r="D407" s="101">
        <v>12838</v>
      </c>
      <c r="E407" s="221" t="s">
        <v>210</v>
      </c>
      <c r="F407" s="221">
        <v>2007</v>
      </c>
    </row>
    <row r="408" spans="2:6">
      <c r="B408" s="254">
        <v>38814</v>
      </c>
      <c r="C408" s="221" t="s">
        <v>394</v>
      </c>
      <c r="D408" s="101">
        <v>16253</v>
      </c>
      <c r="E408" s="221" t="s">
        <v>210</v>
      </c>
      <c r="F408" s="221">
        <v>2006</v>
      </c>
    </row>
    <row r="409" spans="2:6">
      <c r="B409" s="254">
        <v>39387</v>
      </c>
      <c r="C409" s="221" t="s">
        <v>398</v>
      </c>
      <c r="D409" s="101">
        <v>33351</v>
      </c>
      <c r="E409" s="221" t="s">
        <v>213</v>
      </c>
      <c r="F409" s="221">
        <v>2007</v>
      </c>
    </row>
    <row r="410" spans="2:6">
      <c r="B410" s="254">
        <v>39120</v>
      </c>
      <c r="C410" s="221" t="s">
        <v>394</v>
      </c>
      <c r="D410" s="101">
        <v>5418</v>
      </c>
      <c r="E410" s="221" t="s">
        <v>213</v>
      </c>
      <c r="F410" s="221">
        <v>2007</v>
      </c>
    </row>
    <row r="411" spans="2:6">
      <c r="B411" s="254">
        <v>39282</v>
      </c>
      <c r="C411" s="221" t="s">
        <v>394</v>
      </c>
      <c r="D411" s="101">
        <v>21464</v>
      </c>
      <c r="E411" s="221" t="s">
        <v>212</v>
      </c>
      <c r="F411" s="221">
        <v>2007</v>
      </c>
    </row>
    <row r="412" spans="2:6">
      <c r="B412" s="254">
        <v>39434</v>
      </c>
      <c r="C412" s="221" t="s">
        <v>394</v>
      </c>
      <c r="D412" s="101">
        <v>18495</v>
      </c>
      <c r="E412" s="221" t="s">
        <v>211</v>
      </c>
      <c r="F412" s="221">
        <v>2007</v>
      </c>
    </row>
    <row r="413" spans="2:6">
      <c r="B413" s="254">
        <v>38869</v>
      </c>
      <c r="C413" s="221" t="s">
        <v>398</v>
      </c>
      <c r="D413" s="101">
        <v>16255</v>
      </c>
      <c r="E413" s="221" t="s">
        <v>213</v>
      </c>
      <c r="F413" s="221">
        <v>2006</v>
      </c>
    </row>
    <row r="414" spans="2:6">
      <c r="B414" s="254">
        <v>39187</v>
      </c>
      <c r="C414" s="221" t="s">
        <v>396</v>
      </c>
      <c r="D414" s="101">
        <v>7018</v>
      </c>
      <c r="E414" s="221" t="s">
        <v>210</v>
      </c>
      <c r="F414" s="221">
        <v>2007</v>
      </c>
    </row>
    <row r="415" spans="2:6">
      <c r="B415" s="254">
        <v>38786</v>
      </c>
      <c r="C415" s="221" t="s">
        <v>396</v>
      </c>
      <c r="D415" s="101">
        <v>8435</v>
      </c>
      <c r="E415" s="221" t="s">
        <v>210</v>
      </c>
      <c r="F415" s="221">
        <v>2006</v>
      </c>
    </row>
    <row r="416" spans="2:6">
      <c r="B416" s="254">
        <v>39565</v>
      </c>
      <c r="C416" s="221" t="s">
        <v>398</v>
      </c>
      <c r="D416" s="101">
        <v>35284</v>
      </c>
      <c r="E416" s="221" t="s">
        <v>211</v>
      </c>
      <c r="F416" s="221">
        <v>2008</v>
      </c>
    </row>
    <row r="417" spans="2:6">
      <c r="B417" s="254">
        <v>38796</v>
      </c>
      <c r="C417" s="221" t="s">
        <v>395</v>
      </c>
      <c r="D417" s="101">
        <v>14096</v>
      </c>
      <c r="E417" s="221" t="s">
        <v>210</v>
      </c>
      <c r="F417" s="221">
        <v>2006</v>
      </c>
    </row>
    <row r="418" spans="2:6">
      <c r="B418" s="254">
        <v>39001</v>
      </c>
      <c r="C418" s="221" t="s">
        <v>398</v>
      </c>
      <c r="D418" s="101">
        <v>20320</v>
      </c>
      <c r="E418" s="221" t="s">
        <v>212</v>
      </c>
      <c r="F418" s="221">
        <v>2006</v>
      </c>
    </row>
    <row r="419" spans="2:6">
      <c r="B419" s="254">
        <v>39080</v>
      </c>
      <c r="C419" s="221" t="s">
        <v>396</v>
      </c>
      <c r="D419" s="101">
        <v>6554</v>
      </c>
      <c r="E419" s="221" t="s">
        <v>211</v>
      </c>
      <c r="F419" s="221">
        <v>2006</v>
      </c>
    </row>
    <row r="420" spans="2:6">
      <c r="B420" s="254">
        <v>39599</v>
      </c>
      <c r="C420" s="221" t="s">
        <v>395</v>
      </c>
      <c r="D420" s="101">
        <v>34398</v>
      </c>
      <c r="E420" s="221" t="s">
        <v>211</v>
      </c>
      <c r="F420" s="221">
        <v>2008</v>
      </c>
    </row>
    <row r="421" spans="2:6">
      <c r="B421" s="254">
        <v>39131</v>
      </c>
      <c r="C421" s="221" t="s">
        <v>395</v>
      </c>
      <c r="D421" s="101">
        <v>27803</v>
      </c>
      <c r="E421" s="221" t="s">
        <v>213</v>
      </c>
      <c r="F421" s="221">
        <v>2007</v>
      </c>
    </row>
    <row r="422" spans="2:6">
      <c r="B422" s="254">
        <v>39534</v>
      </c>
      <c r="C422" s="221" t="s">
        <v>398</v>
      </c>
      <c r="D422" s="101">
        <v>19387</v>
      </c>
      <c r="E422" s="221" t="s">
        <v>212</v>
      </c>
      <c r="F422" s="221">
        <v>2008</v>
      </c>
    </row>
    <row r="423" spans="2:6">
      <c r="B423" s="254">
        <v>38954</v>
      </c>
      <c r="C423" s="221" t="s">
        <v>396</v>
      </c>
      <c r="D423" s="101">
        <v>15961</v>
      </c>
      <c r="E423" s="221" t="s">
        <v>213</v>
      </c>
      <c r="F423" s="221">
        <v>2006</v>
      </c>
    </row>
    <row r="424" spans="2:6">
      <c r="B424" s="254">
        <v>39265</v>
      </c>
      <c r="C424" s="221" t="s">
        <v>395</v>
      </c>
      <c r="D424" s="101">
        <v>28097</v>
      </c>
      <c r="E424" s="221" t="s">
        <v>210</v>
      </c>
      <c r="F424" s="221">
        <v>2007</v>
      </c>
    </row>
    <row r="425" spans="2:6">
      <c r="B425" s="254">
        <v>39350</v>
      </c>
      <c r="C425" s="221" t="s">
        <v>394</v>
      </c>
      <c r="D425" s="101">
        <v>33232</v>
      </c>
      <c r="E425" s="221" t="s">
        <v>213</v>
      </c>
      <c r="F425" s="221">
        <v>2007</v>
      </c>
    </row>
    <row r="426" spans="2:6">
      <c r="B426" s="254">
        <v>38852</v>
      </c>
      <c r="C426" s="221" t="s">
        <v>394</v>
      </c>
      <c r="D426" s="101">
        <v>37903</v>
      </c>
      <c r="E426" s="221" t="s">
        <v>211</v>
      </c>
      <c r="F426" s="221">
        <v>2006</v>
      </c>
    </row>
    <row r="427" spans="2:6">
      <c r="B427" s="254">
        <v>38834</v>
      </c>
      <c r="C427" s="221" t="s">
        <v>395</v>
      </c>
      <c r="D427" s="101">
        <v>21020</v>
      </c>
      <c r="E427" s="221" t="s">
        <v>213</v>
      </c>
      <c r="F427" s="221">
        <v>2006</v>
      </c>
    </row>
    <row r="428" spans="2:6">
      <c r="B428" s="254">
        <v>38776</v>
      </c>
      <c r="C428" s="221" t="s">
        <v>398</v>
      </c>
      <c r="D428" s="101">
        <v>11958</v>
      </c>
      <c r="E428" s="221" t="s">
        <v>213</v>
      </c>
      <c r="F428" s="221">
        <v>2006</v>
      </c>
    </row>
    <row r="429" spans="2:6">
      <c r="B429" s="254">
        <v>39242</v>
      </c>
      <c r="C429" s="221" t="s">
        <v>394</v>
      </c>
      <c r="D429" s="101">
        <v>36909</v>
      </c>
      <c r="E429" s="221" t="s">
        <v>211</v>
      </c>
      <c r="F429" s="221">
        <v>2007</v>
      </c>
    </row>
    <row r="430" spans="2:6">
      <c r="B430" s="254">
        <v>39547</v>
      </c>
      <c r="C430" s="221" t="s">
        <v>394</v>
      </c>
      <c r="D430" s="101">
        <v>12981</v>
      </c>
      <c r="E430" s="221" t="s">
        <v>211</v>
      </c>
      <c r="F430" s="221">
        <v>2008</v>
      </c>
    </row>
    <row r="431" spans="2:6">
      <c r="B431" s="254">
        <v>39465</v>
      </c>
      <c r="C431" s="221" t="s">
        <v>395</v>
      </c>
      <c r="D431" s="101">
        <v>16556</v>
      </c>
      <c r="E431" s="221" t="s">
        <v>211</v>
      </c>
      <c r="F431" s="221">
        <v>2008</v>
      </c>
    </row>
    <row r="432" spans="2:6">
      <c r="B432" s="254">
        <v>38969</v>
      </c>
      <c r="C432" s="221" t="s">
        <v>396</v>
      </c>
      <c r="D432" s="101">
        <v>33297</v>
      </c>
      <c r="E432" s="221" t="s">
        <v>210</v>
      </c>
      <c r="F432" s="221">
        <v>2006</v>
      </c>
    </row>
    <row r="433" spans="2:6">
      <c r="B433" s="254">
        <v>38792</v>
      </c>
      <c r="C433" s="221" t="s">
        <v>398</v>
      </c>
      <c r="D433" s="101">
        <v>29283</v>
      </c>
      <c r="E433" s="221" t="s">
        <v>212</v>
      </c>
      <c r="F433" s="221">
        <v>2006</v>
      </c>
    </row>
    <row r="434" spans="2:6">
      <c r="B434" s="254">
        <v>38925</v>
      </c>
      <c r="C434" s="221" t="s">
        <v>394</v>
      </c>
      <c r="D434" s="101">
        <v>26584</v>
      </c>
      <c r="E434" s="221" t="s">
        <v>212</v>
      </c>
      <c r="F434" s="221">
        <v>2006</v>
      </c>
    </row>
    <row r="435" spans="2:6">
      <c r="B435" s="254">
        <v>39069</v>
      </c>
      <c r="C435" s="221" t="s">
        <v>395</v>
      </c>
      <c r="D435" s="101">
        <v>31841</v>
      </c>
      <c r="E435" s="221" t="s">
        <v>210</v>
      </c>
      <c r="F435" s="221">
        <v>2006</v>
      </c>
    </row>
    <row r="436" spans="2:6">
      <c r="B436" s="254">
        <v>38985</v>
      </c>
      <c r="C436" s="221" t="s">
        <v>398</v>
      </c>
      <c r="D436" s="101">
        <v>13232</v>
      </c>
      <c r="E436" s="221" t="s">
        <v>213</v>
      </c>
      <c r="F436" s="221">
        <v>2006</v>
      </c>
    </row>
    <row r="437" spans="2:6">
      <c r="B437" s="254">
        <v>38926</v>
      </c>
      <c r="C437" s="221" t="s">
        <v>396</v>
      </c>
      <c r="D437" s="101">
        <v>16065</v>
      </c>
      <c r="E437" s="221" t="s">
        <v>213</v>
      </c>
      <c r="F437" s="221">
        <v>2006</v>
      </c>
    </row>
    <row r="438" spans="2:6">
      <c r="B438" s="254">
        <v>39217</v>
      </c>
      <c r="C438" s="221" t="s">
        <v>398</v>
      </c>
      <c r="D438" s="101">
        <v>35299</v>
      </c>
      <c r="E438" s="221" t="s">
        <v>212</v>
      </c>
      <c r="F438" s="221">
        <v>2007</v>
      </c>
    </row>
    <row r="439" spans="2:6">
      <c r="B439" s="254">
        <v>39346</v>
      </c>
      <c r="C439" s="221" t="s">
        <v>398</v>
      </c>
      <c r="D439" s="101">
        <v>13661</v>
      </c>
      <c r="E439" s="221" t="s">
        <v>211</v>
      </c>
      <c r="F439" s="221">
        <v>2007</v>
      </c>
    </row>
    <row r="440" spans="2:6">
      <c r="B440" s="254">
        <v>39025</v>
      </c>
      <c r="C440" s="221" t="s">
        <v>396</v>
      </c>
      <c r="D440" s="101">
        <v>15719</v>
      </c>
      <c r="E440" s="221" t="s">
        <v>212</v>
      </c>
      <c r="F440" s="221">
        <v>2006</v>
      </c>
    </row>
    <row r="441" spans="2:6">
      <c r="B441" s="254">
        <v>39613</v>
      </c>
      <c r="C441" s="221" t="s">
        <v>394</v>
      </c>
      <c r="D441" s="101">
        <v>11957</v>
      </c>
      <c r="E441" s="221" t="s">
        <v>212</v>
      </c>
      <c r="F441" s="221">
        <v>2008</v>
      </c>
    </row>
    <row r="442" spans="2:6">
      <c r="B442" s="254">
        <v>38864</v>
      </c>
      <c r="C442" s="221" t="s">
        <v>398</v>
      </c>
      <c r="D442" s="101">
        <v>9765</v>
      </c>
      <c r="E442" s="221" t="s">
        <v>210</v>
      </c>
      <c r="F442" s="221">
        <v>2006</v>
      </c>
    </row>
    <row r="443" spans="2:6">
      <c r="B443" s="254">
        <v>39473</v>
      </c>
      <c r="C443" s="221" t="s">
        <v>395</v>
      </c>
      <c r="D443" s="101">
        <v>12153</v>
      </c>
      <c r="E443" s="221" t="s">
        <v>213</v>
      </c>
      <c r="F443" s="221">
        <v>2008</v>
      </c>
    </row>
    <row r="444" spans="2:6">
      <c r="B444" s="254">
        <v>39359</v>
      </c>
      <c r="C444" s="221" t="s">
        <v>394</v>
      </c>
      <c r="D444" s="101">
        <v>15808</v>
      </c>
      <c r="E444" s="221" t="s">
        <v>211</v>
      </c>
      <c r="F444" s="221">
        <v>2007</v>
      </c>
    </row>
    <row r="445" spans="2:6">
      <c r="B445" s="254">
        <v>39227</v>
      </c>
      <c r="C445" s="221" t="s">
        <v>396</v>
      </c>
      <c r="D445" s="101">
        <v>21257</v>
      </c>
      <c r="E445" s="221" t="s">
        <v>213</v>
      </c>
      <c r="F445" s="221">
        <v>2007</v>
      </c>
    </row>
    <row r="446" spans="2:6">
      <c r="B446" s="254">
        <v>39044</v>
      </c>
      <c r="C446" s="221" t="s">
        <v>396</v>
      </c>
      <c r="D446" s="101">
        <v>31487</v>
      </c>
      <c r="E446" s="221" t="s">
        <v>210</v>
      </c>
      <c r="F446" s="221">
        <v>2006</v>
      </c>
    </row>
    <row r="447" spans="2:6">
      <c r="B447" s="254">
        <v>38725</v>
      </c>
      <c r="C447" s="221" t="s">
        <v>394</v>
      </c>
      <c r="D447" s="101">
        <v>34430</v>
      </c>
      <c r="E447" s="221" t="s">
        <v>212</v>
      </c>
      <c r="F447" s="221">
        <v>2006</v>
      </c>
    </row>
    <row r="448" spans="2:6">
      <c r="B448" s="254">
        <v>38948</v>
      </c>
      <c r="C448" s="221" t="s">
        <v>396</v>
      </c>
      <c r="D448" s="101">
        <v>22228</v>
      </c>
      <c r="E448" s="221" t="s">
        <v>211</v>
      </c>
      <c r="F448" s="221">
        <v>2006</v>
      </c>
    </row>
    <row r="449" spans="2:6">
      <c r="B449" s="254">
        <v>39160</v>
      </c>
      <c r="C449" s="221" t="s">
        <v>396</v>
      </c>
      <c r="D449" s="101">
        <v>39175</v>
      </c>
      <c r="E449" s="221" t="s">
        <v>213</v>
      </c>
      <c r="F449" s="221">
        <v>2007</v>
      </c>
    </row>
    <row r="450" spans="2:6">
      <c r="B450" s="254">
        <v>39357</v>
      </c>
      <c r="C450" s="221" t="s">
        <v>395</v>
      </c>
      <c r="D450" s="101">
        <v>7641</v>
      </c>
      <c r="E450" s="221" t="s">
        <v>212</v>
      </c>
      <c r="F450" s="221">
        <v>2007</v>
      </c>
    </row>
    <row r="451" spans="2:6">
      <c r="B451" s="254">
        <v>38899</v>
      </c>
      <c r="C451" s="221" t="s">
        <v>394</v>
      </c>
      <c r="D451" s="101">
        <v>17918</v>
      </c>
      <c r="E451" s="221" t="s">
        <v>210</v>
      </c>
      <c r="F451" s="221">
        <v>2006</v>
      </c>
    </row>
    <row r="452" spans="2:6">
      <c r="B452" s="254">
        <v>38964</v>
      </c>
      <c r="C452" s="221" t="s">
        <v>394</v>
      </c>
      <c r="D452" s="101">
        <v>14060</v>
      </c>
      <c r="E452" s="221" t="s">
        <v>213</v>
      </c>
      <c r="F452" s="221">
        <v>2006</v>
      </c>
    </row>
    <row r="453" spans="2:6">
      <c r="B453" s="254">
        <v>39013</v>
      </c>
      <c r="C453" s="221" t="s">
        <v>395</v>
      </c>
      <c r="D453" s="101">
        <v>24304</v>
      </c>
      <c r="E453" s="221" t="s">
        <v>210</v>
      </c>
      <c r="F453" s="221">
        <v>2006</v>
      </c>
    </row>
    <row r="454" spans="2:6">
      <c r="B454" s="254">
        <v>39157</v>
      </c>
      <c r="C454" s="221" t="s">
        <v>396</v>
      </c>
      <c r="D454" s="101">
        <v>32012</v>
      </c>
      <c r="E454" s="221" t="s">
        <v>213</v>
      </c>
      <c r="F454" s="221">
        <v>2007</v>
      </c>
    </row>
    <row r="455" spans="2:6">
      <c r="B455" s="254">
        <v>39448</v>
      </c>
      <c r="C455" s="221" t="s">
        <v>395</v>
      </c>
      <c r="D455" s="101">
        <v>22995</v>
      </c>
      <c r="E455" s="221" t="s">
        <v>211</v>
      </c>
      <c r="F455" s="221">
        <v>2008</v>
      </c>
    </row>
    <row r="456" spans="2:6">
      <c r="B456" s="254">
        <v>38911</v>
      </c>
      <c r="C456" s="221" t="s">
        <v>395</v>
      </c>
      <c r="D456" s="101">
        <v>32098</v>
      </c>
      <c r="E456" s="221" t="s">
        <v>211</v>
      </c>
      <c r="F456" s="221">
        <v>2006</v>
      </c>
    </row>
    <row r="457" spans="2:6">
      <c r="B457" s="254">
        <v>38904</v>
      </c>
      <c r="C457" s="221" t="s">
        <v>395</v>
      </c>
      <c r="D457" s="101">
        <v>23888</v>
      </c>
      <c r="E457" s="221" t="s">
        <v>211</v>
      </c>
      <c r="F457" s="221">
        <v>2006</v>
      </c>
    </row>
    <row r="458" spans="2:6">
      <c r="B458" s="254">
        <v>39176</v>
      </c>
      <c r="C458" s="221" t="s">
        <v>396</v>
      </c>
      <c r="D458" s="101">
        <v>31118</v>
      </c>
      <c r="E458" s="221" t="s">
        <v>212</v>
      </c>
      <c r="F458" s="221">
        <v>2007</v>
      </c>
    </row>
    <row r="459" spans="2:6">
      <c r="B459" s="254">
        <v>38988</v>
      </c>
      <c r="C459" s="221" t="s">
        <v>398</v>
      </c>
      <c r="D459" s="101">
        <v>11418</v>
      </c>
      <c r="E459" s="221" t="s">
        <v>211</v>
      </c>
      <c r="F459" s="221">
        <v>2006</v>
      </c>
    </row>
    <row r="460" spans="2:6">
      <c r="B460" s="254">
        <v>39140</v>
      </c>
      <c r="C460" s="221" t="s">
        <v>395</v>
      </c>
      <c r="D460" s="101">
        <v>10006</v>
      </c>
      <c r="E460" s="221" t="s">
        <v>212</v>
      </c>
      <c r="F460" s="221">
        <v>2007</v>
      </c>
    </row>
    <row r="461" spans="2:6">
      <c r="B461" s="254">
        <v>39216</v>
      </c>
      <c r="C461" s="221" t="s">
        <v>394</v>
      </c>
      <c r="D461" s="101">
        <v>35320</v>
      </c>
      <c r="E461" s="221" t="s">
        <v>213</v>
      </c>
      <c r="F461" s="221">
        <v>2007</v>
      </c>
    </row>
    <row r="462" spans="2:6">
      <c r="B462" s="254">
        <v>38941</v>
      </c>
      <c r="C462" s="221" t="s">
        <v>398</v>
      </c>
      <c r="D462" s="101">
        <v>22282</v>
      </c>
      <c r="E462" s="221" t="s">
        <v>212</v>
      </c>
      <c r="F462" s="221">
        <v>2006</v>
      </c>
    </row>
    <row r="463" spans="2:6">
      <c r="B463" s="254">
        <v>39370</v>
      </c>
      <c r="C463" s="221" t="s">
        <v>398</v>
      </c>
      <c r="D463" s="101">
        <v>33933</v>
      </c>
      <c r="E463" s="221" t="s">
        <v>211</v>
      </c>
      <c r="F463" s="221">
        <v>2007</v>
      </c>
    </row>
    <row r="464" spans="2:6">
      <c r="B464" s="254">
        <v>39064</v>
      </c>
      <c r="C464" s="221" t="s">
        <v>396</v>
      </c>
      <c r="D464" s="101">
        <v>12905</v>
      </c>
      <c r="E464" s="221" t="s">
        <v>212</v>
      </c>
      <c r="F464" s="221">
        <v>2006</v>
      </c>
    </row>
    <row r="465" spans="2:6">
      <c r="B465" s="254">
        <v>39368</v>
      </c>
      <c r="C465" s="221" t="s">
        <v>395</v>
      </c>
      <c r="D465" s="101">
        <v>5816</v>
      </c>
      <c r="E465" s="221" t="s">
        <v>213</v>
      </c>
      <c r="F465" s="221">
        <v>2007</v>
      </c>
    </row>
    <row r="466" spans="2:6">
      <c r="B466" s="254">
        <v>39084</v>
      </c>
      <c r="C466" s="221" t="s">
        <v>394</v>
      </c>
      <c r="D466" s="101">
        <v>7796</v>
      </c>
      <c r="E466" s="221" t="s">
        <v>210</v>
      </c>
      <c r="F466" s="221">
        <v>2007</v>
      </c>
    </row>
    <row r="467" spans="2:6">
      <c r="B467" s="254">
        <v>38975</v>
      </c>
      <c r="C467" s="221" t="s">
        <v>398</v>
      </c>
      <c r="D467" s="101">
        <v>5569</v>
      </c>
      <c r="E467" s="221" t="s">
        <v>211</v>
      </c>
      <c r="F467" s="221">
        <v>2006</v>
      </c>
    </row>
    <row r="468" spans="2:6">
      <c r="B468" s="254">
        <v>38950</v>
      </c>
      <c r="C468" s="221" t="s">
        <v>395</v>
      </c>
      <c r="D468" s="101">
        <v>31819</v>
      </c>
      <c r="E468" s="221" t="s">
        <v>212</v>
      </c>
      <c r="F468" s="221">
        <v>2006</v>
      </c>
    </row>
    <row r="469" spans="2:6">
      <c r="B469" s="254">
        <v>38924</v>
      </c>
      <c r="C469" s="221" t="s">
        <v>398</v>
      </c>
      <c r="D469" s="101">
        <v>31268</v>
      </c>
      <c r="E469" s="221" t="s">
        <v>211</v>
      </c>
      <c r="F469" s="221">
        <v>2006</v>
      </c>
    </row>
    <row r="470" spans="2:6">
      <c r="B470" s="254">
        <v>39350</v>
      </c>
      <c r="C470" s="221" t="s">
        <v>396</v>
      </c>
      <c r="D470" s="101">
        <v>36527</v>
      </c>
      <c r="E470" s="221" t="s">
        <v>212</v>
      </c>
      <c r="F470" s="221">
        <v>2007</v>
      </c>
    </row>
    <row r="471" spans="2:6">
      <c r="B471" s="254">
        <v>38851</v>
      </c>
      <c r="C471" s="221" t="s">
        <v>396</v>
      </c>
      <c r="D471" s="101">
        <v>33790</v>
      </c>
      <c r="E471" s="221" t="s">
        <v>212</v>
      </c>
      <c r="F471" s="221">
        <v>2006</v>
      </c>
    </row>
    <row r="472" spans="2:6">
      <c r="B472" s="254">
        <v>38897</v>
      </c>
      <c r="C472" s="221" t="s">
        <v>395</v>
      </c>
      <c r="D472" s="101">
        <v>28406</v>
      </c>
      <c r="E472" s="221" t="s">
        <v>210</v>
      </c>
      <c r="F472" s="221">
        <v>2006</v>
      </c>
    </row>
    <row r="473" spans="2:6">
      <c r="B473" s="254">
        <v>38904</v>
      </c>
      <c r="C473" s="221" t="s">
        <v>395</v>
      </c>
      <c r="D473" s="101">
        <v>15760</v>
      </c>
      <c r="E473" s="221" t="s">
        <v>210</v>
      </c>
      <c r="F473" s="221">
        <v>2006</v>
      </c>
    </row>
    <row r="474" spans="2:6">
      <c r="B474" s="254">
        <v>39553</v>
      </c>
      <c r="C474" s="221" t="s">
        <v>395</v>
      </c>
      <c r="D474" s="101">
        <v>11188</v>
      </c>
      <c r="E474" s="221" t="s">
        <v>213</v>
      </c>
      <c r="F474" s="221">
        <v>2008</v>
      </c>
    </row>
    <row r="475" spans="2:6">
      <c r="B475" s="254">
        <v>39493</v>
      </c>
      <c r="C475" s="221" t="s">
        <v>398</v>
      </c>
      <c r="D475" s="101">
        <v>13313</v>
      </c>
      <c r="E475" s="221" t="s">
        <v>211</v>
      </c>
      <c r="F475" s="221">
        <v>2008</v>
      </c>
    </row>
    <row r="476" spans="2:6">
      <c r="B476" s="254">
        <v>38860</v>
      </c>
      <c r="C476" s="221" t="s">
        <v>396</v>
      </c>
      <c r="D476" s="101">
        <v>29785</v>
      </c>
      <c r="E476" s="221" t="s">
        <v>213</v>
      </c>
      <c r="F476" s="221">
        <v>2006</v>
      </c>
    </row>
    <row r="477" spans="2:6">
      <c r="B477" s="254">
        <v>38835</v>
      </c>
      <c r="C477" s="221" t="s">
        <v>396</v>
      </c>
      <c r="D477" s="101">
        <v>5832</v>
      </c>
      <c r="E477" s="221" t="s">
        <v>211</v>
      </c>
      <c r="F477" s="221">
        <v>2006</v>
      </c>
    </row>
    <row r="478" spans="2:6">
      <c r="B478" s="254">
        <v>38905</v>
      </c>
      <c r="C478" s="221" t="s">
        <v>398</v>
      </c>
      <c r="D478" s="101">
        <v>17185</v>
      </c>
      <c r="E478" s="221" t="s">
        <v>212</v>
      </c>
      <c r="F478" s="221">
        <v>2006</v>
      </c>
    </row>
    <row r="479" spans="2:6">
      <c r="B479" s="254">
        <v>39058</v>
      </c>
      <c r="C479" s="221" t="s">
        <v>395</v>
      </c>
      <c r="D479" s="101">
        <v>35194</v>
      </c>
      <c r="E479" s="221" t="s">
        <v>211</v>
      </c>
      <c r="F479" s="221">
        <v>2006</v>
      </c>
    </row>
    <row r="480" spans="2:6">
      <c r="B480" s="254">
        <v>39203</v>
      </c>
      <c r="C480" s="221" t="s">
        <v>398</v>
      </c>
      <c r="D480" s="101">
        <v>36571</v>
      </c>
      <c r="E480" s="221" t="s">
        <v>213</v>
      </c>
      <c r="F480" s="221">
        <v>2007</v>
      </c>
    </row>
    <row r="481" spans="2:6">
      <c r="B481" s="254">
        <v>39034</v>
      </c>
      <c r="C481" s="221" t="s">
        <v>396</v>
      </c>
      <c r="D481" s="101">
        <v>25928</v>
      </c>
      <c r="E481" s="221" t="s">
        <v>210</v>
      </c>
      <c r="F481" s="221">
        <v>2006</v>
      </c>
    </row>
    <row r="482" spans="2:6">
      <c r="B482" s="254">
        <v>38740</v>
      </c>
      <c r="C482" s="221" t="s">
        <v>395</v>
      </c>
      <c r="D482" s="101">
        <v>31914</v>
      </c>
      <c r="E482" s="221" t="s">
        <v>213</v>
      </c>
      <c r="F482" s="221">
        <v>2006</v>
      </c>
    </row>
    <row r="483" spans="2:6">
      <c r="B483" s="254">
        <v>38776</v>
      </c>
      <c r="C483" s="221" t="s">
        <v>396</v>
      </c>
      <c r="D483" s="101">
        <v>16415</v>
      </c>
      <c r="E483" s="221" t="s">
        <v>213</v>
      </c>
      <c r="F483" s="221">
        <v>2006</v>
      </c>
    </row>
    <row r="484" spans="2:6">
      <c r="B484" s="254">
        <v>39529</v>
      </c>
      <c r="C484" s="221" t="s">
        <v>394</v>
      </c>
      <c r="D484" s="101">
        <v>29864</v>
      </c>
      <c r="E484" s="221" t="s">
        <v>212</v>
      </c>
      <c r="F484" s="221">
        <v>2008</v>
      </c>
    </row>
    <row r="485" spans="2:6">
      <c r="B485" s="254">
        <v>38891</v>
      </c>
      <c r="C485" s="221" t="s">
        <v>395</v>
      </c>
      <c r="D485" s="101">
        <v>11227</v>
      </c>
      <c r="E485" s="221" t="s">
        <v>212</v>
      </c>
      <c r="F485" s="221">
        <v>2006</v>
      </c>
    </row>
    <row r="486" spans="2:6">
      <c r="B486" s="254">
        <v>39542</v>
      </c>
      <c r="C486" s="221" t="s">
        <v>395</v>
      </c>
      <c r="D486" s="101">
        <v>9090</v>
      </c>
      <c r="E486" s="221" t="s">
        <v>212</v>
      </c>
      <c r="F486" s="221">
        <v>2008</v>
      </c>
    </row>
    <row r="487" spans="2:6">
      <c r="B487" s="254">
        <v>39478</v>
      </c>
      <c r="C487" s="221" t="s">
        <v>396</v>
      </c>
      <c r="D487" s="101">
        <v>9021</v>
      </c>
      <c r="E487" s="221" t="s">
        <v>212</v>
      </c>
      <c r="F487" s="221">
        <v>2008</v>
      </c>
    </row>
    <row r="488" spans="2:6">
      <c r="B488" s="254">
        <v>39561</v>
      </c>
      <c r="C488" s="221" t="s">
        <v>396</v>
      </c>
      <c r="D488" s="101">
        <v>22615</v>
      </c>
      <c r="E488" s="221" t="s">
        <v>213</v>
      </c>
      <c r="F488" s="221">
        <v>2008</v>
      </c>
    </row>
    <row r="489" spans="2:6">
      <c r="B489" s="254">
        <v>39045</v>
      </c>
      <c r="C489" s="221" t="s">
        <v>394</v>
      </c>
      <c r="D489" s="101">
        <v>14747</v>
      </c>
      <c r="E489" s="221" t="s">
        <v>212</v>
      </c>
      <c r="F489" s="221">
        <v>2006</v>
      </c>
    </row>
    <row r="490" spans="2:6">
      <c r="B490" s="254">
        <v>39169</v>
      </c>
      <c r="C490" s="221" t="s">
        <v>396</v>
      </c>
      <c r="D490" s="101">
        <v>38685</v>
      </c>
      <c r="E490" s="221" t="s">
        <v>212</v>
      </c>
      <c r="F490" s="221">
        <v>2007</v>
      </c>
    </row>
    <row r="491" spans="2:6">
      <c r="B491" s="254">
        <v>39457</v>
      </c>
      <c r="C491" s="221" t="s">
        <v>398</v>
      </c>
      <c r="D491" s="101">
        <v>29614</v>
      </c>
      <c r="E491" s="221" t="s">
        <v>213</v>
      </c>
      <c r="F491" s="221">
        <v>2008</v>
      </c>
    </row>
    <row r="492" spans="2:6">
      <c r="B492" s="254">
        <v>39554</v>
      </c>
      <c r="C492" s="221" t="s">
        <v>395</v>
      </c>
      <c r="D492" s="101">
        <v>19224</v>
      </c>
      <c r="E492" s="221" t="s">
        <v>211</v>
      </c>
      <c r="F492" s="221">
        <v>2008</v>
      </c>
    </row>
    <row r="493" spans="2:6">
      <c r="B493" s="254">
        <v>39128</v>
      </c>
      <c r="C493" s="221" t="s">
        <v>395</v>
      </c>
      <c r="D493" s="101">
        <v>20715</v>
      </c>
      <c r="E493" s="221" t="s">
        <v>213</v>
      </c>
      <c r="F493" s="221">
        <v>2007</v>
      </c>
    </row>
    <row r="494" spans="2:6">
      <c r="B494" s="254">
        <v>38721</v>
      </c>
      <c r="C494" s="221" t="s">
        <v>398</v>
      </c>
      <c r="D494" s="101">
        <v>15784</v>
      </c>
      <c r="E494" s="221" t="s">
        <v>210</v>
      </c>
      <c r="F494" s="221">
        <v>2006</v>
      </c>
    </row>
    <row r="495" spans="2:6">
      <c r="B495" s="254">
        <v>38862</v>
      </c>
      <c r="C495" s="221" t="s">
        <v>396</v>
      </c>
      <c r="D495" s="101">
        <v>7133</v>
      </c>
      <c r="E495" s="221" t="s">
        <v>211</v>
      </c>
      <c r="F495" s="221">
        <v>2006</v>
      </c>
    </row>
    <row r="496" spans="2:6">
      <c r="B496" s="254">
        <v>39050</v>
      </c>
      <c r="C496" s="221" t="s">
        <v>396</v>
      </c>
      <c r="D496" s="101">
        <v>35990</v>
      </c>
      <c r="E496" s="221" t="s">
        <v>211</v>
      </c>
      <c r="F496" s="221">
        <v>2006</v>
      </c>
    </row>
    <row r="497" spans="2:6">
      <c r="B497" s="254">
        <v>38898</v>
      </c>
      <c r="C497" s="221" t="s">
        <v>396</v>
      </c>
      <c r="D497" s="101">
        <v>11183</v>
      </c>
      <c r="E497" s="221" t="s">
        <v>213</v>
      </c>
      <c r="F497" s="221">
        <v>2006</v>
      </c>
    </row>
    <row r="498" spans="2:6">
      <c r="B498" s="254">
        <v>39446</v>
      </c>
      <c r="C498" s="221" t="s">
        <v>396</v>
      </c>
      <c r="D498" s="101">
        <v>33064</v>
      </c>
      <c r="E498" s="221" t="s">
        <v>210</v>
      </c>
      <c r="F498" s="221">
        <v>2007</v>
      </c>
    </row>
    <row r="499" spans="2:6">
      <c r="B499" s="254">
        <v>39172</v>
      </c>
      <c r="C499" s="221" t="s">
        <v>396</v>
      </c>
      <c r="D499" s="101">
        <v>36044</v>
      </c>
      <c r="E499" s="221" t="s">
        <v>212</v>
      </c>
      <c r="F499" s="221">
        <v>2007</v>
      </c>
    </row>
    <row r="500" spans="2:6">
      <c r="B500" s="254">
        <v>39170</v>
      </c>
      <c r="C500" s="221" t="s">
        <v>394</v>
      </c>
      <c r="D500" s="101">
        <v>28358</v>
      </c>
      <c r="E500" s="221" t="s">
        <v>211</v>
      </c>
      <c r="F500" s="221">
        <v>2007</v>
      </c>
    </row>
    <row r="501" spans="2:6">
      <c r="B501" s="254">
        <v>38901</v>
      </c>
      <c r="C501" s="221" t="s">
        <v>395</v>
      </c>
      <c r="D501" s="101">
        <v>37400</v>
      </c>
      <c r="E501" s="221" t="s">
        <v>213</v>
      </c>
      <c r="F501" s="221">
        <v>2006</v>
      </c>
    </row>
    <row r="502" spans="2:6">
      <c r="B502" s="254">
        <v>39571</v>
      </c>
      <c r="C502" s="221" t="s">
        <v>394</v>
      </c>
      <c r="D502" s="101">
        <v>24455</v>
      </c>
      <c r="E502" s="221" t="s">
        <v>211</v>
      </c>
      <c r="F502" s="221">
        <v>2008</v>
      </c>
    </row>
    <row r="503" spans="2:6">
      <c r="B503" s="254">
        <v>39257</v>
      </c>
      <c r="C503" s="221" t="s">
        <v>394</v>
      </c>
      <c r="D503" s="101">
        <v>14584</v>
      </c>
      <c r="E503" s="221" t="s">
        <v>210</v>
      </c>
      <c r="F503" s="221">
        <v>2007</v>
      </c>
    </row>
    <row r="504" spans="2:6">
      <c r="B504" s="254">
        <v>39315</v>
      </c>
      <c r="C504" s="221" t="s">
        <v>395</v>
      </c>
      <c r="D504" s="101">
        <v>31595</v>
      </c>
      <c r="E504" s="221" t="s">
        <v>212</v>
      </c>
      <c r="F504" s="221">
        <v>2007</v>
      </c>
    </row>
    <row r="505" spans="2:6">
      <c r="B505" s="254">
        <v>39296</v>
      </c>
      <c r="C505" s="221" t="s">
        <v>398</v>
      </c>
      <c r="D505" s="101">
        <v>38126</v>
      </c>
      <c r="E505" s="221" t="s">
        <v>211</v>
      </c>
      <c r="F505" s="221">
        <v>2007</v>
      </c>
    </row>
    <row r="506" spans="2:6">
      <c r="B506" s="254">
        <v>39522</v>
      </c>
      <c r="C506" s="221" t="s">
        <v>398</v>
      </c>
      <c r="D506" s="101">
        <v>14855</v>
      </c>
      <c r="E506" s="221" t="s">
        <v>212</v>
      </c>
      <c r="F506" s="221">
        <v>2008</v>
      </c>
    </row>
    <row r="507" spans="2:6">
      <c r="B507" s="254">
        <v>39070</v>
      </c>
      <c r="C507" s="221" t="s">
        <v>396</v>
      </c>
      <c r="D507" s="101">
        <v>32868</v>
      </c>
      <c r="E507" s="221" t="s">
        <v>212</v>
      </c>
      <c r="F507" s="221">
        <v>2006</v>
      </c>
    </row>
    <row r="508" spans="2:6">
      <c r="B508" s="254">
        <v>39524</v>
      </c>
      <c r="C508" s="221" t="s">
        <v>395</v>
      </c>
      <c r="D508" s="101">
        <v>10564</v>
      </c>
      <c r="E508" s="221" t="s">
        <v>211</v>
      </c>
      <c r="F508" s="221">
        <v>2008</v>
      </c>
    </row>
    <row r="509" spans="2:6">
      <c r="B509" s="254">
        <v>39264</v>
      </c>
      <c r="C509" s="221" t="s">
        <v>396</v>
      </c>
      <c r="D509" s="101">
        <v>18800</v>
      </c>
      <c r="E509" s="221" t="s">
        <v>212</v>
      </c>
      <c r="F509" s="221">
        <v>2007</v>
      </c>
    </row>
    <row r="510" spans="2:6">
      <c r="B510" s="254">
        <v>39216</v>
      </c>
      <c r="C510" s="221" t="s">
        <v>396</v>
      </c>
      <c r="D510" s="101">
        <v>30754</v>
      </c>
      <c r="E510" s="221" t="s">
        <v>212</v>
      </c>
      <c r="F510" s="221">
        <v>2007</v>
      </c>
    </row>
    <row r="511" spans="2:6">
      <c r="B511" s="254">
        <v>38738</v>
      </c>
      <c r="C511" s="221" t="s">
        <v>396</v>
      </c>
      <c r="D511" s="101">
        <v>34257</v>
      </c>
      <c r="E511" s="221" t="s">
        <v>210</v>
      </c>
      <c r="F511" s="221">
        <v>2006</v>
      </c>
    </row>
    <row r="512" spans="2:6">
      <c r="B512" s="254">
        <v>38979</v>
      </c>
      <c r="C512" s="221" t="s">
        <v>398</v>
      </c>
      <c r="D512" s="101">
        <v>34814</v>
      </c>
      <c r="E512" s="221" t="s">
        <v>211</v>
      </c>
      <c r="F512" s="221">
        <v>2006</v>
      </c>
    </row>
    <row r="513" spans="2:6">
      <c r="B513" s="254">
        <v>39145</v>
      </c>
      <c r="C513" s="221" t="s">
        <v>395</v>
      </c>
      <c r="D513" s="101">
        <v>33691</v>
      </c>
      <c r="E513" s="221" t="s">
        <v>212</v>
      </c>
      <c r="F513" s="221">
        <v>2007</v>
      </c>
    </row>
    <row r="514" spans="2:6">
      <c r="B514" s="254">
        <v>39478</v>
      </c>
      <c r="C514" s="221" t="s">
        <v>398</v>
      </c>
      <c r="D514" s="101">
        <v>13552</v>
      </c>
      <c r="E514" s="221" t="s">
        <v>211</v>
      </c>
      <c r="F514" s="221">
        <v>2008</v>
      </c>
    </row>
    <row r="515" spans="2:6">
      <c r="B515" s="254">
        <v>38924</v>
      </c>
      <c r="C515" s="221" t="s">
        <v>395</v>
      </c>
      <c r="D515" s="101">
        <v>8890</v>
      </c>
      <c r="E515" s="221" t="s">
        <v>210</v>
      </c>
      <c r="F515" s="221">
        <v>2006</v>
      </c>
    </row>
    <row r="516" spans="2:6">
      <c r="B516" s="254">
        <v>39042</v>
      </c>
      <c r="C516" s="221" t="s">
        <v>396</v>
      </c>
      <c r="D516" s="101">
        <v>39352</v>
      </c>
      <c r="E516" s="221" t="s">
        <v>212</v>
      </c>
      <c r="F516" s="221">
        <v>2006</v>
      </c>
    </row>
    <row r="517" spans="2:6">
      <c r="B517" s="254">
        <v>38784</v>
      </c>
      <c r="C517" s="221" t="s">
        <v>398</v>
      </c>
      <c r="D517" s="101">
        <v>19305</v>
      </c>
      <c r="E517" s="221" t="s">
        <v>210</v>
      </c>
      <c r="F517" s="221">
        <v>2006</v>
      </c>
    </row>
    <row r="518" spans="2:6">
      <c r="B518" s="254">
        <v>39161</v>
      </c>
      <c r="C518" s="221" t="s">
        <v>396</v>
      </c>
      <c r="D518" s="101">
        <v>26514</v>
      </c>
      <c r="E518" s="221" t="s">
        <v>211</v>
      </c>
      <c r="F518" s="221">
        <v>2007</v>
      </c>
    </row>
    <row r="519" spans="2:6">
      <c r="B519" s="254">
        <v>38966</v>
      </c>
      <c r="C519" s="221" t="s">
        <v>394</v>
      </c>
      <c r="D519" s="101">
        <v>13477</v>
      </c>
      <c r="E519" s="221" t="s">
        <v>212</v>
      </c>
      <c r="F519" s="221">
        <v>2006</v>
      </c>
    </row>
    <row r="520" spans="2:6">
      <c r="B520" s="254">
        <v>39193</v>
      </c>
      <c r="C520" s="221" t="s">
        <v>396</v>
      </c>
      <c r="D520" s="101">
        <v>10713</v>
      </c>
      <c r="E520" s="221" t="s">
        <v>211</v>
      </c>
      <c r="F520" s="221">
        <v>2007</v>
      </c>
    </row>
    <row r="521" spans="2:6">
      <c r="B521" s="254">
        <v>39203</v>
      </c>
      <c r="C521" s="221" t="s">
        <v>395</v>
      </c>
      <c r="D521" s="101">
        <v>39719</v>
      </c>
      <c r="E521" s="221" t="s">
        <v>211</v>
      </c>
      <c r="F521" s="221">
        <v>2007</v>
      </c>
    </row>
    <row r="522" spans="2:6">
      <c r="B522" s="254">
        <v>39078</v>
      </c>
      <c r="C522" s="221" t="s">
        <v>398</v>
      </c>
      <c r="D522" s="101">
        <v>22170</v>
      </c>
      <c r="E522" s="221" t="s">
        <v>213</v>
      </c>
      <c r="F522" s="221">
        <v>2006</v>
      </c>
    </row>
    <row r="523" spans="2:6">
      <c r="B523" s="254">
        <v>39301</v>
      </c>
      <c r="C523" s="221" t="s">
        <v>395</v>
      </c>
      <c r="D523" s="101">
        <v>13296</v>
      </c>
      <c r="E523" s="221" t="s">
        <v>211</v>
      </c>
      <c r="F523" s="221">
        <v>2007</v>
      </c>
    </row>
    <row r="524" spans="2:6">
      <c r="B524" s="254">
        <v>38997</v>
      </c>
      <c r="C524" s="221" t="s">
        <v>396</v>
      </c>
      <c r="D524" s="101">
        <v>31670</v>
      </c>
      <c r="E524" s="221" t="s">
        <v>213</v>
      </c>
      <c r="F524" s="221">
        <v>2006</v>
      </c>
    </row>
    <row r="525" spans="2:6">
      <c r="B525" s="254">
        <v>39453</v>
      </c>
      <c r="C525" s="221" t="s">
        <v>398</v>
      </c>
      <c r="D525" s="101">
        <v>18724</v>
      </c>
      <c r="E525" s="221" t="s">
        <v>213</v>
      </c>
      <c r="F525" s="221">
        <v>2008</v>
      </c>
    </row>
    <row r="526" spans="2:6">
      <c r="B526" s="254">
        <v>39328</v>
      </c>
      <c r="C526" s="221" t="s">
        <v>394</v>
      </c>
      <c r="D526" s="101">
        <v>31180</v>
      </c>
      <c r="E526" s="221" t="s">
        <v>211</v>
      </c>
      <c r="F526" s="221">
        <v>2007</v>
      </c>
    </row>
    <row r="527" spans="2:6">
      <c r="B527" s="254">
        <v>38801</v>
      </c>
      <c r="C527" s="221" t="s">
        <v>395</v>
      </c>
      <c r="D527" s="101">
        <v>26747</v>
      </c>
      <c r="E527" s="221" t="s">
        <v>210</v>
      </c>
      <c r="F527" s="221">
        <v>2006</v>
      </c>
    </row>
    <row r="528" spans="2:6">
      <c r="B528" s="254">
        <v>39559</v>
      </c>
      <c r="C528" s="221" t="s">
        <v>398</v>
      </c>
      <c r="D528" s="101">
        <v>27845</v>
      </c>
      <c r="E528" s="221" t="s">
        <v>211</v>
      </c>
      <c r="F528" s="221">
        <v>2008</v>
      </c>
    </row>
    <row r="529" spans="2:6">
      <c r="B529" s="254">
        <v>39459</v>
      </c>
      <c r="C529" s="221" t="s">
        <v>396</v>
      </c>
      <c r="D529" s="101">
        <v>31816</v>
      </c>
      <c r="E529" s="221" t="s">
        <v>213</v>
      </c>
      <c r="F529" s="221">
        <v>2008</v>
      </c>
    </row>
    <row r="530" spans="2:6">
      <c r="B530" s="254">
        <v>39141</v>
      </c>
      <c r="C530" s="221" t="s">
        <v>398</v>
      </c>
      <c r="D530" s="101">
        <v>5407</v>
      </c>
      <c r="E530" s="221" t="s">
        <v>213</v>
      </c>
      <c r="F530" s="221">
        <v>2007</v>
      </c>
    </row>
    <row r="531" spans="2:6">
      <c r="B531" s="254">
        <v>38747</v>
      </c>
      <c r="C531" s="221" t="s">
        <v>394</v>
      </c>
      <c r="D531" s="101">
        <v>8396</v>
      </c>
      <c r="E531" s="221" t="s">
        <v>211</v>
      </c>
      <c r="F531" s="221">
        <v>2006</v>
      </c>
    </row>
    <row r="532" spans="2:6">
      <c r="B532" s="254">
        <v>39137</v>
      </c>
      <c r="C532" s="221" t="s">
        <v>398</v>
      </c>
      <c r="D532" s="101">
        <v>30518</v>
      </c>
      <c r="E532" s="221" t="s">
        <v>210</v>
      </c>
      <c r="F532" s="221">
        <v>2007</v>
      </c>
    </row>
    <row r="533" spans="2:6">
      <c r="B533" s="254">
        <v>38792</v>
      </c>
      <c r="C533" s="221" t="s">
        <v>398</v>
      </c>
      <c r="D533" s="101">
        <v>24284</v>
      </c>
      <c r="E533" s="221" t="s">
        <v>211</v>
      </c>
      <c r="F533" s="221">
        <v>2006</v>
      </c>
    </row>
    <row r="534" spans="2:6">
      <c r="B534" s="254">
        <v>39603</v>
      </c>
      <c r="C534" s="221" t="s">
        <v>395</v>
      </c>
      <c r="D534" s="101">
        <v>23533</v>
      </c>
      <c r="E534" s="221" t="s">
        <v>212</v>
      </c>
      <c r="F534" s="221">
        <v>2008</v>
      </c>
    </row>
    <row r="535" spans="2:6">
      <c r="B535" s="254">
        <v>38850</v>
      </c>
      <c r="C535" s="221" t="s">
        <v>394</v>
      </c>
      <c r="D535" s="101">
        <v>30363</v>
      </c>
      <c r="E535" s="221" t="s">
        <v>211</v>
      </c>
      <c r="F535" s="221">
        <v>2006</v>
      </c>
    </row>
    <row r="536" spans="2:6">
      <c r="B536" s="254">
        <v>39259</v>
      </c>
      <c r="C536" s="221" t="s">
        <v>395</v>
      </c>
      <c r="D536" s="101">
        <v>31824</v>
      </c>
      <c r="E536" s="221" t="s">
        <v>213</v>
      </c>
      <c r="F536" s="221">
        <v>2007</v>
      </c>
    </row>
    <row r="537" spans="2:6">
      <c r="B537" s="254">
        <v>39519</v>
      </c>
      <c r="C537" s="221" t="s">
        <v>398</v>
      </c>
      <c r="D537" s="101">
        <v>37747</v>
      </c>
      <c r="E537" s="221" t="s">
        <v>212</v>
      </c>
      <c r="F537" s="221">
        <v>2008</v>
      </c>
    </row>
    <row r="538" spans="2:6">
      <c r="B538" s="254">
        <v>39026</v>
      </c>
      <c r="C538" s="221" t="s">
        <v>395</v>
      </c>
      <c r="D538" s="101">
        <v>27243</v>
      </c>
      <c r="E538" s="221" t="s">
        <v>213</v>
      </c>
      <c r="F538" s="221">
        <v>2006</v>
      </c>
    </row>
    <row r="539" spans="2:6">
      <c r="B539" s="254">
        <v>39347</v>
      </c>
      <c r="C539" s="221" t="s">
        <v>394</v>
      </c>
      <c r="D539" s="101">
        <v>35196</v>
      </c>
      <c r="E539" s="221" t="s">
        <v>212</v>
      </c>
      <c r="F539" s="221">
        <v>2007</v>
      </c>
    </row>
    <row r="540" spans="2:6">
      <c r="B540" s="254">
        <v>39513</v>
      </c>
      <c r="C540" s="221" t="s">
        <v>396</v>
      </c>
      <c r="D540" s="101">
        <v>34236</v>
      </c>
      <c r="E540" s="221" t="s">
        <v>213</v>
      </c>
      <c r="F540" s="221">
        <v>2008</v>
      </c>
    </row>
    <row r="541" spans="2:6">
      <c r="B541" s="254">
        <v>39354</v>
      </c>
      <c r="C541" s="221" t="s">
        <v>395</v>
      </c>
      <c r="D541" s="101">
        <v>23137</v>
      </c>
      <c r="E541" s="221" t="s">
        <v>210</v>
      </c>
      <c r="F541" s="221">
        <v>2007</v>
      </c>
    </row>
    <row r="542" spans="2:6">
      <c r="B542" s="254">
        <v>39065</v>
      </c>
      <c r="C542" s="221" t="s">
        <v>398</v>
      </c>
      <c r="D542" s="101">
        <v>12216</v>
      </c>
      <c r="E542" s="221" t="s">
        <v>213</v>
      </c>
      <c r="F542" s="221">
        <v>2006</v>
      </c>
    </row>
    <row r="543" spans="2:6">
      <c r="B543" s="254">
        <v>39346</v>
      </c>
      <c r="C543" s="221" t="s">
        <v>396</v>
      </c>
      <c r="D543" s="101">
        <v>35164</v>
      </c>
      <c r="E543" s="221" t="s">
        <v>210</v>
      </c>
      <c r="F543" s="221">
        <v>2007</v>
      </c>
    </row>
    <row r="544" spans="2:6">
      <c r="B544" s="254">
        <v>39528</v>
      </c>
      <c r="C544" s="221" t="s">
        <v>395</v>
      </c>
      <c r="D544" s="101">
        <v>10755</v>
      </c>
      <c r="E544" s="221" t="s">
        <v>210</v>
      </c>
      <c r="F544" s="221">
        <v>2008</v>
      </c>
    </row>
    <row r="545" spans="2:6">
      <c r="B545" s="254">
        <v>39493</v>
      </c>
      <c r="C545" s="221" t="s">
        <v>398</v>
      </c>
      <c r="D545" s="101">
        <v>23325</v>
      </c>
      <c r="E545" s="221" t="s">
        <v>210</v>
      </c>
      <c r="F545" s="221">
        <v>2008</v>
      </c>
    </row>
    <row r="546" spans="2:6">
      <c r="B546" s="254">
        <v>39505</v>
      </c>
      <c r="C546" s="221" t="s">
        <v>394</v>
      </c>
      <c r="D546" s="101">
        <v>27298</v>
      </c>
      <c r="E546" s="221" t="s">
        <v>210</v>
      </c>
      <c r="F546" s="221">
        <v>2008</v>
      </c>
    </row>
    <row r="547" spans="2:6">
      <c r="B547" s="254">
        <v>38778</v>
      </c>
      <c r="C547" s="221" t="s">
        <v>394</v>
      </c>
      <c r="D547" s="101">
        <v>11035</v>
      </c>
      <c r="E547" s="221" t="s">
        <v>211</v>
      </c>
      <c r="F547" s="221">
        <v>2006</v>
      </c>
    </row>
    <row r="548" spans="2:6">
      <c r="B548" s="254">
        <v>39129</v>
      </c>
      <c r="C548" s="221" t="s">
        <v>395</v>
      </c>
      <c r="D548" s="101">
        <v>33945</v>
      </c>
      <c r="E548" s="221" t="s">
        <v>213</v>
      </c>
      <c r="F548" s="221">
        <v>2007</v>
      </c>
    </row>
    <row r="549" spans="2:6">
      <c r="B549" s="254">
        <v>38948</v>
      </c>
      <c r="C549" s="221" t="s">
        <v>398</v>
      </c>
      <c r="D549" s="101">
        <v>33878</v>
      </c>
      <c r="E549" s="221" t="s">
        <v>212</v>
      </c>
      <c r="F549" s="221">
        <v>2006</v>
      </c>
    </row>
    <row r="550" spans="2:6">
      <c r="B550" s="254">
        <v>39453</v>
      </c>
      <c r="C550" s="221" t="s">
        <v>395</v>
      </c>
      <c r="D550" s="101">
        <v>33932</v>
      </c>
      <c r="E550" s="221" t="s">
        <v>210</v>
      </c>
      <c r="F550" s="221">
        <v>2008</v>
      </c>
    </row>
    <row r="551" spans="2:6">
      <c r="B551" s="254">
        <v>39328</v>
      </c>
      <c r="C551" s="221" t="s">
        <v>394</v>
      </c>
      <c r="D551" s="101">
        <v>18435</v>
      </c>
      <c r="E551" s="221" t="s">
        <v>212</v>
      </c>
      <c r="F551" s="221">
        <v>2007</v>
      </c>
    </row>
    <row r="552" spans="2:6">
      <c r="B552" s="254">
        <v>39344</v>
      </c>
      <c r="C552" s="221" t="s">
        <v>396</v>
      </c>
      <c r="D552" s="101">
        <v>20963</v>
      </c>
      <c r="E552" s="221" t="s">
        <v>210</v>
      </c>
      <c r="F552" s="221">
        <v>2007</v>
      </c>
    </row>
    <row r="553" spans="2:6">
      <c r="B553" s="254">
        <v>39190</v>
      </c>
      <c r="C553" s="221" t="s">
        <v>395</v>
      </c>
      <c r="D553" s="101">
        <v>26573</v>
      </c>
      <c r="E553" s="221" t="s">
        <v>210</v>
      </c>
      <c r="F553" s="221">
        <v>2007</v>
      </c>
    </row>
    <row r="554" spans="2:6">
      <c r="B554" s="254">
        <v>38899</v>
      </c>
      <c r="C554" s="221" t="s">
        <v>395</v>
      </c>
      <c r="D554" s="101">
        <v>7430</v>
      </c>
      <c r="E554" s="221" t="s">
        <v>210</v>
      </c>
      <c r="F554" s="221">
        <v>2006</v>
      </c>
    </row>
    <row r="555" spans="2:6">
      <c r="B555" s="254">
        <v>39354</v>
      </c>
      <c r="C555" s="221" t="s">
        <v>395</v>
      </c>
      <c r="D555" s="101">
        <v>12885</v>
      </c>
      <c r="E555" s="221" t="s">
        <v>210</v>
      </c>
      <c r="F555" s="221">
        <v>2007</v>
      </c>
    </row>
    <row r="556" spans="2:6">
      <c r="B556" s="254">
        <v>39077</v>
      </c>
      <c r="C556" s="221" t="s">
        <v>398</v>
      </c>
      <c r="D556" s="101">
        <v>33115</v>
      </c>
      <c r="E556" s="221" t="s">
        <v>212</v>
      </c>
      <c r="F556" s="221">
        <v>2006</v>
      </c>
    </row>
    <row r="557" spans="2:6">
      <c r="B557" s="254">
        <v>39584</v>
      </c>
      <c r="C557" s="221" t="s">
        <v>394</v>
      </c>
      <c r="D557" s="101">
        <v>17129</v>
      </c>
      <c r="E557" s="221" t="s">
        <v>213</v>
      </c>
      <c r="F557" s="221">
        <v>2008</v>
      </c>
    </row>
    <row r="558" spans="2:6">
      <c r="B558" s="254">
        <v>39322</v>
      </c>
      <c r="C558" s="221" t="s">
        <v>394</v>
      </c>
      <c r="D558" s="101">
        <v>21344</v>
      </c>
      <c r="E558" s="221" t="s">
        <v>212</v>
      </c>
      <c r="F558" s="221">
        <v>2007</v>
      </c>
    </row>
    <row r="559" spans="2:6">
      <c r="B559" s="254">
        <v>39432</v>
      </c>
      <c r="C559" s="221" t="s">
        <v>398</v>
      </c>
      <c r="D559" s="101">
        <v>14446</v>
      </c>
      <c r="E559" s="221" t="s">
        <v>210</v>
      </c>
      <c r="F559" s="221">
        <v>2007</v>
      </c>
    </row>
    <row r="560" spans="2:6">
      <c r="B560" s="254">
        <v>38896</v>
      </c>
      <c r="C560" s="221" t="s">
        <v>394</v>
      </c>
      <c r="D560" s="101">
        <v>29589</v>
      </c>
      <c r="E560" s="221" t="s">
        <v>210</v>
      </c>
      <c r="F560" s="221">
        <v>2006</v>
      </c>
    </row>
    <row r="561" spans="2:6">
      <c r="B561" s="254">
        <v>39101</v>
      </c>
      <c r="C561" s="221" t="s">
        <v>398</v>
      </c>
      <c r="D561" s="101">
        <v>11123</v>
      </c>
      <c r="E561" s="221" t="s">
        <v>211</v>
      </c>
      <c r="F561" s="221">
        <v>2007</v>
      </c>
    </row>
    <row r="562" spans="2:6">
      <c r="B562" s="254">
        <v>39084</v>
      </c>
      <c r="C562" s="221" t="s">
        <v>396</v>
      </c>
      <c r="D562" s="101">
        <v>7978</v>
      </c>
      <c r="E562" s="221" t="s">
        <v>211</v>
      </c>
      <c r="F562" s="221">
        <v>2007</v>
      </c>
    </row>
    <row r="563" spans="2:6">
      <c r="B563" s="254">
        <v>38929</v>
      </c>
      <c r="C563" s="221" t="s">
        <v>394</v>
      </c>
      <c r="D563" s="101">
        <v>12094</v>
      </c>
      <c r="E563" s="221" t="s">
        <v>213</v>
      </c>
      <c r="F563" s="221">
        <v>2006</v>
      </c>
    </row>
    <row r="564" spans="2:6">
      <c r="B564" s="254">
        <v>39523</v>
      </c>
      <c r="C564" s="221" t="s">
        <v>398</v>
      </c>
      <c r="D564" s="101">
        <v>6186</v>
      </c>
      <c r="E564" s="221" t="s">
        <v>213</v>
      </c>
      <c r="F564" s="221">
        <v>2008</v>
      </c>
    </row>
    <row r="565" spans="2:6">
      <c r="B565" s="254">
        <v>39391</v>
      </c>
      <c r="C565" s="221" t="s">
        <v>396</v>
      </c>
      <c r="D565" s="101">
        <v>15928</v>
      </c>
      <c r="E565" s="221" t="s">
        <v>211</v>
      </c>
      <c r="F565" s="221">
        <v>2007</v>
      </c>
    </row>
    <row r="566" spans="2:6">
      <c r="B566" s="254">
        <v>39106</v>
      </c>
      <c r="C566" s="221" t="s">
        <v>398</v>
      </c>
      <c r="D566" s="101">
        <v>23790</v>
      </c>
      <c r="E566" s="221" t="s">
        <v>210</v>
      </c>
      <c r="F566" s="221">
        <v>2007</v>
      </c>
    </row>
    <row r="567" spans="2:6">
      <c r="B567" s="254">
        <v>39328</v>
      </c>
      <c r="C567" s="221" t="s">
        <v>396</v>
      </c>
      <c r="D567" s="101">
        <v>37839</v>
      </c>
      <c r="E567" s="221" t="s">
        <v>212</v>
      </c>
      <c r="F567" s="221">
        <v>2007</v>
      </c>
    </row>
    <row r="568" spans="2:6">
      <c r="B568" s="254">
        <v>38975</v>
      </c>
      <c r="C568" s="221" t="s">
        <v>395</v>
      </c>
      <c r="D568" s="101">
        <v>13659</v>
      </c>
      <c r="E568" s="221" t="s">
        <v>212</v>
      </c>
      <c r="F568" s="221">
        <v>2006</v>
      </c>
    </row>
    <row r="569" spans="2:6">
      <c r="B569" s="254">
        <v>38844</v>
      </c>
      <c r="C569" s="221" t="s">
        <v>394</v>
      </c>
      <c r="D569" s="101">
        <v>15695</v>
      </c>
      <c r="E569" s="221" t="s">
        <v>210</v>
      </c>
      <c r="F569" s="221">
        <v>2006</v>
      </c>
    </row>
    <row r="570" spans="2:6">
      <c r="B570" s="254">
        <v>38937</v>
      </c>
      <c r="C570" s="221" t="s">
        <v>395</v>
      </c>
      <c r="D570" s="101">
        <v>12019</v>
      </c>
      <c r="E570" s="221" t="s">
        <v>211</v>
      </c>
      <c r="F570" s="221">
        <v>2006</v>
      </c>
    </row>
    <row r="571" spans="2:6">
      <c r="B571" s="254">
        <v>39082</v>
      </c>
      <c r="C571" s="221" t="s">
        <v>394</v>
      </c>
      <c r="D571" s="101">
        <v>38691</v>
      </c>
      <c r="E571" s="221" t="s">
        <v>212</v>
      </c>
      <c r="F571" s="221">
        <v>2006</v>
      </c>
    </row>
    <row r="572" spans="2:6">
      <c r="B572" s="254">
        <v>38948</v>
      </c>
      <c r="C572" s="221" t="s">
        <v>395</v>
      </c>
      <c r="D572" s="101">
        <v>34839</v>
      </c>
      <c r="E572" s="221" t="s">
        <v>213</v>
      </c>
      <c r="F572" s="221">
        <v>2006</v>
      </c>
    </row>
    <row r="573" spans="2:6">
      <c r="B573" s="254">
        <v>38758</v>
      </c>
      <c r="C573" s="221" t="s">
        <v>395</v>
      </c>
      <c r="D573" s="101">
        <v>25124</v>
      </c>
      <c r="E573" s="221" t="s">
        <v>210</v>
      </c>
      <c r="F573" s="221">
        <v>2006</v>
      </c>
    </row>
    <row r="574" spans="2:6">
      <c r="B574" s="254">
        <v>38990</v>
      </c>
      <c r="C574" s="221" t="s">
        <v>398</v>
      </c>
      <c r="D574" s="101">
        <v>39844</v>
      </c>
      <c r="E574" s="221" t="s">
        <v>213</v>
      </c>
      <c r="F574" s="221">
        <v>2006</v>
      </c>
    </row>
    <row r="575" spans="2:6">
      <c r="B575" s="254">
        <v>39503</v>
      </c>
      <c r="C575" s="221" t="s">
        <v>396</v>
      </c>
      <c r="D575" s="101">
        <v>14139</v>
      </c>
      <c r="E575" s="221" t="s">
        <v>210</v>
      </c>
      <c r="F575" s="221">
        <v>2008</v>
      </c>
    </row>
    <row r="576" spans="2:6">
      <c r="B576" s="254">
        <v>39336</v>
      </c>
      <c r="C576" s="221" t="s">
        <v>396</v>
      </c>
      <c r="D576" s="101">
        <v>38718</v>
      </c>
      <c r="E576" s="221" t="s">
        <v>210</v>
      </c>
      <c r="F576" s="221">
        <v>2007</v>
      </c>
    </row>
    <row r="577" spans="2:6">
      <c r="B577" s="254">
        <v>39293</v>
      </c>
      <c r="C577" s="221" t="s">
        <v>398</v>
      </c>
      <c r="D577" s="101">
        <v>23597</v>
      </c>
      <c r="E577" s="221" t="s">
        <v>212</v>
      </c>
      <c r="F577" s="221">
        <v>2007</v>
      </c>
    </row>
    <row r="578" spans="2:6">
      <c r="B578" s="254">
        <v>39163</v>
      </c>
      <c r="C578" s="221" t="s">
        <v>396</v>
      </c>
      <c r="D578" s="101">
        <v>12037</v>
      </c>
      <c r="E578" s="221" t="s">
        <v>210</v>
      </c>
      <c r="F578" s="221">
        <v>2007</v>
      </c>
    </row>
    <row r="579" spans="2:6">
      <c r="B579" s="254">
        <v>39610</v>
      </c>
      <c r="C579" s="221" t="s">
        <v>398</v>
      </c>
      <c r="D579" s="101">
        <v>30430</v>
      </c>
      <c r="E579" s="221" t="s">
        <v>213</v>
      </c>
      <c r="F579" s="221">
        <v>2008</v>
      </c>
    </row>
    <row r="580" spans="2:6">
      <c r="B580" s="254">
        <v>39559</v>
      </c>
      <c r="C580" s="221" t="s">
        <v>394</v>
      </c>
      <c r="D580" s="101">
        <v>6263</v>
      </c>
      <c r="E580" s="221" t="s">
        <v>213</v>
      </c>
      <c r="F580" s="221">
        <v>2008</v>
      </c>
    </row>
    <row r="581" spans="2:6">
      <c r="B581" s="254">
        <v>39334</v>
      </c>
      <c r="C581" s="221" t="s">
        <v>394</v>
      </c>
      <c r="D581" s="101">
        <v>12836</v>
      </c>
      <c r="E581" s="221" t="s">
        <v>213</v>
      </c>
      <c r="F581" s="221">
        <v>2007</v>
      </c>
    </row>
    <row r="582" spans="2:6">
      <c r="B582" s="254">
        <v>39516</v>
      </c>
      <c r="C582" s="221" t="s">
        <v>394</v>
      </c>
      <c r="D582" s="101">
        <v>10283</v>
      </c>
      <c r="E582" s="221" t="s">
        <v>213</v>
      </c>
      <c r="F582" s="221">
        <v>2008</v>
      </c>
    </row>
    <row r="583" spans="2:6">
      <c r="B583" s="254">
        <v>38956</v>
      </c>
      <c r="C583" s="221" t="s">
        <v>398</v>
      </c>
      <c r="D583" s="101">
        <v>39911</v>
      </c>
      <c r="E583" s="221" t="s">
        <v>213</v>
      </c>
      <c r="F583" s="221">
        <v>2006</v>
      </c>
    </row>
    <row r="584" spans="2:6">
      <c r="B584" s="254">
        <v>38783</v>
      </c>
      <c r="C584" s="221" t="s">
        <v>398</v>
      </c>
      <c r="D584" s="101">
        <v>37432</v>
      </c>
      <c r="E584" s="221" t="s">
        <v>212</v>
      </c>
      <c r="F584" s="221">
        <v>2006</v>
      </c>
    </row>
    <row r="585" spans="2:6">
      <c r="B585" s="254">
        <v>38994</v>
      </c>
      <c r="C585" s="221" t="s">
        <v>395</v>
      </c>
      <c r="D585" s="101">
        <v>27023</v>
      </c>
      <c r="E585" s="221" t="s">
        <v>211</v>
      </c>
      <c r="F585" s="221">
        <v>2006</v>
      </c>
    </row>
    <row r="586" spans="2:6">
      <c r="B586" s="254">
        <v>38867</v>
      </c>
      <c r="C586" s="221" t="s">
        <v>395</v>
      </c>
      <c r="D586" s="101">
        <v>22624</v>
      </c>
      <c r="E586" s="221" t="s">
        <v>211</v>
      </c>
      <c r="F586" s="221">
        <v>2006</v>
      </c>
    </row>
    <row r="587" spans="2:6">
      <c r="B587" s="254">
        <v>39273</v>
      </c>
      <c r="C587" s="221" t="s">
        <v>396</v>
      </c>
      <c r="D587" s="101">
        <v>38180</v>
      </c>
      <c r="E587" s="221" t="s">
        <v>213</v>
      </c>
      <c r="F587" s="221">
        <v>2007</v>
      </c>
    </row>
    <row r="588" spans="2:6">
      <c r="B588" s="254">
        <v>39204</v>
      </c>
      <c r="C588" s="221" t="s">
        <v>396</v>
      </c>
      <c r="D588" s="101">
        <v>29787</v>
      </c>
      <c r="E588" s="221" t="s">
        <v>210</v>
      </c>
      <c r="F588" s="221">
        <v>2007</v>
      </c>
    </row>
    <row r="589" spans="2:6">
      <c r="B589" s="254">
        <v>38940</v>
      </c>
      <c r="C589" s="221" t="s">
        <v>396</v>
      </c>
      <c r="D589" s="101">
        <v>28692</v>
      </c>
      <c r="E589" s="221" t="s">
        <v>210</v>
      </c>
      <c r="F589" s="221">
        <v>2006</v>
      </c>
    </row>
    <row r="590" spans="2:6">
      <c r="B590" s="254">
        <v>39372</v>
      </c>
      <c r="C590" s="221" t="s">
        <v>394</v>
      </c>
      <c r="D590" s="101">
        <v>22913</v>
      </c>
      <c r="E590" s="221" t="s">
        <v>212</v>
      </c>
      <c r="F590" s="221">
        <v>2007</v>
      </c>
    </row>
    <row r="591" spans="2:6">
      <c r="B591" s="254">
        <v>39165</v>
      </c>
      <c r="C591" s="221" t="s">
        <v>396</v>
      </c>
      <c r="D591" s="101">
        <v>12061</v>
      </c>
      <c r="E591" s="221" t="s">
        <v>210</v>
      </c>
      <c r="F591" s="221">
        <v>2007</v>
      </c>
    </row>
    <row r="592" spans="2:6">
      <c r="B592" s="254">
        <v>39441</v>
      </c>
      <c r="C592" s="221" t="s">
        <v>396</v>
      </c>
      <c r="D592" s="101">
        <v>19881</v>
      </c>
      <c r="E592" s="221" t="s">
        <v>213</v>
      </c>
      <c r="F592" s="221">
        <v>2007</v>
      </c>
    </row>
    <row r="593" spans="2:6">
      <c r="B593" s="254">
        <v>38802</v>
      </c>
      <c r="C593" s="221" t="s">
        <v>396</v>
      </c>
      <c r="D593" s="101">
        <v>15886</v>
      </c>
      <c r="E593" s="221" t="s">
        <v>211</v>
      </c>
      <c r="F593" s="221">
        <v>2006</v>
      </c>
    </row>
    <row r="594" spans="2:6">
      <c r="B594" s="254">
        <v>39036</v>
      </c>
      <c r="C594" s="221" t="s">
        <v>395</v>
      </c>
      <c r="D594" s="101">
        <v>25774</v>
      </c>
      <c r="E594" s="221" t="s">
        <v>212</v>
      </c>
      <c r="F594" s="221">
        <v>2006</v>
      </c>
    </row>
    <row r="595" spans="2:6">
      <c r="B595" s="254">
        <v>38794</v>
      </c>
      <c r="C595" s="221" t="s">
        <v>395</v>
      </c>
      <c r="D595" s="101">
        <v>16600</v>
      </c>
      <c r="E595" s="221" t="s">
        <v>210</v>
      </c>
      <c r="F595" s="221">
        <v>2006</v>
      </c>
    </row>
    <row r="596" spans="2:6">
      <c r="B596" s="254">
        <v>38912</v>
      </c>
      <c r="C596" s="221" t="s">
        <v>398</v>
      </c>
      <c r="D596" s="101">
        <v>14056</v>
      </c>
      <c r="E596" s="221" t="s">
        <v>210</v>
      </c>
      <c r="F596" s="221">
        <v>2006</v>
      </c>
    </row>
    <row r="597" spans="2:6">
      <c r="B597" s="254">
        <v>39346</v>
      </c>
      <c r="C597" s="221" t="s">
        <v>396</v>
      </c>
      <c r="D597" s="101">
        <v>25167</v>
      </c>
      <c r="E597" s="221" t="s">
        <v>213</v>
      </c>
      <c r="F597" s="221">
        <v>2007</v>
      </c>
    </row>
    <row r="598" spans="2:6">
      <c r="B598" s="254">
        <v>38872</v>
      </c>
      <c r="C598" s="221" t="s">
        <v>396</v>
      </c>
      <c r="D598" s="101">
        <v>26244</v>
      </c>
      <c r="E598" s="221" t="s">
        <v>211</v>
      </c>
      <c r="F598" s="221">
        <v>2006</v>
      </c>
    </row>
    <row r="599" spans="2:6">
      <c r="B599" s="254">
        <v>39054</v>
      </c>
      <c r="C599" s="221" t="s">
        <v>394</v>
      </c>
      <c r="D599" s="101">
        <v>16804</v>
      </c>
      <c r="E599" s="221" t="s">
        <v>213</v>
      </c>
      <c r="F599" s="221">
        <v>2006</v>
      </c>
    </row>
    <row r="600" spans="2:6">
      <c r="B600" s="254">
        <v>39348</v>
      </c>
      <c r="C600" s="221" t="s">
        <v>396</v>
      </c>
      <c r="D600" s="101">
        <v>6634</v>
      </c>
      <c r="E600" s="221" t="s">
        <v>211</v>
      </c>
      <c r="F600" s="221">
        <v>2007</v>
      </c>
    </row>
    <row r="601" spans="2:6">
      <c r="B601" s="254">
        <v>39123</v>
      </c>
      <c r="C601" s="221" t="s">
        <v>396</v>
      </c>
      <c r="D601" s="101">
        <v>25627</v>
      </c>
      <c r="E601" s="221" t="s">
        <v>212</v>
      </c>
      <c r="F601" s="221">
        <v>2007</v>
      </c>
    </row>
    <row r="602" spans="2:6">
      <c r="B602" s="254">
        <v>39332</v>
      </c>
      <c r="C602" s="221" t="s">
        <v>394</v>
      </c>
      <c r="D602" s="101">
        <v>37695</v>
      </c>
      <c r="E602" s="221" t="s">
        <v>213</v>
      </c>
      <c r="F602" s="221">
        <v>2007</v>
      </c>
    </row>
    <row r="603" spans="2:6">
      <c r="B603" s="254">
        <v>39506</v>
      </c>
      <c r="C603" s="221" t="s">
        <v>395</v>
      </c>
      <c r="D603" s="101">
        <v>36880</v>
      </c>
      <c r="E603" s="221" t="s">
        <v>210</v>
      </c>
      <c r="F603" s="221">
        <v>2008</v>
      </c>
    </row>
    <row r="604" spans="2:6">
      <c r="B604" s="254">
        <v>38982</v>
      </c>
      <c r="C604" s="221" t="s">
        <v>395</v>
      </c>
      <c r="D604" s="101">
        <v>30352</v>
      </c>
      <c r="E604" s="221" t="s">
        <v>211</v>
      </c>
      <c r="F604" s="221">
        <v>2006</v>
      </c>
    </row>
    <row r="605" spans="2:6">
      <c r="B605" s="254">
        <v>39427</v>
      </c>
      <c r="C605" s="221" t="s">
        <v>398</v>
      </c>
      <c r="D605" s="101">
        <v>7261</v>
      </c>
      <c r="E605" s="221" t="s">
        <v>213</v>
      </c>
      <c r="F605" s="221">
        <v>2007</v>
      </c>
    </row>
    <row r="606" spans="2:6">
      <c r="B606" s="254">
        <v>39266</v>
      </c>
      <c r="C606" s="221" t="s">
        <v>395</v>
      </c>
      <c r="D606" s="101">
        <v>39549</v>
      </c>
      <c r="E606" s="221" t="s">
        <v>210</v>
      </c>
      <c r="F606" s="221">
        <v>2007</v>
      </c>
    </row>
    <row r="607" spans="2:6">
      <c r="B607" s="254">
        <v>39149</v>
      </c>
      <c r="C607" s="221" t="s">
        <v>394</v>
      </c>
      <c r="D607" s="101">
        <v>18449</v>
      </c>
      <c r="E607" s="221" t="s">
        <v>212</v>
      </c>
      <c r="F607" s="221">
        <v>2007</v>
      </c>
    </row>
    <row r="608" spans="2:6">
      <c r="B608" s="254">
        <v>39526</v>
      </c>
      <c r="C608" s="221" t="s">
        <v>395</v>
      </c>
      <c r="D608" s="101">
        <v>30592</v>
      </c>
      <c r="E608" s="221" t="s">
        <v>212</v>
      </c>
      <c r="F608" s="221">
        <v>2008</v>
      </c>
    </row>
    <row r="609" spans="2:6">
      <c r="B609" s="254">
        <v>39240</v>
      </c>
      <c r="C609" s="221" t="s">
        <v>394</v>
      </c>
      <c r="D609" s="101">
        <v>31194</v>
      </c>
      <c r="E609" s="221" t="s">
        <v>211</v>
      </c>
      <c r="F609" s="221">
        <v>2007</v>
      </c>
    </row>
    <row r="610" spans="2:6">
      <c r="B610" s="254">
        <v>39192</v>
      </c>
      <c r="C610" s="221" t="s">
        <v>396</v>
      </c>
      <c r="D610" s="101">
        <v>12031</v>
      </c>
      <c r="E610" s="221" t="s">
        <v>211</v>
      </c>
      <c r="F610" s="221">
        <v>2007</v>
      </c>
    </row>
    <row r="611" spans="2:6">
      <c r="B611" s="254">
        <v>39035</v>
      </c>
      <c r="C611" s="221" t="s">
        <v>396</v>
      </c>
      <c r="D611" s="101">
        <v>13742</v>
      </c>
      <c r="E611" s="221" t="s">
        <v>210</v>
      </c>
      <c r="F611" s="221">
        <v>2006</v>
      </c>
    </row>
    <row r="612" spans="2:6">
      <c r="B612" s="254">
        <v>39194</v>
      </c>
      <c r="C612" s="221" t="s">
        <v>394</v>
      </c>
      <c r="D612" s="101">
        <v>14904</v>
      </c>
      <c r="E612" s="221" t="s">
        <v>213</v>
      </c>
      <c r="F612" s="221">
        <v>2007</v>
      </c>
    </row>
    <row r="613" spans="2:6">
      <c r="B613" s="254">
        <v>38722</v>
      </c>
      <c r="C613" s="221" t="s">
        <v>398</v>
      </c>
      <c r="D613" s="101">
        <v>10402</v>
      </c>
      <c r="E613" s="221" t="s">
        <v>210</v>
      </c>
      <c r="F613" s="221">
        <v>2006</v>
      </c>
    </row>
    <row r="614" spans="2:6">
      <c r="B614" s="254">
        <v>39118</v>
      </c>
      <c r="C614" s="221" t="s">
        <v>396</v>
      </c>
      <c r="D614" s="101">
        <v>37538</v>
      </c>
      <c r="E614" s="221" t="s">
        <v>213</v>
      </c>
      <c r="F614" s="221">
        <v>2007</v>
      </c>
    </row>
    <row r="615" spans="2:6">
      <c r="B615" s="254">
        <v>38834</v>
      </c>
      <c r="C615" s="221" t="s">
        <v>398</v>
      </c>
      <c r="D615" s="101">
        <v>17342</v>
      </c>
      <c r="E615" s="221" t="s">
        <v>212</v>
      </c>
      <c r="F615" s="221">
        <v>2006</v>
      </c>
    </row>
    <row r="616" spans="2:6">
      <c r="B616" s="254">
        <v>39523</v>
      </c>
      <c r="C616" s="221" t="s">
        <v>395</v>
      </c>
      <c r="D616" s="101">
        <v>22894</v>
      </c>
      <c r="E616" s="221" t="s">
        <v>213</v>
      </c>
      <c r="F616" s="221">
        <v>2008</v>
      </c>
    </row>
    <row r="617" spans="2:6">
      <c r="B617" s="254">
        <v>39534</v>
      </c>
      <c r="C617" s="221" t="s">
        <v>398</v>
      </c>
      <c r="D617" s="101">
        <v>10518</v>
      </c>
      <c r="E617" s="221" t="s">
        <v>211</v>
      </c>
      <c r="F617" s="221">
        <v>2008</v>
      </c>
    </row>
    <row r="618" spans="2:6">
      <c r="B618" s="254">
        <v>39110</v>
      </c>
      <c r="C618" s="221" t="s">
        <v>394</v>
      </c>
      <c r="D618" s="101">
        <v>23736</v>
      </c>
      <c r="E618" s="221" t="s">
        <v>212</v>
      </c>
      <c r="F618" s="221">
        <v>2007</v>
      </c>
    </row>
    <row r="619" spans="2:6">
      <c r="B619" s="254">
        <v>39168</v>
      </c>
      <c r="C619" s="221" t="s">
        <v>398</v>
      </c>
      <c r="D619" s="101">
        <v>12849</v>
      </c>
      <c r="E619" s="221" t="s">
        <v>210</v>
      </c>
      <c r="F619" s="221">
        <v>2007</v>
      </c>
    </row>
    <row r="620" spans="2:6">
      <c r="B620" s="254">
        <v>39239</v>
      </c>
      <c r="C620" s="221" t="s">
        <v>395</v>
      </c>
      <c r="D620" s="101">
        <v>7041</v>
      </c>
      <c r="E620" s="221" t="s">
        <v>211</v>
      </c>
      <c r="F620" s="221">
        <v>2007</v>
      </c>
    </row>
    <row r="621" spans="2:6">
      <c r="B621" s="254">
        <v>39200</v>
      </c>
      <c r="C621" s="221" t="s">
        <v>395</v>
      </c>
      <c r="D621" s="101">
        <v>13631</v>
      </c>
      <c r="E621" s="221" t="s">
        <v>210</v>
      </c>
      <c r="F621" s="221">
        <v>2007</v>
      </c>
    </row>
    <row r="622" spans="2:6">
      <c r="B622" s="254">
        <v>39508</v>
      </c>
      <c r="C622" s="221" t="s">
        <v>394</v>
      </c>
      <c r="D622" s="101">
        <v>11432</v>
      </c>
      <c r="E622" s="221" t="s">
        <v>212</v>
      </c>
      <c r="F622" s="221">
        <v>2008</v>
      </c>
    </row>
    <row r="623" spans="2:6">
      <c r="B623" s="254">
        <v>39054</v>
      </c>
      <c r="C623" s="221" t="s">
        <v>394</v>
      </c>
      <c r="D623" s="101">
        <v>9405</v>
      </c>
      <c r="E623" s="221" t="s">
        <v>210</v>
      </c>
      <c r="F623" s="221">
        <v>2006</v>
      </c>
    </row>
    <row r="624" spans="2:6">
      <c r="B624" s="254">
        <v>38753</v>
      </c>
      <c r="C624" s="221" t="s">
        <v>398</v>
      </c>
      <c r="D624" s="101">
        <v>35888</v>
      </c>
      <c r="E624" s="221" t="s">
        <v>211</v>
      </c>
      <c r="F624" s="221">
        <v>2006</v>
      </c>
    </row>
    <row r="625" spans="2:6">
      <c r="B625" s="254">
        <v>39520</v>
      </c>
      <c r="C625" s="221" t="s">
        <v>394</v>
      </c>
      <c r="D625" s="101">
        <v>37895</v>
      </c>
      <c r="E625" s="221" t="s">
        <v>210</v>
      </c>
      <c r="F625" s="221">
        <v>2008</v>
      </c>
    </row>
    <row r="626" spans="2:6">
      <c r="B626" s="254">
        <v>39432</v>
      </c>
      <c r="C626" s="221" t="s">
        <v>395</v>
      </c>
      <c r="D626" s="101">
        <v>10990</v>
      </c>
      <c r="E626" s="221" t="s">
        <v>211</v>
      </c>
      <c r="F626" s="221">
        <v>2007</v>
      </c>
    </row>
    <row r="627" spans="2:6">
      <c r="B627" s="254">
        <v>39135</v>
      </c>
      <c r="C627" s="221" t="s">
        <v>395</v>
      </c>
      <c r="D627" s="101">
        <v>28368</v>
      </c>
      <c r="E627" s="221" t="s">
        <v>210</v>
      </c>
      <c r="F627" s="221">
        <v>2007</v>
      </c>
    </row>
    <row r="628" spans="2:6">
      <c r="B628" s="254">
        <v>38853</v>
      </c>
      <c r="C628" s="221" t="s">
        <v>398</v>
      </c>
      <c r="D628" s="101">
        <v>16259</v>
      </c>
      <c r="E628" s="221" t="s">
        <v>213</v>
      </c>
      <c r="F628" s="221">
        <v>2006</v>
      </c>
    </row>
    <row r="629" spans="2:6">
      <c r="B629" s="254">
        <v>39417</v>
      </c>
      <c r="C629" s="221" t="s">
        <v>394</v>
      </c>
      <c r="D629" s="101">
        <v>28853</v>
      </c>
      <c r="E629" s="221" t="s">
        <v>213</v>
      </c>
      <c r="F629" s="221">
        <v>2007</v>
      </c>
    </row>
    <row r="630" spans="2:6">
      <c r="B630" s="254">
        <v>39455</v>
      </c>
      <c r="C630" s="221" t="s">
        <v>395</v>
      </c>
      <c r="D630" s="101">
        <v>21672</v>
      </c>
      <c r="E630" s="221" t="s">
        <v>212</v>
      </c>
      <c r="F630" s="221">
        <v>2008</v>
      </c>
    </row>
    <row r="631" spans="2:6">
      <c r="B631" s="254">
        <v>39336</v>
      </c>
      <c r="C631" s="221" t="s">
        <v>395</v>
      </c>
      <c r="D631" s="101">
        <v>20906</v>
      </c>
      <c r="E631" s="221" t="s">
        <v>213</v>
      </c>
      <c r="F631" s="221">
        <v>2007</v>
      </c>
    </row>
    <row r="632" spans="2:6">
      <c r="B632" s="254">
        <v>38782</v>
      </c>
      <c r="C632" s="221" t="s">
        <v>394</v>
      </c>
      <c r="D632" s="101">
        <v>20809</v>
      </c>
      <c r="E632" s="221" t="s">
        <v>213</v>
      </c>
      <c r="F632" s="221">
        <v>2006</v>
      </c>
    </row>
    <row r="633" spans="2:6">
      <c r="B633" s="254">
        <v>39007</v>
      </c>
      <c r="C633" s="221" t="s">
        <v>394</v>
      </c>
      <c r="D633" s="101">
        <v>27409</v>
      </c>
      <c r="E633" s="221" t="s">
        <v>210</v>
      </c>
      <c r="F633" s="221">
        <v>2006</v>
      </c>
    </row>
    <row r="634" spans="2:6">
      <c r="B634" s="254">
        <v>39059</v>
      </c>
      <c r="C634" s="221" t="s">
        <v>394</v>
      </c>
      <c r="D634" s="101">
        <v>33811</v>
      </c>
      <c r="E634" s="221" t="s">
        <v>210</v>
      </c>
      <c r="F634" s="221">
        <v>2006</v>
      </c>
    </row>
    <row r="635" spans="2:6">
      <c r="B635" s="254">
        <v>39480</v>
      </c>
      <c r="C635" s="221" t="s">
        <v>394</v>
      </c>
      <c r="D635" s="101">
        <v>19790</v>
      </c>
      <c r="E635" s="221" t="s">
        <v>211</v>
      </c>
      <c r="F635" s="221">
        <v>2008</v>
      </c>
    </row>
    <row r="636" spans="2:6">
      <c r="B636" s="254">
        <v>39396</v>
      </c>
      <c r="C636" s="221" t="s">
        <v>398</v>
      </c>
      <c r="D636" s="101">
        <v>27686</v>
      </c>
      <c r="E636" s="221" t="s">
        <v>213</v>
      </c>
      <c r="F636" s="221">
        <v>2007</v>
      </c>
    </row>
    <row r="637" spans="2:6">
      <c r="B637" s="254">
        <v>38735</v>
      </c>
      <c r="C637" s="221" t="s">
        <v>398</v>
      </c>
      <c r="D637" s="101">
        <v>18826</v>
      </c>
      <c r="E637" s="221" t="s">
        <v>211</v>
      </c>
      <c r="F637" s="221">
        <v>2006</v>
      </c>
    </row>
    <row r="638" spans="2:6">
      <c r="B638" s="254">
        <v>38762</v>
      </c>
      <c r="C638" s="221" t="s">
        <v>395</v>
      </c>
      <c r="D638" s="101">
        <v>16853</v>
      </c>
      <c r="E638" s="221" t="s">
        <v>211</v>
      </c>
      <c r="F638" s="221">
        <v>2006</v>
      </c>
    </row>
    <row r="639" spans="2:6">
      <c r="B639" s="254">
        <v>39239</v>
      </c>
      <c r="C639" s="221" t="s">
        <v>395</v>
      </c>
      <c r="D639" s="101">
        <v>27701</v>
      </c>
      <c r="E639" s="221" t="s">
        <v>213</v>
      </c>
      <c r="F639" s="221">
        <v>2007</v>
      </c>
    </row>
    <row r="640" spans="2:6">
      <c r="B640" s="254">
        <v>39416</v>
      </c>
      <c r="C640" s="221" t="s">
        <v>396</v>
      </c>
      <c r="D640" s="101">
        <v>37142</v>
      </c>
      <c r="E640" s="221" t="s">
        <v>210</v>
      </c>
      <c r="F640" s="221">
        <v>2007</v>
      </c>
    </row>
    <row r="641" spans="2:6">
      <c r="B641" s="254">
        <v>38833</v>
      </c>
      <c r="C641" s="221" t="s">
        <v>395</v>
      </c>
      <c r="D641" s="101">
        <v>37837</v>
      </c>
      <c r="E641" s="221" t="s">
        <v>211</v>
      </c>
      <c r="F641" s="221">
        <v>2006</v>
      </c>
    </row>
    <row r="642" spans="2:6">
      <c r="B642" s="254">
        <v>39206</v>
      </c>
      <c r="C642" s="221" t="s">
        <v>396</v>
      </c>
      <c r="D642" s="101">
        <v>35982</v>
      </c>
      <c r="E642" s="221" t="s">
        <v>212</v>
      </c>
      <c r="F642" s="221">
        <v>2007</v>
      </c>
    </row>
    <row r="643" spans="2:6">
      <c r="B643" s="254">
        <v>39207</v>
      </c>
      <c r="C643" s="221" t="s">
        <v>394</v>
      </c>
      <c r="D643" s="101">
        <v>18884</v>
      </c>
      <c r="E643" s="221" t="s">
        <v>213</v>
      </c>
      <c r="F643" s="221">
        <v>2007</v>
      </c>
    </row>
    <row r="644" spans="2:6">
      <c r="B644" s="254">
        <v>38837</v>
      </c>
      <c r="C644" s="221" t="s">
        <v>396</v>
      </c>
      <c r="D644" s="101">
        <v>27193</v>
      </c>
      <c r="E644" s="221" t="s">
        <v>211</v>
      </c>
      <c r="F644" s="221">
        <v>2006</v>
      </c>
    </row>
    <row r="645" spans="2:6">
      <c r="B645" s="254">
        <v>39530</v>
      </c>
      <c r="C645" s="221" t="s">
        <v>395</v>
      </c>
      <c r="D645" s="101">
        <v>6412</v>
      </c>
      <c r="E645" s="221" t="s">
        <v>213</v>
      </c>
      <c r="F645" s="221">
        <v>2008</v>
      </c>
    </row>
    <row r="646" spans="2:6">
      <c r="B646" s="254">
        <v>39155</v>
      </c>
      <c r="C646" s="221" t="s">
        <v>395</v>
      </c>
      <c r="D646" s="101">
        <v>36040</v>
      </c>
      <c r="E646" s="221" t="s">
        <v>213</v>
      </c>
      <c r="F646" s="221">
        <v>2007</v>
      </c>
    </row>
    <row r="647" spans="2:6">
      <c r="B647" s="254">
        <v>38991</v>
      </c>
      <c r="C647" s="221" t="s">
        <v>396</v>
      </c>
      <c r="D647" s="101">
        <v>5997</v>
      </c>
      <c r="E647" s="221" t="s">
        <v>211</v>
      </c>
      <c r="F647" s="221">
        <v>2006</v>
      </c>
    </row>
    <row r="648" spans="2:6">
      <c r="B648" s="254">
        <v>38911</v>
      </c>
      <c r="C648" s="221" t="s">
        <v>395</v>
      </c>
      <c r="D648" s="101">
        <v>21221</v>
      </c>
      <c r="E648" s="221" t="s">
        <v>210</v>
      </c>
      <c r="F648" s="221">
        <v>2006</v>
      </c>
    </row>
    <row r="649" spans="2:6">
      <c r="B649" s="254">
        <v>39577</v>
      </c>
      <c r="C649" s="221" t="s">
        <v>398</v>
      </c>
      <c r="D649" s="101">
        <v>25026</v>
      </c>
      <c r="E649" s="221" t="s">
        <v>210</v>
      </c>
      <c r="F649" s="221">
        <v>2008</v>
      </c>
    </row>
    <row r="650" spans="2:6">
      <c r="B650" s="254">
        <v>38737</v>
      </c>
      <c r="C650" s="221" t="s">
        <v>398</v>
      </c>
      <c r="D650" s="101">
        <v>19551</v>
      </c>
      <c r="E650" s="221" t="s">
        <v>211</v>
      </c>
      <c r="F650" s="221">
        <v>2006</v>
      </c>
    </row>
    <row r="651" spans="2:6">
      <c r="B651" s="254">
        <v>38748</v>
      </c>
      <c r="C651" s="221" t="s">
        <v>396</v>
      </c>
      <c r="D651" s="101">
        <v>27893</v>
      </c>
      <c r="E651" s="221" t="s">
        <v>213</v>
      </c>
      <c r="F651" s="221">
        <v>2006</v>
      </c>
    </row>
    <row r="652" spans="2:6">
      <c r="B652" s="254">
        <v>38957</v>
      </c>
      <c r="C652" s="221" t="s">
        <v>396</v>
      </c>
      <c r="D652" s="101">
        <v>23715</v>
      </c>
      <c r="E652" s="221" t="s">
        <v>213</v>
      </c>
      <c r="F652" s="221">
        <v>2006</v>
      </c>
    </row>
    <row r="653" spans="2:6">
      <c r="B653" s="254">
        <v>39423</v>
      </c>
      <c r="C653" s="221" t="s">
        <v>396</v>
      </c>
      <c r="D653" s="101">
        <v>31411</v>
      </c>
      <c r="E653" s="221" t="s">
        <v>210</v>
      </c>
      <c r="F653" s="221">
        <v>2007</v>
      </c>
    </row>
    <row r="654" spans="2:6">
      <c r="B654" s="254">
        <v>39485</v>
      </c>
      <c r="C654" s="221" t="s">
        <v>395</v>
      </c>
      <c r="D654" s="101">
        <v>12639</v>
      </c>
      <c r="E654" s="221" t="s">
        <v>210</v>
      </c>
      <c r="F654" s="221">
        <v>2008</v>
      </c>
    </row>
    <row r="655" spans="2:6">
      <c r="B655" s="254">
        <v>38932</v>
      </c>
      <c r="C655" s="221" t="s">
        <v>394</v>
      </c>
      <c r="D655" s="101">
        <v>38227</v>
      </c>
      <c r="E655" s="221" t="s">
        <v>210</v>
      </c>
      <c r="F655" s="221">
        <v>2006</v>
      </c>
    </row>
    <row r="656" spans="2:6">
      <c r="B656" s="254">
        <v>39292</v>
      </c>
      <c r="C656" s="221" t="s">
        <v>398</v>
      </c>
      <c r="D656" s="101">
        <v>19695</v>
      </c>
      <c r="E656" s="221" t="s">
        <v>210</v>
      </c>
      <c r="F656" s="221">
        <v>2007</v>
      </c>
    </row>
    <row r="657" spans="2:6">
      <c r="B657" s="254">
        <v>38780</v>
      </c>
      <c r="C657" s="221" t="s">
        <v>396</v>
      </c>
      <c r="D657" s="101">
        <v>13560</v>
      </c>
      <c r="E657" s="221" t="s">
        <v>210</v>
      </c>
      <c r="F657" s="221">
        <v>2006</v>
      </c>
    </row>
    <row r="658" spans="2:6">
      <c r="B658" s="254">
        <v>38964</v>
      </c>
      <c r="C658" s="221" t="s">
        <v>396</v>
      </c>
      <c r="D658" s="101">
        <v>8602</v>
      </c>
      <c r="E658" s="221" t="s">
        <v>212</v>
      </c>
      <c r="F658" s="221">
        <v>2006</v>
      </c>
    </row>
    <row r="659" spans="2:6">
      <c r="B659" s="254">
        <v>39483</v>
      </c>
      <c r="C659" s="221" t="s">
        <v>396</v>
      </c>
      <c r="D659" s="101">
        <v>16739</v>
      </c>
      <c r="E659" s="221" t="s">
        <v>213</v>
      </c>
      <c r="F659" s="221">
        <v>2008</v>
      </c>
    </row>
    <row r="660" spans="2:6">
      <c r="B660" s="254">
        <v>39282</v>
      </c>
      <c r="C660" s="221" t="s">
        <v>395</v>
      </c>
      <c r="D660" s="101">
        <v>35061</v>
      </c>
      <c r="E660" s="221" t="s">
        <v>211</v>
      </c>
      <c r="F660" s="221">
        <v>2007</v>
      </c>
    </row>
    <row r="661" spans="2:6">
      <c r="B661" s="254">
        <v>39457</v>
      </c>
      <c r="C661" s="221" t="s">
        <v>398</v>
      </c>
      <c r="D661" s="101">
        <v>21478</v>
      </c>
      <c r="E661" s="221" t="s">
        <v>212</v>
      </c>
      <c r="F661" s="221">
        <v>2008</v>
      </c>
    </row>
    <row r="662" spans="2:6">
      <c r="B662" s="254">
        <v>39403</v>
      </c>
      <c r="C662" s="221" t="s">
        <v>394</v>
      </c>
      <c r="D662" s="101">
        <v>8256</v>
      </c>
      <c r="E662" s="221" t="s">
        <v>210</v>
      </c>
      <c r="F662" s="221">
        <v>2007</v>
      </c>
    </row>
    <row r="663" spans="2:6">
      <c r="B663" s="254">
        <v>39121</v>
      </c>
      <c r="C663" s="221" t="s">
        <v>398</v>
      </c>
      <c r="D663" s="101">
        <v>39725</v>
      </c>
      <c r="E663" s="221" t="s">
        <v>212</v>
      </c>
      <c r="F663" s="221">
        <v>2007</v>
      </c>
    </row>
    <row r="664" spans="2:6">
      <c r="B664" s="254">
        <v>38829</v>
      </c>
      <c r="C664" s="221" t="s">
        <v>394</v>
      </c>
      <c r="D664" s="101">
        <v>20724</v>
      </c>
      <c r="E664" s="221" t="s">
        <v>210</v>
      </c>
      <c r="F664" s="221">
        <v>2006</v>
      </c>
    </row>
    <row r="665" spans="2:6">
      <c r="B665" s="254">
        <v>39445</v>
      </c>
      <c r="C665" s="221" t="s">
        <v>394</v>
      </c>
      <c r="D665" s="101">
        <v>34786</v>
      </c>
      <c r="E665" s="221" t="s">
        <v>211</v>
      </c>
      <c r="F665" s="221">
        <v>2007</v>
      </c>
    </row>
    <row r="666" spans="2:6">
      <c r="B666" s="254">
        <v>39584</v>
      </c>
      <c r="C666" s="221" t="s">
        <v>394</v>
      </c>
      <c r="D666" s="101">
        <v>21440</v>
      </c>
      <c r="E666" s="221" t="s">
        <v>211</v>
      </c>
      <c r="F666" s="221">
        <v>2008</v>
      </c>
    </row>
    <row r="667" spans="2:6">
      <c r="B667" s="254">
        <v>39197</v>
      </c>
      <c r="C667" s="221" t="s">
        <v>394</v>
      </c>
      <c r="D667" s="101">
        <v>37249</v>
      </c>
      <c r="E667" s="221" t="s">
        <v>210</v>
      </c>
      <c r="F667" s="221">
        <v>2007</v>
      </c>
    </row>
    <row r="668" spans="2:6">
      <c r="B668" s="254">
        <v>38724</v>
      </c>
      <c r="C668" s="221" t="s">
        <v>398</v>
      </c>
      <c r="D668" s="101">
        <v>33145</v>
      </c>
      <c r="E668" s="221" t="s">
        <v>212</v>
      </c>
      <c r="F668" s="221">
        <v>2006</v>
      </c>
    </row>
    <row r="669" spans="2:6">
      <c r="B669" s="254">
        <v>39290</v>
      </c>
      <c r="C669" s="221" t="s">
        <v>395</v>
      </c>
      <c r="D669" s="101">
        <v>27857</v>
      </c>
      <c r="E669" s="221" t="s">
        <v>213</v>
      </c>
      <c r="F669" s="221">
        <v>2007</v>
      </c>
    </row>
    <row r="670" spans="2:6">
      <c r="B670" s="254">
        <v>39356</v>
      </c>
      <c r="C670" s="221" t="s">
        <v>395</v>
      </c>
      <c r="D670" s="101">
        <v>29253</v>
      </c>
      <c r="E670" s="221" t="s">
        <v>212</v>
      </c>
      <c r="F670" s="221">
        <v>2007</v>
      </c>
    </row>
    <row r="671" spans="2:6">
      <c r="B671" s="254">
        <v>39403</v>
      </c>
      <c r="C671" s="221" t="s">
        <v>395</v>
      </c>
      <c r="D671" s="101">
        <v>15216</v>
      </c>
      <c r="E671" s="221" t="s">
        <v>210</v>
      </c>
      <c r="F671" s="221">
        <v>2007</v>
      </c>
    </row>
    <row r="672" spans="2:6">
      <c r="B672" s="254">
        <v>39558</v>
      </c>
      <c r="C672" s="221" t="s">
        <v>395</v>
      </c>
      <c r="D672" s="101">
        <v>18310</v>
      </c>
      <c r="E672" s="221" t="s">
        <v>210</v>
      </c>
      <c r="F672" s="221">
        <v>2008</v>
      </c>
    </row>
    <row r="673" spans="2:6">
      <c r="B673" s="254">
        <v>39538</v>
      </c>
      <c r="C673" s="221" t="s">
        <v>395</v>
      </c>
      <c r="D673" s="101">
        <v>30616</v>
      </c>
      <c r="E673" s="221" t="s">
        <v>213</v>
      </c>
      <c r="F673" s="221">
        <v>2008</v>
      </c>
    </row>
    <row r="674" spans="2:6">
      <c r="B674" s="254">
        <v>39571</v>
      </c>
      <c r="C674" s="221" t="s">
        <v>396</v>
      </c>
      <c r="D674" s="101">
        <v>32886</v>
      </c>
      <c r="E674" s="221" t="s">
        <v>211</v>
      </c>
      <c r="F674" s="221">
        <v>2008</v>
      </c>
    </row>
    <row r="675" spans="2:6">
      <c r="B675" s="254">
        <v>38819</v>
      </c>
      <c r="C675" s="221" t="s">
        <v>394</v>
      </c>
      <c r="D675" s="101">
        <v>19631</v>
      </c>
      <c r="E675" s="221" t="s">
        <v>212</v>
      </c>
      <c r="F675" s="221">
        <v>2006</v>
      </c>
    </row>
    <row r="676" spans="2:6">
      <c r="B676" s="254">
        <v>39386</v>
      </c>
      <c r="C676" s="221" t="s">
        <v>396</v>
      </c>
      <c r="D676" s="101">
        <v>15385</v>
      </c>
      <c r="E676" s="221" t="s">
        <v>211</v>
      </c>
      <c r="F676" s="221">
        <v>2007</v>
      </c>
    </row>
    <row r="677" spans="2:6">
      <c r="B677" s="254">
        <v>39340</v>
      </c>
      <c r="C677" s="221" t="s">
        <v>395</v>
      </c>
      <c r="D677" s="101">
        <v>6009</v>
      </c>
      <c r="E677" s="221" t="s">
        <v>211</v>
      </c>
      <c r="F677" s="221">
        <v>2007</v>
      </c>
    </row>
    <row r="678" spans="2:6">
      <c r="B678" s="254">
        <v>38743</v>
      </c>
      <c r="C678" s="221" t="s">
        <v>398</v>
      </c>
      <c r="D678" s="101">
        <v>27916</v>
      </c>
      <c r="E678" s="221" t="s">
        <v>211</v>
      </c>
      <c r="F678" s="221">
        <v>2006</v>
      </c>
    </row>
    <row r="679" spans="2:6">
      <c r="B679" s="254">
        <v>38889</v>
      </c>
      <c r="C679" s="221" t="s">
        <v>398</v>
      </c>
      <c r="D679" s="101">
        <v>25262</v>
      </c>
      <c r="E679" s="221" t="s">
        <v>210</v>
      </c>
      <c r="F679" s="221">
        <v>2006</v>
      </c>
    </row>
    <row r="680" spans="2:6">
      <c r="B680" s="254">
        <v>39562</v>
      </c>
      <c r="C680" s="221" t="s">
        <v>394</v>
      </c>
      <c r="D680" s="101">
        <v>21990</v>
      </c>
      <c r="E680" s="221" t="s">
        <v>210</v>
      </c>
      <c r="F680" s="221">
        <v>2008</v>
      </c>
    </row>
    <row r="681" spans="2:6">
      <c r="B681" s="254">
        <v>39473</v>
      </c>
      <c r="C681" s="221" t="s">
        <v>394</v>
      </c>
      <c r="D681" s="101">
        <v>8838</v>
      </c>
      <c r="E681" s="221" t="s">
        <v>210</v>
      </c>
      <c r="F681" s="221">
        <v>2008</v>
      </c>
    </row>
    <row r="682" spans="2:6">
      <c r="B682" s="254">
        <v>38895</v>
      </c>
      <c r="C682" s="221" t="s">
        <v>396</v>
      </c>
      <c r="D682" s="101">
        <v>25118</v>
      </c>
      <c r="E682" s="221" t="s">
        <v>211</v>
      </c>
      <c r="F682" s="221">
        <v>2006</v>
      </c>
    </row>
    <row r="683" spans="2:6">
      <c r="B683" s="254">
        <v>39199</v>
      </c>
      <c r="C683" s="221" t="s">
        <v>395</v>
      </c>
      <c r="D683" s="101">
        <v>31501</v>
      </c>
      <c r="E683" s="221" t="s">
        <v>210</v>
      </c>
      <c r="F683" s="221">
        <v>2007</v>
      </c>
    </row>
    <row r="684" spans="2:6">
      <c r="B684" s="254">
        <v>38925</v>
      </c>
      <c r="C684" s="221" t="s">
        <v>394</v>
      </c>
      <c r="D684" s="101">
        <v>21904</v>
      </c>
      <c r="E684" s="221" t="s">
        <v>213</v>
      </c>
      <c r="F684" s="221">
        <v>2006</v>
      </c>
    </row>
    <row r="685" spans="2:6">
      <c r="B685" s="254">
        <v>39469</v>
      </c>
      <c r="C685" s="221" t="s">
        <v>396</v>
      </c>
      <c r="D685" s="101">
        <v>10519</v>
      </c>
      <c r="E685" s="221" t="s">
        <v>211</v>
      </c>
      <c r="F685" s="221">
        <v>2008</v>
      </c>
    </row>
    <row r="686" spans="2:6">
      <c r="B686" s="254">
        <v>39198</v>
      </c>
      <c r="C686" s="221" t="s">
        <v>395</v>
      </c>
      <c r="D686" s="101">
        <v>24066</v>
      </c>
      <c r="E686" s="221" t="s">
        <v>210</v>
      </c>
      <c r="F686" s="221">
        <v>2007</v>
      </c>
    </row>
    <row r="687" spans="2:6">
      <c r="B687" s="254">
        <v>39010</v>
      </c>
      <c r="C687" s="221" t="s">
        <v>396</v>
      </c>
      <c r="D687" s="101">
        <v>5939</v>
      </c>
      <c r="E687" s="221" t="s">
        <v>213</v>
      </c>
      <c r="F687" s="221">
        <v>2006</v>
      </c>
    </row>
    <row r="688" spans="2:6">
      <c r="B688" s="254">
        <v>39156</v>
      </c>
      <c r="C688" s="221" t="s">
        <v>396</v>
      </c>
      <c r="D688" s="101">
        <v>31180</v>
      </c>
      <c r="E688" s="221" t="s">
        <v>210</v>
      </c>
      <c r="F688" s="221">
        <v>2007</v>
      </c>
    </row>
    <row r="689" spans="2:6">
      <c r="B689" s="254">
        <v>39038</v>
      </c>
      <c r="C689" s="221" t="s">
        <v>396</v>
      </c>
      <c r="D689" s="101">
        <v>37491</v>
      </c>
      <c r="E689" s="221" t="s">
        <v>211</v>
      </c>
      <c r="F689" s="221">
        <v>2006</v>
      </c>
    </row>
    <row r="690" spans="2:6">
      <c r="B690" s="254">
        <v>38829</v>
      </c>
      <c r="C690" s="221" t="s">
        <v>394</v>
      </c>
      <c r="D690" s="101">
        <v>34999</v>
      </c>
      <c r="E690" s="221" t="s">
        <v>211</v>
      </c>
      <c r="F690" s="221">
        <v>2006</v>
      </c>
    </row>
    <row r="691" spans="2:6">
      <c r="B691" s="254">
        <v>39042</v>
      </c>
      <c r="C691" s="221" t="s">
        <v>395</v>
      </c>
      <c r="D691" s="101">
        <v>29874</v>
      </c>
      <c r="E691" s="221" t="s">
        <v>211</v>
      </c>
      <c r="F691" s="221">
        <v>2006</v>
      </c>
    </row>
    <row r="692" spans="2:6">
      <c r="B692" s="254">
        <v>39557</v>
      </c>
      <c r="C692" s="221" t="s">
        <v>398</v>
      </c>
      <c r="D692" s="101">
        <v>8618</v>
      </c>
      <c r="E692" s="221" t="s">
        <v>210</v>
      </c>
      <c r="F692" s="221">
        <v>2008</v>
      </c>
    </row>
    <row r="693" spans="2:6">
      <c r="B693" s="254">
        <v>39446</v>
      </c>
      <c r="C693" s="221" t="s">
        <v>398</v>
      </c>
      <c r="D693" s="101">
        <v>12684</v>
      </c>
      <c r="E693" s="221" t="s">
        <v>211</v>
      </c>
      <c r="F693" s="221">
        <v>2007</v>
      </c>
    </row>
    <row r="694" spans="2:6">
      <c r="B694" s="254">
        <v>38746</v>
      </c>
      <c r="C694" s="221" t="s">
        <v>398</v>
      </c>
      <c r="D694" s="101">
        <v>22831</v>
      </c>
      <c r="E694" s="221" t="s">
        <v>211</v>
      </c>
      <c r="F694" s="221">
        <v>2006</v>
      </c>
    </row>
    <row r="695" spans="2:6">
      <c r="B695" s="254">
        <v>39289</v>
      </c>
      <c r="C695" s="221" t="s">
        <v>396</v>
      </c>
      <c r="D695" s="101">
        <v>30420</v>
      </c>
      <c r="E695" s="221" t="s">
        <v>212</v>
      </c>
      <c r="F695" s="221">
        <v>2007</v>
      </c>
    </row>
    <row r="696" spans="2:6">
      <c r="B696" s="254">
        <v>39180</v>
      </c>
      <c r="C696" s="221" t="s">
        <v>395</v>
      </c>
      <c r="D696" s="101">
        <v>27978</v>
      </c>
      <c r="E696" s="221" t="s">
        <v>213</v>
      </c>
      <c r="F696" s="221">
        <v>2007</v>
      </c>
    </row>
    <row r="697" spans="2:6">
      <c r="B697" s="254">
        <v>39582</v>
      </c>
      <c r="C697" s="221" t="s">
        <v>394</v>
      </c>
      <c r="D697" s="101">
        <v>21863</v>
      </c>
      <c r="E697" s="221" t="s">
        <v>210</v>
      </c>
      <c r="F697" s="221">
        <v>2008</v>
      </c>
    </row>
    <row r="698" spans="2:6">
      <c r="B698" s="254">
        <v>39008</v>
      </c>
      <c r="C698" s="221" t="s">
        <v>395</v>
      </c>
      <c r="D698" s="101">
        <v>37257</v>
      </c>
      <c r="E698" s="221" t="s">
        <v>213</v>
      </c>
      <c r="F698" s="221">
        <v>2006</v>
      </c>
    </row>
    <row r="699" spans="2:6">
      <c r="B699" s="254">
        <v>38938</v>
      </c>
      <c r="C699" s="221" t="s">
        <v>394</v>
      </c>
      <c r="D699" s="101">
        <v>18907</v>
      </c>
      <c r="E699" s="221" t="s">
        <v>213</v>
      </c>
      <c r="F699" s="221">
        <v>2006</v>
      </c>
    </row>
    <row r="700" spans="2:6">
      <c r="B700" s="254">
        <v>39014</v>
      </c>
      <c r="C700" s="221" t="s">
        <v>394</v>
      </c>
      <c r="D700" s="101">
        <v>13624</v>
      </c>
      <c r="E700" s="221" t="s">
        <v>210</v>
      </c>
      <c r="F700" s="221">
        <v>2006</v>
      </c>
    </row>
    <row r="701" spans="2:6">
      <c r="B701" s="254">
        <v>38910</v>
      </c>
      <c r="C701" s="221" t="s">
        <v>395</v>
      </c>
      <c r="D701" s="101">
        <v>10795</v>
      </c>
      <c r="E701" s="221" t="s">
        <v>213</v>
      </c>
      <c r="F701" s="221">
        <v>2006</v>
      </c>
    </row>
    <row r="702" spans="2:6">
      <c r="B702" s="254">
        <v>39371</v>
      </c>
      <c r="C702" s="221" t="s">
        <v>396</v>
      </c>
      <c r="D702" s="101">
        <v>13351</v>
      </c>
      <c r="E702" s="221" t="s">
        <v>210</v>
      </c>
      <c r="F702" s="221">
        <v>2007</v>
      </c>
    </row>
    <row r="703" spans="2:6">
      <c r="B703" s="254">
        <v>38997</v>
      </c>
      <c r="C703" s="221" t="s">
        <v>396</v>
      </c>
      <c r="D703" s="101">
        <v>31037</v>
      </c>
      <c r="E703" s="221" t="s">
        <v>211</v>
      </c>
      <c r="F703" s="221">
        <v>2006</v>
      </c>
    </row>
    <row r="704" spans="2:6">
      <c r="B704" s="254">
        <v>39395</v>
      </c>
      <c r="C704" s="221" t="s">
        <v>398</v>
      </c>
      <c r="D704" s="101">
        <v>7835</v>
      </c>
      <c r="E704" s="221" t="s">
        <v>212</v>
      </c>
      <c r="F704" s="221">
        <v>2007</v>
      </c>
    </row>
    <row r="705" spans="2:6">
      <c r="B705" s="254">
        <v>38912</v>
      </c>
      <c r="C705" s="221" t="s">
        <v>395</v>
      </c>
      <c r="D705" s="101">
        <v>22615</v>
      </c>
      <c r="E705" s="221" t="s">
        <v>211</v>
      </c>
      <c r="F705" s="221">
        <v>2006</v>
      </c>
    </row>
    <row r="706" spans="2:6">
      <c r="B706" s="254">
        <v>39508</v>
      </c>
      <c r="C706" s="221" t="s">
        <v>395</v>
      </c>
      <c r="D706" s="101">
        <v>8267</v>
      </c>
      <c r="E706" s="221" t="s">
        <v>211</v>
      </c>
      <c r="F706" s="221">
        <v>2008</v>
      </c>
    </row>
    <row r="707" spans="2:6">
      <c r="B707" s="254">
        <v>39090</v>
      </c>
      <c r="C707" s="221" t="s">
        <v>395</v>
      </c>
      <c r="D707" s="101">
        <v>27162</v>
      </c>
      <c r="E707" s="221" t="s">
        <v>210</v>
      </c>
      <c r="F707" s="221">
        <v>2007</v>
      </c>
    </row>
    <row r="708" spans="2:6">
      <c r="B708" s="254">
        <v>39169</v>
      </c>
      <c r="C708" s="221" t="s">
        <v>394</v>
      </c>
      <c r="D708" s="101">
        <v>31177</v>
      </c>
      <c r="E708" s="221" t="s">
        <v>210</v>
      </c>
      <c r="F708" s="221">
        <v>2007</v>
      </c>
    </row>
    <row r="709" spans="2:6">
      <c r="B709" s="254">
        <v>38922</v>
      </c>
      <c r="C709" s="221" t="s">
        <v>395</v>
      </c>
      <c r="D709" s="101">
        <v>6181</v>
      </c>
      <c r="E709" s="221" t="s">
        <v>213</v>
      </c>
      <c r="F709" s="221">
        <v>2006</v>
      </c>
    </row>
    <row r="710" spans="2:6">
      <c r="B710" s="254">
        <v>39473</v>
      </c>
      <c r="C710" s="221" t="s">
        <v>395</v>
      </c>
      <c r="D710" s="101">
        <v>14112</v>
      </c>
      <c r="E710" s="221" t="s">
        <v>213</v>
      </c>
      <c r="F710" s="221">
        <v>2008</v>
      </c>
    </row>
    <row r="711" spans="2:6">
      <c r="B711" s="254">
        <v>39542</v>
      </c>
      <c r="C711" s="221" t="s">
        <v>396</v>
      </c>
      <c r="D711" s="101">
        <v>21783</v>
      </c>
      <c r="E711" s="221" t="s">
        <v>211</v>
      </c>
      <c r="F711" s="221">
        <v>2008</v>
      </c>
    </row>
    <row r="712" spans="2:6">
      <c r="B712" s="254">
        <v>39353</v>
      </c>
      <c r="C712" s="221" t="s">
        <v>398</v>
      </c>
      <c r="D712" s="101">
        <v>25344</v>
      </c>
      <c r="E712" s="221" t="s">
        <v>211</v>
      </c>
      <c r="F712" s="221">
        <v>2007</v>
      </c>
    </row>
    <row r="713" spans="2:6">
      <c r="B713" s="254">
        <v>39546</v>
      </c>
      <c r="C713" s="221" t="s">
        <v>398</v>
      </c>
      <c r="D713" s="101">
        <v>16521</v>
      </c>
      <c r="E713" s="221" t="s">
        <v>210</v>
      </c>
      <c r="F713" s="221">
        <v>2008</v>
      </c>
    </row>
    <row r="714" spans="2:6">
      <c r="B714" s="254">
        <v>38756</v>
      </c>
      <c r="C714" s="221" t="s">
        <v>395</v>
      </c>
      <c r="D714" s="101">
        <v>38337</v>
      </c>
      <c r="E714" s="221" t="s">
        <v>210</v>
      </c>
      <c r="F714" s="221">
        <v>2006</v>
      </c>
    </row>
    <row r="715" spans="2:6">
      <c r="B715" s="254">
        <v>39330</v>
      </c>
      <c r="C715" s="221" t="s">
        <v>394</v>
      </c>
      <c r="D715" s="101">
        <v>15775</v>
      </c>
      <c r="E715" s="221" t="s">
        <v>212</v>
      </c>
      <c r="F715" s="221">
        <v>2007</v>
      </c>
    </row>
    <row r="716" spans="2:6">
      <c r="B716" s="254">
        <v>38732</v>
      </c>
      <c r="C716" s="221" t="s">
        <v>395</v>
      </c>
      <c r="D716" s="101">
        <v>27301</v>
      </c>
      <c r="E716" s="221" t="s">
        <v>211</v>
      </c>
      <c r="F716" s="221">
        <v>2006</v>
      </c>
    </row>
    <row r="717" spans="2:6">
      <c r="B717" s="254">
        <v>39611</v>
      </c>
      <c r="C717" s="221" t="s">
        <v>396</v>
      </c>
      <c r="D717" s="101">
        <v>28944</v>
      </c>
      <c r="E717" s="221" t="s">
        <v>212</v>
      </c>
      <c r="F717" s="221">
        <v>2008</v>
      </c>
    </row>
    <row r="718" spans="2:6">
      <c r="B718" s="254">
        <v>39375</v>
      </c>
      <c r="C718" s="221" t="s">
        <v>394</v>
      </c>
      <c r="D718" s="101">
        <v>30900</v>
      </c>
      <c r="E718" s="221" t="s">
        <v>210</v>
      </c>
      <c r="F718" s="221">
        <v>2007</v>
      </c>
    </row>
    <row r="719" spans="2:6">
      <c r="B719" s="254">
        <v>39562</v>
      </c>
      <c r="C719" s="221" t="s">
        <v>398</v>
      </c>
      <c r="D719" s="101">
        <v>23010</v>
      </c>
      <c r="E719" s="221" t="s">
        <v>212</v>
      </c>
      <c r="F719" s="221">
        <v>2008</v>
      </c>
    </row>
    <row r="720" spans="2:6">
      <c r="B720" s="254">
        <v>39110</v>
      </c>
      <c r="C720" s="221" t="s">
        <v>396</v>
      </c>
      <c r="D720" s="101">
        <v>26274</v>
      </c>
      <c r="E720" s="221" t="s">
        <v>213</v>
      </c>
      <c r="F720" s="221">
        <v>2007</v>
      </c>
    </row>
    <row r="721" spans="2:6">
      <c r="B721" s="254">
        <v>38885</v>
      </c>
      <c r="C721" s="221" t="s">
        <v>395</v>
      </c>
      <c r="D721" s="101">
        <v>6109</v>
      </c>
      <c r="E721" s="221" t="s">
        <v>210</v>
      </c>
      <c r="F721" s="221">
        <v>2006</v>
      </c>
    </row>
    <row r="722" spans="2:6">
      <c r="B722" s="254">
        <v>39161</v>
      </c>
      <c r="C722" s="221" t="s">
        <v>395</v>
      </c>
      <c r="D722" s="101">
        <v>26664</v>
      </c>
      <c r="E722" s="221" t="s">
        <v>212</v>
      </c>
      <c r="F722" s="221">
        <v>2007</v>
      </c>
    </row>
    <row r="723" spans="2:6">
      <c r="B723" s="254">
        <v>38870</v>
      </c>
      <c r="C723" s="221" t="s">
        <v>398</v>
      </c>
      <c r="D723" s="101">
        <v>16981</v>
      </c>
      <c r="E723" s="221" t="s">
        <v>210</v>
      </c>
      <c r="F723" s="221">
        <v>2006</v>
      </c>
    </row>
    <row r="724" spans="2:6">
      <c r="B724" s="254">
        <v>39382</v>
      </c>
      <c r="C724" s="221" t="s">
        <v>395</v>
      </c>
      <c r="D724" s="101">
        <v>26412</v>
      </c>
      <c r="E724" s="221" t="s">
        <v>212</v>
      </c>
      <c r="F724" s="221">
        <v>2007</v>
      </c>
    </row>
    <row r="725" spans="2:6">
      <c r="B725" s="254">
        <v>38831</v>
      </c>
      <c r="C725" s="221" t="s">
        <v>396</v>
      </c>
      <c r="D725" s="101">
        <v>8076</v>
      </c>
      <c r="E725" s="221" t="s">
        <v>212</v>
      </c>
      <c r="F725" s="221">
        <v>2006</v>
      </c>
    </row>
    <row r="726" spans="2:6">
      <c r="B726" s="254">
        <v>39005</v>
      </c>
      <c r="C726" s="221" t="s">
        <v>394</v>
      </c>
      <c r="D726" s="101">
        <v>29286</v>
      </c>
      <c r="E726" s="221" t="s">
        <v>211</v>
      </c>
      <c r="F726" s="221">
        <v>2006</v>
      </c>
    </row>
    <row r="727" spans="2:6">
      <c r="B727" s="254">
        <v>39376</v>
      </c>
      <c r="C727" s="221" t="s">
        <v>395</v>
      </c>
      <c r="D727" s="101">
        <v>33267</v>
      </c>
      <c r="E727" s="221" t="s">
        <v>212</v>
      </c>
      <c r="F727" s="221">
        <v>2007</v>
      </c>
    </row>
    <row r="728" spans="2:6">
      <c r="B728" s="254">
        <v>38980</v>
      </c>
      <c r="C728" s="221" t="s">
        <v>396</v>
      </c>
      <c r="D728" s="101">
        <v>11289</v>
      </c>
      <c r="E728" s="221" t="s">
        <v>213</v>
      </c>
      <c r="F728" s="221">
        <v>2006</v>
      </c>
    </row>
    <row r="729" spans="2:6">
      <c r="B729" s="254">
        <v>39515</v>
      </c>
      <c r="C729" s="221" t="s">
        <v>394</v>
      </c>
      <c r="D729" s="101">
        <v>9499</v>
      </c>
      <c r="E729" s="221" t="s">
        <v>210</v>
      </c>
      <c r="F729" s="221">
        <v>2008</v>
      </c>
    </row>
    <row r="730" spans="2:6">
      <c r="B730" s="254">
        <v>39489</v>
      </c>
      <c r="C730" s="221" t="s">
        <v>395</v>
      </c>
      <c r="D730" s="101">
        <v>21807</v>
      </c>
      <c r="E730" s="221" t="s">
        <v>212</v>
      </c>
      <c r="F730" s="221">
        <v>2008</v>
      </c>
    </row>
    <row r="731" spans="2:6">
      <c r="B731" s="254">
        <v>39490</v>
      </c>
      <c r="C731" s="221" t="s">
        <v>398</v>
      </c>
      <c r="D731" s="101">
        <v>13457</v>
      </c>
      <c r="E731" s="221" t="s">
        <v>211</v>
      </c>
      <c r="F731" s="221">
        <v>2008</v>
      </c>
    </row>
    <row r="732" spans="2:6">
      <c r="B732" s="254">
        <v>39569</v>
      </c>
      <c r="C732" s="221" t="s">
        <v>398</v>
      </c>
      <c r="D732" s="101">
        <v>16411</v>
      </c>
      <c r="E732" s="221" t="s">
        <v>213</v>
      </c>
      <c r="F732" s="221">
        <v>2008</v>
      </c>
    </row>
    <row r="733" spans="2:6">
      <c r="B733" s="254">
        <v>39584</v>
      </c>
      <c r="C733" s="221" t="s">
        <v>398</v>
      </c>
      <c r="D733" s="101">
        <v>32773</v>
      </c>
      <c r="E733" s="221" t="s">
        <v>212</v>
      </c>
      <c r="F733" s="221">
        <v>2008</v>
      </c>
    </row>
    <row r="734" spans="2:6">
      <c r="B734" s="254">
        <v>39598</v>
      </c>
      <c r="C734" s="221" t="s">
        <v>398</v>
      </c>
      <c r="D734" s="101">
        <v>18750</v>
      </c>
      <c r="E734" s="221" t="s">
        <v>212</v>
      </c>
      <c r="F734" s="221">
        <v>2008</v>
      </c>
    </row>
    <row r="735" spans="2:6">
      <c r="B735" s="254">
        <v>39577</v>
      </c>
      <c r="C735" s="221" t="s">
        <v>394</v>
      </c>
      <c r="D735" s="101">
        <v>7021</v>
      </c>
      <c r="E735" s="221" t="s">
        <v>211</v>
      </c>
      <c r="F735" s="221">
        <v>2008</v>
      </c>
    </row>
    <row r="736" spans="2:6">
      <c r="B736" s="254">
        <v>39458</v>
      </c>
      <c r="C736" s="221" t="s">
        <v>396</v>
      </c>
      <c r="D736" s="101">
        <v>24749</v>
      </c>
      <c r="E736" s="221" t="s">
        <v>210</v>
      </c>
      <c r="F736" s="221">
        <v>2008</v>
      </c>
    </row>
    <row r="737" spans="2:6">
      <c r="B737" s="254">
        <v>39103</v>
      </c>
      <c r="C737" s="221" t="s">
        <v>394</v>
      </c>
      <c r="D737" s="101">
        <v>13237</v>
      </c>
      <c r="E737" s="221" t="s">
        <v>213</v>
      </c>
      <c r="F737" s="221">
        <v>2007</v>
      </c>
    </row>
    <row r="738" spans="2:6">
      <c r="B738" s="254">
        <v>39533</v>
      </c>
      <c r="C738" s="221" t="s">
        <v>394</v>
      </c>
      <c r="D738" s="101">
        <v>14479</v>
      </c>
      <c r="E738" s="221" t="s">
        <v>213</v>
      </c>
      <c r="F738" s="221">
        <v>2008</v>
      </c>
    </row>
    <row r="739" spans="2:6">
      <c r="B739" s="254">
        <v>38938</v>
      </c>
      <c r="C739" s="221" t="s">
        <v>394</v>
      </c>
      <c r="D739" s="101">
        <v>37740</v>
      </c>
      <c r="E739" s="221" t="s">
        <v>211</v>
      </c>
      <c r="F739" s="221">
        <v>2006</v>
      </c>
    </row>
    <row r="740" spans="2:6">
      <c r="B740" s="254">
        <v>39116</v>
      </c>
      <c r="C740" s="221" t="s">
        <v>395</v>
      </c>
      <c r="D740" s="101">
        <v>20163</v>
      </c>
      <c r="E740" s="221" t="s">
        <v>212</v>
      </c>
      <c r="F740" s="221">
        <v>2007</v>
      </c>
    </row>
    <row r="741" spans="2:6">
      <c r="B741" s="254">
        <v>38764</v>
      </c>
      <c r="C741" s="221" t="s">
        <v>396</v>
      </c>
      <c r="D741" s="101">
        <v>5436</v>
      </c>
      <c r="E741" s="221" t="s">
        <v>213</v>
      </c>
      <c r="F741" s="221">
        <v>2006</v>
      </c>
    </row>
    <row r="742" spans="2:6">
      <c r="B742" s="254">
        <v>38841</v>
      </c>
      <c r="C742" s="221" t="s">
        <v>395</v>
      </c>
      <c r="D742" s="101">
        <v>21722</v>
      </c>
      <c r="E742" s="221" t="s">
        <v>210</v>
      </c>
      <c r="F742" s="221">
        <v>2006</v>
      </c>
    </row>
    <row r="743" spans="2:6">
      <c r="B743" s="254">
        <v>39017</v>
      </c>
      <c r="C743" s="221" t="s">
        <v>395</v>
      </c>
      <c r="D743" s="101">
        <v>16666</v>
      </c>
      <c r="E743" s="221" t="s">
        <v>210</v>
      </c>
      <c r="F743" s="221">
        <v>2006</v>
      </c>
    </row>
    <row r="744" spans="2:6">
      <c r="B744" s="254">
        <v>39227</v>
      </c>
      <c r="C744" s="221" t="s">
        <v>394</v>
      </c>
      <c r="D744" s="101">
        <v>20076</v>
      </c>
      <c r="E744" s="221" t="s">
        <v>210</v>
      </c>
      <c r="F744" s="221">
        <v>2007</v>
      </c>
    </row>
    <row r="745" spans="2:6">
      <c r="B745" s="254">
        <v>39519</v>
      </c>
      <c r="C745" s="221" t="s">
        <v>395</v>
      </c>
      <c r="D745" s="101">
        <v>17054</v>
      </c>
      <c r="E745" s="221" t="s">
        <v>210</v>
      </c>
      <c r="F745" s="221">
        <v>2008</v>
      </c>
    </row>
    <row r="746" spans="2:6">
      <c r="B746" s="254">
        <v>38867</v>
      </c>
      <c r="C746" s="221" t="s">
        <v>398</v>
      </c>
      <c r="D746" s="101">
        <v>26881</v>
      </c>
      <c r="E746" s="221" t="s">
        <v>210</v>
      </c>
      <c r="F746" s="221">
        <v>2006</v>
      </c>
    </row>
    <row r="747" spans="2:6">
      <c r="B747" s="254">
        <v>39032</v>
      </c>
      <c r="C747" s="221" t="s">
        <v>394</v>
      </c>
      <c r="D747" s="101">
        <v>31890</v>
      </c>
      <c r="E747" s="221" t="s">
        <v>213</v>
      </c>
      <c r="F747" s="221">
        <v>2006</v>
      </c>
    </row>
    <row r="748" spans="2:6">
      <c r="B748" s="254">
        <v>38793</v>
      </c>
      <c r="C748" s="221" t="s">
        <v>395</v>
      </c>
      <c r="D748" s="101">
        <v>24997</v>
      </c>
      <c r="E748" s="221" t="s">
        <v>210</v>
      </c>
      <c r="F748" s="221">
        <v>2006</v>
      </c>
    </row>
    <row r="749" spans="2:6">
      <c r="B749" s="254">
        <v>39007</v>
      </c>
      <c r="C749" s="221" t="s">
        <v>394</v>
      </c>
      <c r="D749" s="101">
        <v>7401</v>
      </c>
      <c r="E749" s="221" t="s">
        <v>213</v>
      </c>
      <c r="F749" s="221">
        <v>2006</v>
      </c>
    </row>
    <row r="750" spans="2:6">
      <c r="B750" s="254">
        <v>39286</v>
      </c>
      <c r="C750" s="221" t="s">
        <v>396</v>
      </c>
      <c r="D750" s="101">
        <v>39125</v>
      </c>
      <c r="E750" s="221" t="s">
        <v>210</v>
      </c>
      <c r="F750" s="221">
        <v>2007</v>
      </c>
    </row>
    <row r="751" spans="2:6">
      <c r="B751" s="254">
        <v>38786</v>
      </c>
      <c r="C751" s="221" t="s">
        <v>396</v>
      </c>
      <c r="D751" s="101">
        <v>26323</v>
      </c>
      <c r="E751" s="221" t="s">
        <v>210</v>
      </c>
      <c r="F751" s="221">
        <v>2006</v>
      </c>
    </row>
    <row r="752" spans="2:6">
      <c r="B752" s="254">
        <v>38899</v>
      </c>
      <c r="C752" s="221" t="s">
        <v>395</v>
      </c>
      <c r="D752" s="101">
        <v>34538</v>
      </c>
      <c r="E752" s="221" t="s">
        <v>212</v>
      </c>
      <c r="F752" s="221">
        <v>2006</v>
      </c>
    </row>
    <row r="753" spans="2:6">
      <c r="B753" s="254">
        <v>39186</v>
      </c>
      <c r="C753" s="221" t="s">
        <v>395</v>
      </c>
      <c r="D753" s="101">
        <v>32366</v>
      </c>
      <c r="E753" s="221" t="s">
        <v>212</v>
      </c>
      <c r="F753" s="221">
        <v>2007</v>
      </c>
    </row>
    <row r="754" spans="2:6">
      <c r="B754" s="254">
        <v>38998</v>
      </c>
      <c r="C754" s="221" t="s">
        <v>398</v>
      </c>
      <c r="D754" s="101">
        <v>32509</v>
      </c>
      <c r="E754" s="221" t="s">
        <v>212</v>
      </c>
      <c r="F754" s="221">
        <v>2006</v>
      </c>
    </row>
    <row r="755" spans="2:6">
      <c r="B755" s="254">
        <v>39163</v>
      </c>
      <c r="C755" s="221" t="s">
        <v>398</v>
      </c>
      <c r="D755" s="101">
        <v>34167</v>
      </c>
      <c r="E755" s="221" t="s">
        <v>210</v>
      </c>
      <c r="F755" s="221">
        <v>2007</v>
      </c>
    </row>
    <row r="756" spans="2:6">
      <c r="B756" s="254">
        <v>38794</v>
      </c>
      <c r="C756" s="221" t="s">
        <v>394</v>
      </c>
      <c r="D756" s="101">
        <v>36734</v>
      </c>
      <c r="E756" s="221" t="s">
        <v>212</v>
      </c>
      <c r="F756" s="221">
        <v>2006</v>
      </c>
    </row>
    <row r="757" spans="2:6">
      <c r="B757" s="254">
        <v>39123</v>
      </c>
      <c r="C757" s="221" t="s">
        <v>398</v>
      </c>
      <c r="D757" s="101">
        <v>10704</v>
      </c>
      <c r="E757" s="221" t="s">
        <v>211</v>
      </c>
      <c r="F757" s="221">
        <v>2007</v>
      </c>
    </row>
    <row r="758" spans="2:6">
      <c r="B758" s="254">
        <v>38734</v>
      </c>
      <c r="C758" s="221" t="s">
        <v>394</v>
      </c>
      <c r="D758" s="101">
        <v>26446</v>
      </c>
      <c r="E758" s="221" t="s">
        <v>211</v>
      </c>
      <c r="F758" s="221">
        <v>2006</v>
      </c>
    </row>
    <row r="759" spans="2:6">
      <c r="B759" s="254">
        <v>39456</v>
      </c>
      <c r="C759" s="221" t="s">
        <v>394</v>
      </c>
      <c r="D759" s="101">
        <v>22994</v>
      </c>
      <c r="E759" s="221" t="s">
        <v>213</v>
      </c>
      <c r="F759" s="221">
        <v>2008</v>
      </c>
    </row>
    <row r="760" spans="2:6">
      <c r="B760" s="254">
        <v>39134</v>
      </c>
      <c r="C760" s="221" t="s">
        <v>398</v>
      </c>
      <c r="D760" s="101">
        <v>27370</v>
      </c>
      <c r="E760" s="221" t="s">
        <v>213</v>
      </c>
      <c r="F760" s="221">
        <v>2007</v>
      </c>
    </row>
    <row r="761" spans="2:6">
      <c r="B761" s="254">
        <v>39333</v>
      </c>
      <c r="C761" s="221" t="s">
        <v>395</v>
      </c>
      <c r="D761" s="101">
        <v>15230</v>
      </c>
      <c r="E761" s="221" t="s">
        <v>211</v>
      </c>
      <c r="F761" s="221">
        <v>2007</v>
      </c>
    </row>
    <row r="762" spans="2:6">
      <c r="B762" s="254">
        <v>38970</v>
      </c>
      <c r="C762" s="221" t="s">
        <v>398</v>
      </c>
      <c r="D762" s="101">
        <v>21169</v>
      </c>
      <c r="E762" s="221" t="s">
        <v>213</v>
      </c>
      <c r="F762" s="221">
        <v>2006</v>
      </c>
    </row>
    <row r="763" spans="2:6">
      <c r="B763" s="254">
        <v>39123</v>
      </c>
      <c r="C763" s="221" t="s">
        <v>398</v>
      </c>
      <c r="D763" s="101">
        <v>38636</v>
      </c>
      <c r="E763" s="221" t="s">
        <v>212</v>
      </c>
      <c r="F763" s="221">
        <v>2007</v>
      </c>
    </row>
    <row r="764" spans="2:6">
      <c r="B764" s="254">
        <v>39081</v>
      </c>
      <c r="C764" s="221" t="s">
        <v>398</v>
      </c>
      <c r="D764" s="101">
        <v>11113</v>
      </c>
      <c r="E764" s="221" t="s">
        <v>210</v>
      </c>
      <c r="F764" s="221">
        <v>2006</v>
      </c>
    </row>
    <row r="765" spans="2:6">
      <c r="B765" s="254">
        <v>39424</v>
      </c>
      <c r="C765" s="221" t="s">
        <v>395</v>
      </c>
      <c r="D765" s="101">
        <v>20507</v>
      </c>
      <c r="E765" s="221" t="s">
        <v>213</v>
      </c>
      <c r="F765" s="221">
        <v>2007</v>
      </c>
    </row>
    <row r="766" spans="2:6">
      <c r="B766" s="254">
        <v>38843</v>
      </c>
      <c r="C766" s="221" t="s">
        <v>395</v>
      </c>
      <c r="D766" s="101">
        <v>19021</v>
      </c>
      <c r="E766" s="221" t="s">
        <v>213</v>
      </c>
      <c r="F766" s="221">
        <v>2006</v>
      </c>
    </row>
    <row r="767" spans="2:6">
      <c r="B767" s="254">
        <v>38843</v>
      </c>
      <c r="C767" s="221" t="s">
        <v>398</v>
      </c>
      <c r="D767" s="101">
        <v>9205</v>
      </c>
      <c r="E767" s="221" t="s">
        <v>210</v>
      </c>
      <c r="F767" s="221">
        <v>2006</v>
      </c>
    </row>
    <row r="768" spans="2:6">
      <c r="B768" s="254">
        <v>38787</v>
      </c>
      <c r="C768" s="221" t="s">
        <v>394</v>
      </c>
      <c r="D768" s="101">
        <v>18110</v>
      </c>
      <c r="E768" s="221" t="s">
        <v>212</v>
      </c>
      <c r="F768" s="221">
        <v>2006</v>
      </c>
    </row>
    <row r="769" spans="2:6">
      <c r="B769" s="254">
        <v>39584</v>
      </c>
      <c r="C769" s="221" t="s">
        <v>395</v>
      </c>
      <c r="D769" s="101">
        <v>25636</v>
      </c>
      <c r="E769" s="221" t="s">
        <v>213</v>
      </c>
      <c r="F769" s="221">
        <v>2008</v>
      </c>
    </row>
    <row r="770" spans="2:6">
      <c r="B770" s="254">
        <v>39595</v>
      </c>
      <c r="C770" s="221" t="s">
        <v>398</v>
      </c>
      <c r="D770" s="101">
        <v>24661</v>
      </c>
      <c r="E770" s="221" t="s">
        <v>211</v>
      </c>
      <c r="F770" s="221">
        <v>2008</v>
      </c>
    </row>
    <row r="771" spans="2:6">
      <c r="B771" s="254">
        <v>39456</v>
      </c>
      <c r="C771" s="221" t="s">
        <v>398</v>
      </c>
      <c r="D771" s="101">
        <v>10406</v>
      </c>
      <c r="E771" s="221" t="s">
        <v>213</v>
      </c>
      <c r="F771" s="221">
        <v>2008</v>
      </c>
    </row>
    <row r="772" spans="2:6">
      <c r="B772" s="254">
        <v>39529</v>
      </c>
      <c r="C772" s="221" t="s">
        <v>395</v>
      </c>
      <c r="D772" s="101">
        <v>36744</v>
      </c>
      <c r="E772" s="221" t="s">
        <v>213</v>
      </c>
      <c r="F772" s="221">
        <v>2008</v>
      </c>
    </row>
    <row r="773" spans="2:6">
      <c r="B773" s="254">
        <v>38802</v>
      </c>
      <c r="C773" s="221" t="s">
        <v>394</v>
      </c>
      <c r="D773" s="101">
        <v>35262</v>
      </c>
      <c r="E773" s="221" t="s">
        <v>210</v>
      </c>
      <c r="F773" s="221">
        <v>2006</v>
      </c>
    </row>
    <row r="774" spans="2:6">
      <c r="B774" s="254">
        <v>39470</v>
      </c>
      <c r="C774" s="221" t="s">
        <v>395</v>
      </c>
      <c r="D774" s="101">
        <v>16883</v>
      </c>
      <c r="E774" s="221" t="s">
        <v>210</v>
      </c>
      <c r="F774" s="221">
        <v>2008</v>
      </c>
    </row>
    <row r="775" spans="2:6">
      <c r="B775" s="254">
        <v>38846</v>
      </c>
      <c r="C775" s="221" t="s">
        <v>395</v>
      </c>
      <c r="D775" s="101">
        <v>27586</v>
      </c>
      <c r="E775" s="221" t="s">
        <v>211</v>
      </c>
      <c r="F775" s="221">
        <v>2006</v>
      </c>
    </row>
    <row r="776" spans="2:6">
      <c r="B776" s="254">
        <v>39189</v>
      </c>
      <c r="C776" s="221" t="s">
        <v>394</v>
      </c>
      <c r="D776" s="101">
        <v>5719</v>
      </c>
      <c r="E776" s="221" t="s">
        <v>210</v>
      </c>
      <c r="F776" s="221">
        <v>2007</v>
      </c>
    </row>
    <row r="777" spans="2:6">
      <c r="B777" s="254">
        <v>39572</v>
      </c>
      <c r="C777" s="221" t="s">
        <v>398</v>
      </c>
      <c r="D777" s="101">
        <v>9170</v>
      </c>
      <c r="E777" s="221" t="s">
        <v>210</v>
      </c>
      <c r="F777" s="221">
        <v>2008</v>
      </c>
    </row>
    <row r="778" spans="2:6">
      <c r="B778" s="254">
        <v>39312</v>
      </c>
      <c r="C778" s="221" t="s">
        <v>398</v>
      </c>
      <c r="D778" s="101">
        <v>6155</v>
      </c>
      <c r="E778" s="221" t="s">
        <v>210</v>
      </c>
      <c r="F778" s="221">
        <v>2007</v>
      </c>
    </row>
    <row r="779" spans="2:6">
      <c r="B779" s="254">
        <v>39316</v>
      </c>
      <c r="C779" s="221" t="s">
        <v>398</v>
      </c>
      <c r="D779" s="101">
        <v>9851</v>
      </c>
      <c r="E779" s="221" t="s">
        <v>212</v>
      </c>
      <c r="F779" s="221">
        <v>2007</v>
      </c>
    </row>
    <row r="780" spans="2:6">
      <c r="B780" s="254">
        <v>39018</v>
      </c>
      <c r="C780" s="221" t="s">
        <v>395</v>
      </c>
      <c r="D780" s="101">
        <v>38053</v>
      </c>
      <c r="E780" s="221" t="s">
        <v>212</v>
      </c>
      <c r="F780" s="221">
        <v>2006</v>
      </c>
    </row>
    <row r="781" spans="2:6">
      <c r="B781" s="254">
        <v>39246</v>
      </c>
      <c r="C781" s="221" t="s">
        <v>395</v>
      </c>
      <c r="D781" s="101">
        <v>35236</v>
      </c>
      <c r="E781" s="221" t="s">
        <v>210</v>
      </c>
      <c r="F781" s="221">
        <v>2007</v>
      </c>
    </row>
    <row r="782" spans="2:6">
      <c r="B782" s="254">
        <v>39133</v>
      </c>
      <c r="C782" s="221" t="s">
        <v>398</v>
      </c>
      <c r="D782" s="101">
        <v>6145</v>
      </c>
      <c r="E782" s="221" t="s">
        <v>210</v>
      </c>
      <c r="F782" s="221">
        <v>2007</v>
      </c>
    </row>
    <row r="783" spans="2:6">
      <c r="B783" s="254">
        <v>38826</v>
      </c>
      <c r="C783" s="221" t="s">
        <v>394</v>
      </c>
      <c r="D783" s="101">
        <v>30917</v>
      </c>
      <c r="E783" s="221" t="s">
        <v>212</v>
      </c>
      <c r="F783" s="221">
        <v>2006</v>
      </c>
    </row>
    <row r="784" spans="2:6">
      <c r="B784" s="254">
        <v>39382</v>
      </c>
      <c r="C784" s="221" t="s">
        <v>394</v>
      </c>
      <c r="D784" s="101">
        <v>5941</v>
      </c>
      <c r="E784" s="221" t="s">
        <v>211</v>
      </c>
      <c r="F784" s="221">
        <v>2007</v>
      </c>
    </row>
    <row r="785" spans="2:6">
      <c r="B785" s="254">
        <v>38738</v>
      </c>
      <c r="C785" s="221" t="s">
        <v>398</v>
      </c>
      <c r="D785" s="101">
        <v>13065</v>
      </c>
      <c r="E785" s="221" t="s">
        <v>213</v>
      </c>
      <c r="F785" s="221">
        <v>2006</v>
      </c>
    </row>
    <row r="786" spans="2:6">
      <c r="B786" s="254">
        <v>39481</v>
      </c>
      <c r="C786" s="221" t="s">
        <v>398</v>
      </c>
      <c r="D786" s="101">
        <v>15493</v>
      </c>
      <c r="E786" s="221" t="s">
        <v>212</v>
      </c>
      <c r="F786" s="221">
        <v>2008</v>
      </c>
    </row>
    <row r="787" spans="2:6">
      <c r="B787" s="254">
        <v>38797</v>
      </c>
      <c r="C787" s="221" t="s">
        <v>394</v>
      </c>
      <c r="D787" s="101">
        <v>19150</v>
      </c>
      <c r="E787" s="221" t="s">
        <v>211</v>
      </c>
      <c r="F787" s="221">
        <v>2006</v>
      </c>
    </row>
    <row r="788" spans="2:6">
      <c r="B788" s="254">
        <v>39145</v>
      </c>
      <c r="C788" s="221" t="s">
        <v>395</v>
      </c>
      <c r="D788" s="101">
        <v>19989</v>
      </c>
      <c r="E788" s="221" t="s">
        <v>212</v>
      </c>
      <c r="F788" s="221">
        <v>2007</v>
      </c>
    </row>
    <row r="789" spans="2:6">
      <c r="B789" s="254">
        <v>38873</v>
      </c>
      <c r="C789" s="221" t="s">
        <v>395</v>
      </c>
      <c r="D789" s="101">
        <v>22272</v>
      </c>
      <c r="E789" s="221" t="s">
        <v>211</v>
      </c>
      <c r="F789" s="221">
        <v>2006</v>
      </c>
    </row>
    <row r="790" spans="2:6">
      <c r="B790" s="254">
        <v>39088</v>
      </c>
      <c r="C790" s="221" t="s">
        <v>398</v>
      </c>
      <c r="D790" s="101">
        <v>24615</v>
      </c>
      <c r="E790" s="221" t="s">
        <v>213</v>
      </c>
      <c r="F790" s="221">
        <v>2007</v>
      </c>
    </row>
    <row r="791" spans="2:6">
      <c r="B791" s="254">
        <v>38944</v>
      </c>
      <c r="C791" s="221" t="s">
        <v>398</v>
      </c>
      <c r="D791" s="101">
        <v>39302</v>
      </c>
      <c r="E791" s="221" t="s">
        <v>210</v>
      </c>
      <c r="F791" s="221">
        <v>2006</v>
      </c>
    </row>
    <row r="792" spans="2:6">
      <c r="B792" s="254">
        <v>39315</v>
      </c>
      <c r="C792" s="221" t="s">
        <v>395</v>
      </c>
      <c r="D792" s="101">
        <v>28120</v>
      </c>
      <c r="E792" s="221" t="s">
        <v>212</v>
      </c>
      <c r="F792" s="221">
        <v>2007</v>
      </c>
    </row>
    <row r="793" spans="2:6">
      <c r="B793" s="254">
        <v>39601</v>
      </c>
      <c r="C793" s="221" t="s">
        <v>395</v>
      </c>
      <c r="D793" s="101">
        <v>8844</v>
      </c>
      <c r="E793" s="221" t="s">
        <v>210</v>
      </c>
      <c r="F793" s="221">
        <v>2008</v>
      </c>
    </row>
    <row r="794" spans="2:6">
      <c r="B794" s="254">
        <v>38903</v>
      </c>
      <c r="C794" s="221" t="s">
        <v>395</v>
      </c>
      <c r="D794" s="101">
        <v>26625</v>
      </c>
      <c r="E794" s="221" t="s">
        <v>211</v>
      </c>
      <c r="F794" s="221">
        <v>2006</v>
      </c>
    </row>
    <row r="795" spans="2:6">
      <c r="B795" s="254">
        <v>39106</v>
      </c>
      <c r="C795" s="221" t="s">
        <v>395</v>
      </c>
      <c r="D795" s="101">
        <v>24489</v>
      </c>
      <c r="E795" s="221" t="s">
        <v>213</v>
      </c>
      <c r="F795" s="221">
        <v>2007</v>
      </c>
    </row>
    <row r="796" spans="2:6">
      <c r="B796" s="254">
        <v>38792</v>
      </c>
      <c r="C796" s="221" t="s">
        <v>395</v>
      </c>
      <c r="D796" s="101">
        <v>6668</v>
      </c>
      <c r="E796" s="221" t="s">
        <v>211</v>
      </c>
      <c r="F796" s="221">
        <v>2006</v>
      </c>
    </row>
    <row r="797" spans="2:6">
      <c r="B797" s="254">
        <v>39088</v>
      </c>
      <c r="C797" s="221" t="s">
        <v>395</v>
      </c>
      <c r="D797" s="101">
        <v>33624</v>
      </c>
      <c r="E797" s="221" t="s">
        <v>212</v>
      </c>
      <c r="F797" s="221">
        <v>2007</v>
      </c>
    </row>
    <row r="798" spans="2:6">
      <c r="B798" s="254">
        <v>39339</v>
      </c>
      <c r="C798" s="221" t="s">
        <v>398</v>
      </c>
      <c r="D798" s="101">
        <v>8324</v>
      </c>
      <c r="E798" s="221" t="s">
        <v>213</v>
      </c>
      <c r="F798" s="221">
        <v>2007</v>
      </c>
    </row>
    <row r="799" spans="2:6">
      <c r="B799" s="254">
        <v>39489</v>
      </c>
      <c r="C799" s="221" t="s">
        <v>395</v>
      </c>
      <c r="D799" s="101">
        <v>22057</v>
      </c>
      <c r="E799" s="221" t="s">
        <v>212</v>
      </c>
      <c r="F799" s="221">
        <v>2008</v>
      </c>
    </row>
    <row r="800" spans="2:6">
      <c r="B800" s="254">
        <v>39075</v>
      </c>
      <c r="C800" s="221" t="s">
        <v>396</v>
      </c>
      <c r="D800" s="101">
        <v>12209</v>
      </c>
      <c r="E800" s="221" t="s">
        <v>213</v>
      </c>
      <c r="F800" s="221">
        <v>2006</v>
      </c>
    </row>
    <row r="801" spans="2:6">
      <c r="B801" s="254">
        <v>38898</v>
      </c>
      <c r="C801" s="221" t="s">
        <v>396</v>
      </c>
      <c r="D801" s="101">
        <v>11407</v>
      </c>
      <c r="E801" s="221" t="s">
        <v>213</v>
      </c>
      <c r="F801" s="221">
        <v>2006</v>
      </c>
    </row>
    <row r="802" spans="2:6">
      <c r="B802" s="254">
        <v>39446</v>
      </c>
      <c r="C802" s="221" t="s">
        <v>398</v>
      </c>
      <c r="D802" s="101">
        <v>15788</v>
      </c>
      <c r="E802" s="221" t="s">
        <v>212</v>
      </c>
      <c r="F802" s="221">
        <v>2007</v>
      </c>
    </row>
    <row r="803" spans="2:6">
      <c r="B803" s="254">
        <v>38780</v>
      </c>
      <c r="C803" s="221" t="s">
        <v>396</v>
      </c>
      <c r="D803" s="101">
        <v>15979</v>
      </c>
      <c r="E803" s="221" t="s">
        <v>213</v>
      </c>
      <c r="F803" s="221">
        <v>2006</v>
      </c>
    </row>
    <row r="804" spans="2:6">
      <c r="B804" s="254">
        <v>39364</v>
      </c>
      <c r="C804" s="221" t="s">
        <v>394</v>
      </c>
      <c r="D804" s="101">
        <v>7099</v>
      </c>
      <c r="E804" s="221" t="s">
        <v>213</v>
      </c>
      <c r="F804" s="221">
        <v>2007</v>
      </c>
    </row>
    <row r="805" spans="2:6">
      <c r="B805" s="254">
        <v>39572</v>
      </c>
      <c r="C805" s="221" t="s">
        <v>394</v>
      </c>
      <c r="D805" s="101">
        <v>24829</v>
      </c>
      <c r="E805" s="221" t="s">
        <v>212</v>
      </c>
      <c r="F805" s="221">
        <v>2008</v>
      </c>
    </row>
    <row r="806" spans="2:6">
      <c r="B806" s="254">
        <v>38779</v>
      </c>
      <c r="C806" s="221" t="s">
        <v>398</v>
      </c>
      <c r="D806" s="101">
        <v>11710</v>
      </c>
      <c r="E806" s="221" t="s">
        <v>210</v>
      </c>
      <c r="F806" s="221">
        <v>2006</v>
      </c>
    </row>
    <row r="807" spans="2:6">
      <c r="B807" s="254">
        <v>39605</v>
      </c>
      <c r="C807" s="221" t="s">
        <v>396</v>
      </c>
      <c r="D807" s="101">
        <v>38413</v>
      </c>
      <c r="E807" s="221" t="s">
        <v>210</v>
      </c>
      <c r="F807" s="221">
        <v>2008</v>
      </c>
    </row>
    <row r="808" spans="2:6">
      <c r="B808" s="254">
        <v>39602</v>
      </c>
      <c r="C808" s="221" t="s">
        <v>396</v>
      </c>
      <c r="D808" s="101">
        <v>7730</v>
      </c>
      <c r="E808" s="221" t="s">
        <v>212</v>
      </c>
      <c r="F808" s="221">
        <v>2008</v>
      </c>
    </row>
    <row r="809" spans="2:6">
      <c r="B809" s="254">
        <v>39000</v>
      </c>
      <c r="C809" s="221" t="s">
        <v>395</v>
      </c>
      <c r="D809" s="101">
        <v>39226</v>
      </c>
      <c r="E809" s="221" t="s">
        <v>212</v>
      </c>
      <c r="F809" s="221">
        <v>2006</v>
      </c>
    </row>
    <row r="810" spans="2:6">
      <c r="B810" s="254">
        <v>38796</v>
      </c>
      <c r="C810" s="221" t="s">
        <v>396</v>
      </c>
      <c r="D810" s="101">
        <v>29512</v>
      </c>
      <c r="E810" s="221" t="s">
        <v>211</v>
      </c>
      <c r="F810" s="221">
        <v>2006</v>
      </c>
    </row>
    <row r="811" spans="2:6">
      <c r="B811" s="254">
        <v>39377</v>
      </c>
      <c r="C811" s="221" t="s">
        <v>398</v>
      </c>
      <c r="D811" s="101">
        <v>19847</v>
      </c>
      <c r="E811" s="221" t="s">
        <v>210</v>
      </c>
      <c r="F811" s="221">
        <v>2007</v>
      </c>
    </row>
    <row r="812" spans="2:6">
      <c r="B812" s="254">
        <v>39041</v>
      </c>
      <c r="C812" s="221" t="s">
        <v>395</v>
      </c>
      <c r="D812" s="101">
        <v>29490</v>
      </c>
      <c r="E812" s="221" t="s">
        <v>211</v>
      </c>
      <c r="F812" s="221">
        <v>2006</v>
      </c>
    </row>
    <row r="813" spans="2:6">
      <c r="B813" s="254">
        <v>39217</v>
      </c>
      <c r="C813" s="221" t="s">
        <v>398</v>
      </c>
      <c r="D813" s="101">
        <v>10853</v>
      </c>
      <c r="E813" s="221" t="s">
        <v>210</v>
      </c>
      <c r="F813" s="221">
        <v>2007</v>
      </c>
    </row>
    <row r="814" spans="2:6">
      <c r="B814" s="254">
        <v>38993</v>
      </c>
      <c r="C814" s="221" t="s">
        <v>394</v>
      </c>
      <c r="D814" s="101">
        <v>26692</v>
      </c>
      <c r="E814" s="221" t="s">
        <v>211</v>
      </c>
      <c r="F814" s="221">
        <v>2006</v>
      </c>
    </row>
    <row r="815" spans="2:6">
      <c r="B815" s="254">
        <v>39003</v>
      </c>
      <c r="C815" s="221" t="s">
        <v>394</v>
      </c>
      <c r="D815" s="101">
        <v>28147</v>
      </c>
      <c r="E815" s="221" t="s">
        <v>211</v>
      </c>
      <c r="F815" s="221">
        <v>2006</v>
      </c>
    </row>
    <row r="816" spans="2:6">
      <c r="B816" s="254">
        <v>38856</v>
      </c>
      <c r="C816" s="221" t="s">
        <v>396</v>
      </c>
      <c r="D816" s="101">
        <v>9806</v>
      </c>
      <c r="E816" s="221" t="s">
        <v>213</v>
      </c>
      <c r="F816" s="221">
        <v>2006</v>
      </c>
    </row>
    <row r="817" spans="2:6">
      <c r="B817" s="254">
        <v>39292</v>
      </c>
      <c r="C817" s="221" t="s">
        <v>396</v>
      </c>
      <c r="D817" s="101">
        <v>25424</v>
      </c>
      <c r="E817" s="221" t="s">
        <v>212</v>
      </c>
      <c r="F817" s="221">
        <v>2007</v>
      </c>
    </row>
    <row r="818" spans="2:6">
      <c r="B818" s="254">
        <v>38858</v>
      </c>
      <c r="C818" s="221" t="s">
        <v>395</v>
      </c>
      <c r="D818" s="101">
        <v>36261</v>
      </c>
      <c r="E818" s="221" t="s">
        <v>210</v>
      </c>
      <c r="F818" s="221">
        <v>2006</v>
      </c>
    </row>
    <row r="819" spans="2:6">
      <c r="B819" s="254">
        <v>39487</v>
      </c>
      <c r="C819" s="221" t="s">
        <v>398</v>
      </c>
      <c r="D819" s="101">
        <v>36921</v>
      </c>
      <c r="E819" s="221" t="s">
        <v>211</v>
      </c>
      <c r="F819" s="221">
        <v>2008</v>
      </c>
    </row>
    <row r="820" spans="2:6">
      <c r="B820" s="254">
        <v>39302</v>
      </c>
      <c r="C820" s="221" t="s">
        <v>395</v>
      </c>
      <c r="D820" s="101">
        <v>15242</v>
      </c>
      <c r="E820" s="221" t="s">
        <v>212</v>
      </c>
      <c r="F820" s="221">
        <v>2007</v>
      </c>
    </row>
    <row r="821" spans="2:6">
      <c r="B821" s="254">
        <v>38856</v>
      </c>
      <c r="C821" s="221" t="s">
        <v>396</v>
      </c>
      <c r="D821" s="101">
        <v>34592</v>
      </c>
      <c r="E821" s="221" t="s">
        <v>212</v>
      </c>
      <c r="F821" s="221">
        <v>2006</v>
      </c>
    </row>
    <row r="822" spans="2:6">
      <c r="B822" s="254">
        <v>39572</v>
      </c>
      <c r="C822" s="221" t="s">
        <v>394</v>
      </c>
      <c r="D822" s="101">
        <v>9142</v>
      </c>
      <c r="E822" s="221" t="s">
        <v>213</v>
      </c>
      <c r="F822" s="221">
        <v>2008</v>
      </c>
    </row>
    <row r="823" spans="2:6">
      <c r="B823" s="254">
        <v>39493</v>
      </c>
      <c r="C823" s="221" t="s">
        <v>394</v>
      </c>
      <c r="D823" s="101">
        <v>29005</v>
      </c>
      <c r="E823" s="221" t="s">
        <v>213</v>
      </c>
      <c r="F823" s="221">
        <v>2008</v>
      </c>
    </row>
    <row r="824" spans="2:6">
      <c r="B824" s="254">
        <v>39544</v>
      </c>
      <c r="C824" s="221" t="s">
        <v>395</v>
      </c>
      <c r="D824" s="101">
        <v>38679</v>
      </c>
      <c r="E824" s="221" t="s">
        <v>210</v>
      </c>
      <c r="F824" s="221">
        <v>2008</v>
      </c>
    </row>
    <row r="825" spans="2:6">
      <c r="B825" s="254">
        <v>39582</v>
      </c>
      <c r="C825" s="221" t="s">
        <v>398</v>
      </c>
      <c r="D825" s="101">
        <v>20559</v>
      </c>
      <c r="E825" s="221" t="s">
        <v>213</v>
      </c>
      <c r="F825" s="221">
        <v>2008</v>
      </c>
    </row>
    <row r="826" spans="2:6">
      <c r="B826" s="254">
        <v>39071</v>
      </c>
      <c r="C826" s="221" t="s">
        <v>394</v>
      </c>
      <c r="D826" s="101">
        <v>13903</v>
      </c>
      <c r="E826" s="221" t="s">
        <v>210</v>
      </c>
      <c r="F826" s="221">
        <v>2006</v>
      </c>
    </row>
    <row r="827" spans="2:6">
      <c r="B827" s="254">
        <v>39499</v>
      </c>
      <c r="C827" s="221" t="s">
        <v>398</v>
      </c>
      <c r="D827" s="101">
        <v>20023</v>
      </c>
      <c r="E827" s="221" t="s">
        <v>210</v>
      </c>
      <c r="F827" s="221">
        <v>2008</v>
      </c>
    </row>
    <row r="828" spans="2:6">
      <c r="B828" s="254">
        <v>39037</v>
      </c>
      <c r="C828" s="221" t="s">
        <v>398</v>
      </c>
      <c r="D828" s="101">
        <v>35730</v>
      </c>
      <c r="E828" s="221" t="s">
        <v>210</v>
      </c>
      <c r="F828" s="221">
        <v>2006</v>
      </c>
    </row>
    <row r="829" spans="2:6">
      <c r="B829" s="254">
        <v>38855</v>
      </c>
      <c r="C829" s="221" t="s">
        <v>398</v>
      </c>
      <c r="D829" s="101">
        <v>13230</v>
      </c>
      <c r="E829" s="221" t="s">
        <v>211</v>
      </c>
      <c r="F829" s="221">
        <v>2006</v>
      </c>
    </row>
    <row r="830" spans="2:6">
      <c r="B830" s="254">
        <v>39424</v>
      </c>
      <c r="C830" s="221" t="s">
        <v>395</v>
      </c>
      <c r="D830" s="101">
        <v>25871</v>
      </c>
      <c r="E830" s="221" t="s">
        <v>212</v>
      </c>
      <c r="F830" s="221">
        <v>2007</v>
      </c>
    </row>
    <row r="831" spans="2:6">
      <c r="B831" s="254">
        <v>39093</v>
      </c>
      <c r="C831" s="221" t="s">
        <v>395</v>
      </c>
      <c r="D831" s="101">
        <v>24415</v>
      </c>
      <c r="E831" s="221" t="s">
        <v>210</v>
      </c>
      <c r="F831" s="221">
        <v>2007</v>
      </c>
    </row>
    <row r="832" spans="2:6">
      <c r="B832" s="254">
        <v>39246</v>
      </c>
      <c r="C832" s="221" t="s">
        <v>396</v>
      </c>
      <c r="D832" s="101">
        <v>31159</v>
      </c>
      <c r="E832" s="221" t="s">
        <v>211</v>
      </c>
      <c r="F832" s="221">
        <v>2007</v>
      </c>
    </row>
    <row r="833" spans="2:6">
      <c r="B833" s="254">
        <v>39236</v>
      </c>
      <c r="C833" s="221" t="s">
        <v>396</v>
      </c>
      <c r="D833" s="101">
        <v>38730</v>
      </c>
      <c r="E833" s="221" t="s">
        <v>210</v>
      </c>
      <c r="F833" s="221">
        <v>2007</v>
      </c>
    </row>
    <row r="834" spans="2:6">
      <c r="B834" s="254">
        <v>39074</v>
      </c>
      <c r="C834" s="221" t="s">
        <v>396</v>
      </c>
      <c r="D834" s="101">
        <v>10454</v>
      </c>
      <c r="E834" s="221" t="s">
        <v>211</v>
      </c>
      <c r="F834" s="221">
        <v>2006</v>
      </c>
    </row>
    <row r="835" spans="2:6">
      <c r="B835" s="254">
        <v>39036</v>
      </c>
      <c r="C835" s="221" t="s">
        <v>395</v>
      </c>
      <c r="D835" s="101">
        <v>6472</v>
      </c>
      <c r="E835" s="221" t="s">
        <v>213</v>
      </c>
      <c r="F835" s="221">
        <v>2006</v>
      </c>
    </row>
    <row r="836" spans="2:6">
      <c r="B836" s="254">
        <v>39459</v>
      </c>
      <c r="C836" s="221" t="s">
        <v>395</v>
      </c>
      <c r="D836" s="101">
        <v>11451</v>
      </c>
      <c r="E836" s="221" t="s">
        <v>212</v>
      </c>
      <c r="F836" s="221">
        <v>2008</v>
      </c>
    </row>
    <row r="837" spans="2:6">
      <c r="B837" s="254">
        <v>39521</v>
      </c>
      <c r="C837" s="221" t="s">
        <v>398</v>
      </c>
      <c r="D837" s="101">
        <v>9069</v>
      </c>
      <c r="E837" s="221" t="s">
        <v>213</v>
      </c>
      <c r="F837" s="221">
        <v>2008</v>
      </c>
    </row>
    <row r="838" spans="2:6">
      <c r="B838" s="254">
        <v>39005</v>
      </c>
      <c r="C838" s="221" t="s">
        <v>398</v>
      </c>
      <c r="D838" s="101">
        <v>24764</v>
      </c>
      <c r="E838" s="221" t="s">
        <v>212</v>
      </c>
      <c r="F838" s="221">
        <v>2006</v>
      </c>
    </row>
    <row r="839" spans="2:6">
      <c r="B839" s="254">
        <v>38966</v>
      </c>
      <c r="C839" s="221" t="s">
        <v>394</v>
      </c>
      <c r="D839" s="101">
        <v>28032</v>
      </c>
      <c r="E839" s="221" t="s">
        <v>210</v>
      </c>
      <c r="F839" s="221">
        <v>2006</v>
      </c>
    </row>
    <row r="840" spans="2:6">
      <c r="B840" s="254">
        <v>38757</v>
      </c>
      <c r="C840" s="221" t="s">
        <v>395</v>
      </c>
      <c r="D840" s="101">
        <v>32871</v>
      </c>
      <c r="E840" s="221" t="s">
        <v>211</v>
      </c>
      <c r="F840" s="221">
        <v>2006</v>
      </c>
    </row>
    <row r="841" spans="2:6">
      <c r="B841" s="254">
        <v>39012</v>
      </c>
      <c r="C841" s="221" t="s">
        <v>398</v>
      </c>
      <c r="D841" s="101">
        <v>31942</v>
      </c>
      <c r="E841" s="221" t="s">
        <v>210</v>
      </c>
      <c r="F841" s="221">
        <v>2006</v>
      </c>
    </row>
    <row r="842" spans="2:6">
      <c r="B842" s="254">
        <v>38779</v>
      </c>
      <c r="C842" s="221" t="s">
        <v>394</v>
      </c>
      <c r="D842" s="101">
        <v>20840</v>
      </c>
      <c r="E842" s="221" t="s">
        <v>213</v>
      </c>
      <c r="F842" s="221">
        <v>2006</v>
      </c>
    </row>
    <row r="843" spans="2:6">
      <c r="B843" s="254">
        <v>38887</v>
      </c>
      <c r="C843" s="221" t="s">
        <v>394</v>
      </c>
      <c r="D843" s="101">
        <v>35711</v>
      </c>
      <c r="E843" s="221" t="s">
        <v>211</v>
      </c>
      <c r="F843" s="221">
        <v>2006</v>
      </c>
    </row>
    <row r="844" spans="2:6">
      <c r="B844" s="254">
        <v>39231</v>
      </c>
      <c r="C844" s="221" t="s">
        <v>396</v>
      </c>
      <c r="D844" s="101">
        <v>19940</v>
      </c>
      <c r="E844" s="221" t="s">
        <v>210</v>
      </c>
      <c r="F844" s="221">
        <v>2007</v>
      </c>
    </row>
    <row r="845" spans="2:6">
      <c r="B845" s="254">
        <v>38732</v>
      </c>
      <c r="C845" s="221" t="s">
        <v>396</v>
      </c>
      <c r="D845" s="101">
        <v>19680</v>
      </c>
      <c r="E845" s="221" t="s">
        <v>213</v>
      </c>
      <c r="F845" s="221">
        <v>2006</v>
      </c>
    </row>
    <row r="846" spans="2:6">
      <c r="B846" s="254">
        <v>39134</v>
      </c>
      <c r="C846" s="221" t="s">
        <v>396</v>
      </c>
      <c r="D846" s="101">
        <v>18870</v>
      </c>
      <c r="E846" s="221" t="s">
        <v>210</v>
      </c>
      <c r="F846" s="221">
        <v>2007</v>
      </c>
    </row>
    <row r="847" spans="2:6">
      <c r="B847" s="254">
        <v>39176</v>
      </c>
      <c r="C847" s="221" t="s">
        <v>396</v>
      </c>
      <c r="D847" s="101">
        <v>25915</v>
      </c>
      <c r="E847" s="221" t="s">
        <v>213</v>
      </c>
      <c r="F847" s="221">
        <v>2007</v>
      </c>
    </row>
    <row r="848" spans="2:6">
      <c r="B848" s="254">
        <v>38735</v>
      </c>
      <c r="C848" s="221" t="s">
        <v>396</v>
      </c>
      <c r="D848" s="101">
        <v>8835</v>
      </c>
      <c r="E848" s="221" t="s">
        <v>211</v>
      </c>
      <c r="F848" s="221">
        <v>2006</v>
      </c>
    </row>
    <row r="849" spans="2:6">
      <c r="B849" s="254">
        <v>39390</v>
      </c>
      <c r="C849" s="221" t="s">
        <v>395</v>
      </c>
      <c r="D849" s="101">
        <v>13774</v>
      </c>
      <c r="E849" s="221" t="s">
        <v>212</v>
      </c>
      <c r="F849" s="221">
        <v>2007</v>
      </c>
    </row>
    <row r="850" spans="2:6">
      <c r="B850" s="254">
        <v>38897</v>
      </c>
      <c r="C850" s="221" t="s">
        <v>394</v>
      </c>
      <c r="D850" s="101">
        <v>13915</v>
      </c>
      <c r="E850" s="221" t="s">
        <v>212</v>
      </c>
      <c r="F850" s="221">
        <v>2006</v>
      </c>
    </row>
    <row r="851" spans="2:6">
      <c r="B851" s="254">
        <v>38815</v>
      </c>
      <c r="C851" s="221" t="s">
        <v>396</v>
      </c>
      <c r="D851" s="101">
        <v>30002</v>
      </c>
      <c r="E851" s="221" t="s">
        <v>211</v>
      </c>
      <c r="F851" s="221">
        <v>2006</v>
      </c>
    </row>
    <row r="852" spans="2:6">
      <c r="B852" s="254">
        <v>38930</v>
      </c>
      <c r="C852" s="221" t="s">
        <v>398</v>
      </c>
      <c r="D852" s="101">
        <v>33394</v>
      </c>
      <c r="E852" s="221" t="s">
        <v>213</v>
      </c>
      <c r="F852" s="221">
        <v>2006</v>
      </c>
    </row>
    <row r="853" spans="2:6">
      <c r="B853" s="254">
        <v>38981</v>
      </c>
      <c r="C853" s="221" t="s">
        <v>394</v>
      </c>
      <c r="D853" s="101">
        <v>37025</v>
      </c>
      <c r="E853" s="221" t="s">
        <v>211</v>
      </c>
      <c r="F853" s="221">
        <v>2006</v>
      </c>
    </row>
    <row r="854" spans="2:6">
      <c r="B854" s="254">
        <v>39028</v>
      </c>
      <c r="C854" s="221" t="s">
        <v>394</v>
      </c>
      <c r="D854" s="101">
        <v>19836</v>
      </c>
      <c r="E854" s="221" t="s">
        <v>212</v>
      </c>
      <c r="F854" s="221">
        <v>2006</v>
      </c>
    </row>
    <row r="855" spans="2:6">
      <c r="B855" s="254">
        <v>38873</v>
      </c>
      <c r="C855" s="221" t="s">
        <v>394</v>
      </c>
      <c r="D855" s="101">
        <v>7188</v>
      </c>
      <c r="E855" s="221" t="s">
        <v>211</v>
      </c>
      <c r="F855" s="221">
        <v>2006</v>
      </c>
    </row>
    <row r="856" spans="2:6">
      <c r="B856" s="254">
        <v>38922</v>
      </c>
      <c r="C856" s="221" t="s">
        <v>394</v>
      </c>
      <c r="D856" s="101">
        <v>36459</v>
      </c>
      <c r="E856" s="221" t="s">
        <v>210</v>
      </c>
      <c r="F856" s="221">
        <v>2006</v>
      </c>
    </row>
    <row r="857" spans="2:6">
      <c r="B857" s="254">
        <v>39328</v>
      </c>
      <c r="C857" s="221" t="s">
        <v>398</v>
      </c>
      <c r="D857" s="101">
        <v>9165</v>
      </c>
      <c r="E857" s="221" t="s">
        <v>210</v>
      </c>
      <c r="F857" s="221">
        <v>2007</v>
      </c>
    </row>
    <row r="858" spans="2:6">
      <c r="B858" s="254">
        <v>38873</v>
      </c>
      <c r="C858" s="221" t="s">
        <v>394</v>
      </c>
      <c r="D858" s="101">
        <v>33811</v>
      </c>
      <c r="E858" s="221" t="s">
        <v>211</v>
      </c>
      <c r="F858" s="221">
        <v>2006</v>
      </c>
    </row>
    <row r="859" spans="2:6">
      <c r="B859" s="254">
        <v>39212</v>
      </c>
      <c r="C859" s="221" t="s">
        <v>394</v>
      </c>
      <c r="D859" s="101">
        <v>24829</v>
      </c>
      <c r="E859" s="221" t="s">
        <v>211</v>
      </c>
      <c r="F859" s="221">
        <v>2007</v>
      </c>
    </row>
    <row r="860" spans="2:6">
      <c r="B860" s="254">
        <v>39462</v>
      </c>
      <c r="C860" s="221" t="s">
        <v>398</v>
      </c>
      <c r="D860" s="101">
        <v>23191</v>
      </c>
      <c r="E860" s="221" t="s">
        <v>210</v>
      </c>
      <c r="F860" s="221">
        <v>2008</v>
      </c>
    </row>
    <row r="861" spans="2:6">
      <c r="B861" s="254">
        <v>39380</v>
      </c>
      <c r="C861" s="221" t="s">
        <v>395</v>
      </c>
      <c r="D861" s="101">
        <v>15593</v>
      </c>
      <c r="E861" s="221" t="s">
        <v>210</v>
      </c>
      <c r="F861" s="221">
        <v>2007</v>
      </c>
    </row>
    <row r="862" spans="2:6">
      <c r="B862" s="254">
        <v>38757</v>
      </c>
      <c r="C862" s="221" t="s">
        <v>398</v>
      </c>
      <c r="D862" s="101">
        <v>27336</v>
      </c>
      <c r="E862" s="221" t="s">
        <v>211</v>
      </c>
      <c r="F862" s="221">
        <v>2006</v>
      </c>
    </row>
    <row r="863" spans="2:6">
      <c r="B863" s="254">
        <v>39546</v>
      </c>
      <c r="C863" s="221" t="s">
        <v>398</v>
      </c>
      <c r="D863" s="101">
        <v>22907</v>
      </c>
      <c r="E863" s="221" t="s">
        <v>210</v>
      </c>
      <c r="F863" s="221">
        <v>2008</v>
      </c>
    </row>
    <row r="864" spans="2:6">
      <c r="B864" s="254">
        <v>39372</v>
      </c>
      <c r="C864" s="221" t="s">
        <v>396</v>
      </c>
      <c r="D864" s="101">
        <v>36329</v>
      </c>
      <c r="E864" s="221" t="s">
        <v>211</v>
      </c>
      <c r="F864" s="221">
        <v>2007</v>
      </c>
    </row>
    <row r="865" spans="2:6">
      <c r="B865" s="254">
        <v>39576</v>
      </c>
      <c r="C865" s="221" t="s">
        <v>396</v>
      </c>
      <c r="D865" s="101">
        <v>6470</v>
      </c>
      <c r="E865" s="221" t="s">
        <v>212</v>
      </c>
      <c r="F865" s="221">
        <v>2008</v>
      </c>
    </row>
    <row r="866" spans="2:6">
      <c r="B866" s="254">
        <v>38921</v>
      </c>
      <c r="C866" s="221" t="s">
        <v>394</v>
      </c>
      <c r="D866" s="101">
        <v>30886</v>
      </c>
      <c r="E866" s="221" t="s">
        <v>211</v>
      </c>
      <c r="F866" s="221">
        <v>2006</v>
      </c>
    </row>
    <row r="867" spans="2:6">
      <c r="B867" s="254">
        <v>38931</v>
      </c>
      <c r="C867" s="221" t="s">
        <v>396</v>
      </c>
      <c r="D867" s="101">
        <v>31396</v>
      </c>
      <c r="E867" s="221" t="s">
        <v>211</v>
      </c>
      <c r="F867" s="221">
        <v>2006</v>
      </c>
    </row>
    <row r="868" spans="2:6">
      <c r="B868" s="254">
        <v>39057</v>
      </c>
      <c r="C868" s="221" t="s">
        <v>396</v>
      </c>
      <c r="D868" s="101">
        <v>29373</v>
      </c>
      <c r="E868" s="221" t="s">
        <v>213</v>
      </c>
      <c r="F868" s="221">
        <v>2006</v>
      </c>
    </row>
    <row r="869" spans="2:6">
      <c r="B869" s="254">
        <v>38855</v>
      </c>
      <c r="C869" s="221" t="s">
        <v>395</v>
      </c>
      <c r="D869" s="101">
        <v>36922</v>
      </c>
      <c r="E869" s="221" t="s">
        <v>210</v>
      </c>
      <c r="F869" s="221">
        <v>2006</v>
      </c>
    </row>
    <row r="870" spans="2:6">
      <c r="B870" s="254">
        <v>39277</v>
      </c>
      <c r="C870" s="221" t="s">
        <v>398</v>
      </c>
      <c r="D870" s="101">
        <v>26809</v>
      </c>
      <c r="E870" s="221" t="s">
        <v>212</v>
      </c>
      <c r="F870" s="221">
        <v>2007</v>
      </c>
    </row>
    <row r="871" spans="2:6">
      <c r="B871" s="254">
        <v>38854</v>
      </c>
      <c r="C871" s="221" t="s">
        <v>396</v>
      </c>
      <c r="D871" s="101">
        <v>28600</v>
      </c>
      <c r="E871" s="221" t="s">
        <v>211</v>
      </c>
      <c r="F871" s="221">
        <v>2006</v>
      </c>
    </row>
    <row r="872" spans="2:6">
      <c r="B872" s="254">
        <v>38723</v>
      </c>
      <c r="C872" s="221" t="s">
        <v>394</v>
      </c>
      <c r="D872" s="101">
        <v>14679</v>
      </c>
      <c r="E872" s="221" t="s">
        <v>210</v>
      </c>
      <c r="F872" s="221">
        <v>2006</v>
      </c>
    </row>
    <row r="873" spans="2:6">
      <c r="B873" s="254">
        <v>39423</v>
      </c>
      <c r="C873" s="221" t="s">
        <v>394</v>
      </c>
      <c r="D873" s="101">
        <v>36408</v>
      </c>
      <c r="E873" s="221" t="s">
        <v>211</v>
      </c>
      <c r="F873" s="221">
        <v>2007</v>
      </c>
    </row>
    <row r="874" spans="2:6">
      <c r="B874" s="254">
        <v>39452</v>
      </c>
      <c r="C874" s="221" t="s">
        <v>398</v>
      </c>
      <c r="D874" s="101">
        <v>34593</v>
      </c>
      <c r="E874" s="221" t="s">
        <v>213</v>
      </c>
      <c r="F874" s="221">
        <v>2008</v>
      </c>
    </row>
    <row r="875" spans="2:6">
      <c r="B875" s="254">
        <v>39066</v>
      </c>
      <c r="C875" s="221" t="s">
        <v>394</v>
      </c>
      <c r="D875" s="101">
        <v>34710</v>
      </c>
      <c r="E875" s="221" t="s">
        <v>213</v>
      </c>
      <c r="F875" s="221">
        <v>2006</v>
      </c>
    </row>
    <row r="876" spans="2:6">
      <c r="B876" s="254">
        <v>38835</v>
      </c>
      <c r="C876" s="221" t="s">
        <v>394</v>
      </c>
      <c r="D876" s="101">
        <v>18652</v>
      </c>
      <c r="E876" s="221" t="s">
        <v>211</v>
      </c>
      <c r="F876" s="221">
        <v>2006</v>
      </c>
    </row>
    <row r="877" spans="2:6">
      <c r="B877" s="254">
        <v>39158</v>
      </c>
      <c r="C877" s="221" t="s">
        <v>394</v>
      </c>
      <c r="D877" s="101">
        <v>16063</v>
      </c>
      <c r="E877" s="221" t="s">
        <v>211</v>
      </c>
      <c r="F877" s="221">
        <v>2007</v>
      </c>
    </row>
    <row r="878" spans="2:6">
      <c r="B878" s="254">
        <v>38898</v>
      </c>
      <c r="C878" s="221" t="s">
        <v>396</v>
      </c>
      <c r="D878" s="101">
        <v>11765</v>
      </c>
      <c r="E878" s="221" t="s">
        <v>211</v>
      </c>
      <c r="F878" s="221">
        <v>2006</v>
      </c>
    </row>
    <row r="879" spans="2:6">
      <c r="B879" s="254">
        <v>38753</v>
      </c>
      <c r="C879" s="221" t="s">
        <v>396</v>
      </c>
      <c r="D879" s="101">
        <v>14233</v>
      </c>
      <c r="E879" s="221" t="s">
        <v>212</v>
      </c>
      <c r="F879" s="221">
        <v>2006</v>
      </c>
    </row>
    <row r="880" spans="2:6">
      <c r="B880" s="254">
        <v>39482</v>
      </c>
      <c r="C880" s="221" t="s">
        <v>398</v>
      </c>
      <c r="D880" s="101">
        <v>20629</v>
      </c>
      <c r="E880" s="221" t="s">
        <v>213</v>
      </c>
      <c r="F880" s="221">
        <v>2008</v>
      </c>
    </row>
    <row r="881" spans="2:6">
      <c r="B881" s="254">
        <v>39510</v>
      </c>
      <c r="C881" s="221" t="s">
        <v>395</v>
      </c>
      <c r="D881" s="101">
        <v>19947</v>
      </c>
      <c r="E881" s="221" t="s">
        <v>213</v>
      </c>
      <c r="F881" s="221">
        <v>2008</v>
      </c>
    </row>
    <row r="882" spans="2:6">
      <c r="B882" s="254">
        <v>39168</v>
      </c>
      <c r="C882" s="221" t="s">
        <v>395</v>
      </c>
      <c r="D882" s="101">
        <v>18247</v>
      </c>
      <c r="E882" s="221" t="s">
        <v>210</v>
      </c>
      <c r="F882" s="221">
        <v>2007</v>
      </c>
    </row>
    <row r="883" spans="2:6">
      <c r="B883" s="254">
        <v>39276</v>
      </c>
      <c r="C883" s="221" t="s">
        <v>394</v>
      </c>
      <c r="D883" s="101">
        <v>20937</v>
      </c>
      <c r="E883" s="221" t="s">
        <v>210</v>
      </c>
      <c r="F883" s="221">
        <v>2007</v>
      </c>
    </row>
    <row r="884" spans="2:6">
      <c r="B884" s="254">
        <v>39439</v>
      </c>
      <c r="C884" s="221" t="s">
        <v>394</v>
      </c>
      <c r="D884" s="101">
        <v>12592</v>
      </c>
      <c r="E884" s="221" t="s">
        <v>213</v>
      </c>
      <c r="F884" s="221">
        <v>2007</v>
      </c>
    </row>
    <row r="885" spans="2:6">
      <c r="B885" s="254">
        <v>38894</v>
      </c>
      <c r="C885" s="221" t="s">
        <v>394</v>
      </c>
      <c r="D885" s="101">
        <v>32451</v>
      </c>
      <c r="E885" s="221" t="s">
        <v>211</v>
      </c>
      <c r="F885" s="221">
        <v>2006</v>
      </c>
    </row>
    <row r="886" spans="2:6">
      <c r="B886" s="254">
        <v>39191</v>
      </c>
      <c r="C886" s="221" t="s">
        <v>396</v>
      </c>
      <c r="D886" s="101">
        <v>19144</v>
      </c>
      <c r="E886" s="221" t="s">
        <v>213</v>
      </c>
      <c r="F886" s="221">
        <v>2007</v>
      </c>
    </row>
    <row r="887" spans="2:6">
      <c r="B887" s="254">
        <v>38856</v>
      </c>
      <c r="C887" s="221" t="s">
        <v>394</v>
      </c>
      <c r="D887" s="101">
        <v>8058</v>
      </c>
      <c r="E887" s="221" t="s">
        <v>210</v>
      </c>
      <c r="F887" s="221">
        <v>2006</v>
      </c>
    </row>
    <row r="888" spans="2:6">
      <c r="B888" s="254">
        <v>39210</v>
      </c>
      <c r="C888" s="221" t="s">
        <v>396</v>
      </c>
      <c r="D888" s="101">
        <v>24457</v>
      </c>
      <c r="E888" s="221" t="s">
        <v>210</v>
      </c>
      <c r="F888" s="221">
        <v>2007</v>
      </c>
    </row>
    <row r="889" spans="2:6">
      <c r="B889" s="254">
        <v>38825</v>
      </c>
      <c r="C889" s="221" t="s">
        <v>395</v>
      </c>
      <c r="D889" s="101">
        <v>21459</v>
      </c>
      <c r="E889" s="221" t="s">
        <v>210</v>
      </c>
      <c r="F889" s="221">
        <v>2006</v>
      </c>
    </row>
    <row r="890" spans="2:6">
      <c r="B890" s="254">
        <v>38934</v>
      </c>
      <c r="C890" s="221" t="s">
        <v>398</v>
      </c>
      <c r="D890" s="101">
        <v>13902</v>
      </c>
      <c r="E890" s="221" t="s">
        <v>212</v>
      </c>
      <c r="F890" s="221">
        <v>2006</v>
      </c>
    </row>
    <row r="891" spans="2:6">
      <c r="B891" s="254">
        <v>39001</v>
      </c>
      <c r="C891" s="221" t="s">
        <v>396</v>
      </c>
      <c r="D891" s="101">
        <v>11639</v>
      </c>
      <c r="E891" s="221" t="s">
        <v>212</v>
      </c>
      <c r="F891" s="221">
        <v>2006</v>
      </c>
    </row>
    <row r="892" spans="2:6">
      <c r="B892" s="254">
        <v>39468</v>
      </c>
      <c r="C892" s="221" t="s">
        <v>394</v>
      </c>
      <c r="D892" s="101">
        <v>11140</v>
      </c>
      <c r="E892" s="221" t="s">
        <v>211</v>
      </c>
      <c r="F892" s="221">
        <v>2008</v>
      </c>
    </row>
    <row r="893" spans="2:6">
      <c r="B893" s="254">
        <v>38844</v>
      </c>
      <c r="C893" s="221" t="s">
        <v>395</v>
      </c>
      <c r="D893" s="101">
        <v>14556</v>
      </c>
      <c r="E893" s="221" t="s">
        <v>210</v>
      </c>
      <c r="F893" s="221">
        <v>2006</v>
      </c>
    </row>
    <row r="894" spans="2:6">
      <c r="B894" s="254">
        <v>39596</v>
      </c>
      <c r="C894" s="221" t="s">
        <v>398</v>
      </c>
      <c r="D894" s="101">
        <v>17450</v>
      </c>
      <c r="E894" s="221" t="s">
        <v>212</v>
      </c>
      <c r="F894" s="221">
        <v>2008</v>
      </c>
    </row>
    <row r="895" spans="2:6">
      <c r="B895" s="254">
        <v>39217</v>
      </c>
      <c r="C895" s="221" t="s">
        <v>396</v>
      </c>
      <c r="D895" s="101">
        <v>16083</v>
      </c>
      <c r="E895" s="221" t="s">
        <v>211</v>
      </c>
      <c r="F895" s="221">
        <v>2007</v>
      </c>
    </row>
    <row r="896" spans="2:6">
      <c r="B896" s="254">
        <v>39122</v>
      </c>
      <c r="C896" s="221" t="s">
        <v>396</v>
      </c>
      <c r="D896" s="101">
        <v>8993</v>
      </c>
      <c r="E896" s="221" t="s">
        <v>213</v>
      </c>
      <c r="F896" s="221">
        <v>2007</v>
      </c>
    </row>
    <row r="897" spans="2:6">
      <c r="B897" s="254">
        <v>39577</v>
      </c>
      <c r="C897" s="221" t="s">
        <v>394</v>
      </c>
      <c r="D897" s="101">
        <v>16617</v>
      </c>
      <c r="E897" s="221" t="s">
        <v>212</v>
      </c>
      <c r="F897" s="221">
        <v>2008</v>
      </c>
    </row>
    <row r="898" spans="2:6">
      <c r="B898" s="254">
        <v>38973</v>
      </c>
      <c r="C898" s="221" t="s">
        <v>398</v>
      </c>
      <c r="D898" s="101">
        <v>28863</v>
      </c>
      <c r="E898" s="221" t="s">
        <v>212</v>
      </c>
      <c r="F898" s="221">
        <v>2006</v>
      </c>
    </row>
    <row r="899" spans="2:6">
      <c r="B899" s="254">
        <v>39587</v>
      </c>
      <c r="C899" s="221" t="s">
        <v>396</v>
      </c>
      <c r="D899" s="101">
        <v>15242</v>
      </c>
      <c r="E899" s="221" t="s">
        <v>211</v>
      </c>
      <c r="F899" s="221">
        <v>2008</v>
      </c>
    </row>
    <row r="900" spans="2:6">
      <c r="B900" s="254">
        <v>39323</v>
      </c>
      <c r="C900" s="221" t="s">
        <v>395</v>
      </c>
      <c r="D900" s="101">
        <v>24453</v>
      </c>
      <c r="E900" s="221" t="s">
        <v>213</v>
      </c>
      <c r="F900" s="221">
        <v>2007</v>
      </c>
    </row>
    <row r="901" spans="2:6">
      <c r="B901" s="254">
        <v>38993</v>
      </c>
      <c r="C901" s="221" t="s">
        <v>396</v>
      </c>
      <c r="D901" s="101">
        <v>36136</v>
      </c>
      <c r="E901" s="221" t="s">
        <v>212</v>
      </c>
      <c r="F901" s="221">
        <v>2006</v>
      </c>
    </row>
    <row r="902" spans="2:6">
      <c r="B902" s="254">
        <v>39370</v>
      </c>
      <c r="C902" s="221" t="s">
        <v>394</v>
      </c>
      <c r="D902" s="101">
        <v>24785</v>
      </c>
      <c r="E902" s="221" t="s">
        <v>213</v>
      </c>
      <c r="F902" s="221">
        <v>2007</v>
      </c>
    </row>
    <row r="903" spans="2:6">
      <c r="B903" s="254">
        <v>38862</v>
      </c>
      <c r="C903" s="221" t="s">
        <v>398</v>
      </c>
      <c r="D903" s="101">
        <v>31702</v>
      </c>
      <c r="E903" s="221" t="s">
        <v>210</v>
      </c>
      <c r="F903" s="221">
        <v>2006</v>
      </c>
    </row>
    <row r="904" spans="2:6">
      <c r="B904" s="254">
        <v>39011</v>
      </c>
      <c r="C904" s="221" t="s">
        <v>396</v>
      </c>
      <c r="D904" s="101">
        <v>36246</v>
      </c>
      <c r="E904" s="221" t="s">
        <v>210</v>
      </c>
      <c r="F904" s="221">
        <v>2006</v>
      </c>
    </row>
    <row r="905" spans="2:6">
      <c r="B905" s="254">
        <v>39527</v>
      </c>
      <c r="C905" s="221" t="s">
        <v>398</v>
      </c>
      <c r="D905" s="101">
        <v>22772</v>
      </c>
      <c r="E905" s="221" t="s">
        <v>212</v>
      </c>
      <c r="F905" s="221">
        <v>2008</v>
      </c>
    </row>
    <row r="906" spans="2:6">
      <c r="B906" s="254">
        <v>38735</v>
      </c>
      <c r="C906" s="221" t="s">
        <v>395</v>
      </c>
      <c r="D906" s="101">
        <v>18209</v>
      </c>
      <c r="E906" s="221" t="s">
        <v>212</v>
      </c>
      <c r="F906" s="221">
        <v>2006</v>
      </c>
    </row>
    <row r="907" spans="2:6">
      <c r="B907" s="254">
        <v>39218</v>
      </c>
      <c r="C907" s="221" t="s">
        <v>394</v>
      </c>
      <c r="D907" s="101">
        <v>13648</v>
      </c>
      <c r="E907" s="221" t="s">
        <v>212</v>
      </c>
      <c r="F907" s="221">
        <v>2007</v>
      </c>
    </row>
    <row r="908" spans="2:6">
      <c r="B908" s="254">
        <v>39074</v>
      </c>
      <c r="C908" s="221" t="s">
        <v>396</v>
      </c>
      <c r="D908" s="101">
        <v>16100</v>
      </c>
      <c r="E908" s="221" t="s">
        <v>213</v>
      </c>
      <c r="F908" s="221">
        <v>2006</v>
      </c>
    </row>
    <row r="909" spans="2:6">
      <c r="B909" s="254">
        <v>39241</v>
      </c>
      <c r="C909" s="221" t="s">
        <v>398</v>
      </c>
      <c r="D909" s="101">
        <v>9089</v>
      </c>
      <c r="E909" s="221" t="s">
        <v>210</v>
      </c>
      <c r="F909" s="221">
        <v>2007</v>
      </c>
    </row>
    <row r="910" spans="2:6">
      <c r="B910" s="254">
        <v>39522</v>
      </c>
      <c r="C910" s="221" t="s">
        <v>396</v>
      </c>
      <c r="D910" s="101">
        <v>5178</v>
      </c>
      <c r="E910" s="221" t="s">
        <v>211</v>
      </c>
      <c r="F910" s="221">
        <v>2008</v>
      </c>
    </row>
    <row r="911" spans="2:6">
      <c r="B911" s="254">
        <v>39392</v>
      </c>
      <c r="C911" s="221" t="s">
        <v>394</v>
      </c>
      <c r="D911" s="101">
        <v>15352</v>
      </c>
      <c r="E911" s="221" t="s">
        <v>210</v>
      </c>
      <c r="F911" s="221">
        <v>2007</v>
      </c>
    </row>
    <row r="912" spans="2:6">
      <c r="B912" s="254">
        <v>38927</v>
      </c>
      <c r="C912" s="221" t="s">
        <v>395</v>
      </c>
      <c r="D912" s="101">
        <v>8684</v>
      </c>
      <c r="E912" s="221" t="s">
        <v>211</v>
      </c>
      <c r="F912" s="221">
        <v>2006</v>
      </c>
    </row>
    <row r="913" spans="2:6">
      <c r="B913" s="254">
        <v>39135</v>
      </c>
      <c r="C913" s="221" t="s">
        <v>398</v>
      </c>
      <c r="D913" s="101">
        <v>8968</v>
      </c>
      <c r="E913" s="221" t="s">
        <v>213</v>
      </c>
      <c r="F913" s="221">
        <v>2007</v>
      </c>
    </row>
    <row r="914" spans="2:6">
      <c r="B914" s="254">
        <v>39214</v>
      </c>
      <c r="C914" s="221" t="s">
        <v>398</v>
      </c>
      <c r="D914" s="101">
        <v>20449</v>
      </c>
      <c r="E914" s="221" t="s">
        <v>210</v>
      </c>
      <c r="F914" s="221">
        <v>2007</v>
      </c>
    </row>
    <row r="915" spans="2:6">
      <c r="B915" s="254">
        <v>39483</v>
      </c>
      <c r="C915" s="221" t="s">
        <v>396</v>
      </c>
      <c r="D915" s="101">
        <v>32211</v>
      </c>
      <c r="E915" s="221" t="s">
        <v>211</v>
      </c>
      <c r="F915" s="221">
        <v>2008</v>
      </c>
    </row>
    <row r="916" spans="2:6">
      <c r="B916" s="254">
        <v>39011</v>
      </c>
      <c r="C916" s="221" t="s">
        <v>396</v>
      </c>
      <c r="D916" s="101">
        <v>16107</v>
      </c>
      <c r="E916" s="221" t="s">
        <v>213</v>
      </c>
      <c r="F916" s="221">
        <v>2006</v>
      </c>
    </row>
    <row r="917" spans="2:6">
      <c r="B917" s="254">
        <v>38732</v>
      </c>
      <c r="C917" s="221" t="s">
        <v>395</v>
      </c>
      <c r="D917" s="101">
        <v>10146</v>
      </c>
      <c r="E917" s="221" t="s">
        <v>210</v>
      </c>
      <c r="F917" s="221">
        <v>2006</v>
      </c>
    </row>
    <row r="918" spans="2:6">
      <c r="B918" s="254">
        <v>38923</v>
      </c>
      <c r="C918" s="221" t="s">
        <v>398</v>
      </c>
      <c r="D918" s="101">
        <v>39847</v>
      </c>
      <c r="E918" s="221" t="s">
        <v>211</v>
      </c>
      <c r="F918" s="221">
        <v>2006</v>
      </c>
    </row>
    <row r="919" spans="2:6">
      <c r="B919" s="254">
        <v>38885</v>
      </c>
      <c r="C919" s="221" t="s">
        <v>394</v>
      </c>
      <c r="D919" s="101">
        <v>30240</v>
      </c>
      <c r="E919" s="221" t="s">
        <v>213</v>
      </c>
      <c r="F919" s="221">
        <v>2006</v>
      </c>
    </row>
    <row r="920" spans="2:6">
      <c r="B920" s="254">
        <v>38995</v>
      </c>
      <c r="C920" s="221" t="s">
        <v>395</v>
      </c>
      <c r="D920" s="101">
        <v>33623</v>
      </c>
      <c r="E920" s="221" t="s">
        <v>211</v>
      </c>
      <c r="F920" s="221">
        <v>2006</v>
      </c>
    </row>
    <row r="921" spans="2:6">
      <c r="B921" s="254">
        <v>39555</v>
      </c>
      <c r="C921" s="221" t="s">
        <v>398</v>
      </c>
      <c r="D921" s="101">
        <v>27438</v>
      </c>
      <c r="E921" s="221" t="s">
        <v>212</v>
      </c>
      <c r="F921" s="221">
        <v>2008</v>
      </c>
    </row>
    <row r="922" spans="2:6">
      <c r="B922" s="254">
        <v>39353</v>
      </c>
      <c r="C922" s="221" t="s">
        <v>396</v>
      </c>
      <c r="D922" s="101">
        <v>39894</v>
      </c>
      <c r="E922" s="221" t="s">
        <v>211</v>
      </c>
      <c r="F922" s="221">
        <v>2007</v>
      </c>
    </row>
    <row r="923" spans="2:6">
      <c r="B923" s="254">
        <v>39235</v>
      </c>
      <c r="C923" s="221" t="s">
        <v>396</v>
      </c>
      <c r="D923" s="101">
        <v>18454</v>
      </c>
      <c r="E923" s="221" t="s">
        <v>212</v>
      </c>
      <c r="F923" s="221">
        <v>2007</v>
      </c>
    </row>
    <row r="924" spans="2:6">
      <c r="B924" s="254">
        <v>39504</v>
      </c>
      <c r="C924" s="221" t="s">
        <v>394</v>
      </c>
      <c r="D924" s="101">
        <v>6338</v>
      </c>
      <c r="E924" s="221" t="s">
        <v>211</v>
      </c>
      <c r="F924" s="221">
        <v>2008</v>
      </c>
    </row>
    <row r="925" spans="2:6">
      <c r="B925" s="254">
        <v>39551</v>
      </c>
      <c r="C925" s="221" t="s">
        <v>394</v>
      </c>
      <c r="D925" s="101">
        <v>31429</v>
      </c>
      <c r="E925" s="221" t="s">
        <v>213</v>
      </c>
      <c r="F925" s="221">
        <v>2008</v>
      </c>
    </row>
    <row r="926" spans="2:6">
      <c r="B926" s="254">
        <v>39208</v>
      </c>
      <c r="C926" s="221" t="s">
        <v>398</v>
      </c>
      <c r="D926" s="101">
        <v>18394</v>
      </c>
      <c r="E926" s="221" t="s">
        <v>210</v>
      </c>
      <c r="F926" s="221">
        <v>2007</v>
      </c>
    </row>
    <row r="927" spans="2:6">
      <c r="B927" s="254">
        <v>39182</v>
      </c>
      <c r="C927" s="221" t="s">
        <v>394</v>
      </c>
      <c r="D927" s="101">
        <v>20114</v>
      </c>
      <c r="E927" s="221" t="s">
        <v>213</v>
      </c>
      <c r="F927" s="221">
        <v>2007</v>
      </c>
    </row>
    <row r="928" spans="2:6">
      <c r="B928" s="254">
        <v>38888</v>
      </c>
      <c r="C928" s="221" t="s">
        <v>396</v>
      </c>
      <c r="D928" s="101">
        <v>7833</v>
      </c>
      <c r="E928" s="221" t="s">
        <v>210</v>
      </c>
      <c r="F928" s="221">
        <v>2006</v>
      </c>
    </row>
    <row r="929" spans="2:6">
      <c r="B929" s="254">
        <v>39021</v>
      </c>
      <c r="C929" s="221" t="s">
        <v>395</v>
      </c>
      <c r="D929" s="101">
        <v>35447</v>
      </c>
      <c r="E929" s="221" t="s">
        <v>213</v>
      </c>
      <c r="F929" s="221">
        <v>2006</v>
      </c>
    </row>
    <row r="930" spans="2:6">
      <c r="B930" s="254">
        <v>39321</v>
      </c>
      <c r="C930" s="221" t="s">
        <v>394</v>
      </c>
      <c r="D930" s="101">
        <v>7469</v>
      </c>
      <c r="E930" s="221" t="s">
        <v>210</v>
      </c>
      <c r="F930" s="221">
        <v>2007</v>
      </c>
    </row>
    <row r="931" spans="2:6">
      <c r="B931" s="254">
        <v>39148</v>
      </c>
      <c r="C931" s="221" t="s">
        <v>398</v>
      </c>
      <c r="D931" s="101">
        <v>5581</v>
      </c>
      <c r="E931" s="221" t="s">
        <v>210</v>
      </c>
      <c r="F931" s="221">
        <v>2007</v>
      </c>
    </row>
    <row r="932" spans="2:6">
      <c r="B932" s="254">
        <v>38887</v>
      </c>
      <c r="C932" s="221" t="s">
        <v>398</v>
      </c>
      <c r="D932" s="101">
        <v>15476</v>
      </c>
      <c r="E932" s="221" t="s">
        <v>213</v>
      </c>
      <c r="F932" s="221">
        <v>2006</v>
      </c>
    </row>
    <row r="933" spans="2:6">
      <c r="B933" s="254">
        <v>39054</v>
      </c>
      <c r="C933" s="221" t="s">
        <v>394</v>
      </c>
      <c r="D933" s="101">
        <v>6922</v>
      </c>
      <c r="E933" s="221" t="s">
        <v>211</v>
      </c>
      <c r="F933" s="221">
        <v>2006</v>
      </c>
    </row>
    <row r="934" spans="2:6">
      <c r="B934" s="254">
        <v>39172</v>
      </c>
      <c r="C934" s="221" t="s">
        <v>395</v>
      </c>
      <c r="D934" s="101">
        <v>36304</v>
      </c>
      <c r="E934" s="221" t="s">
        <v>212</v>
      </c>
      <c r="F934" s="221">
        <v>2007</v>
      </c>
    </row>
    <row r="935" spans="2:6">
      <c r="B935" s="254">
        <v>39182</v>
      </c>
      <c r="C935" s="221" t="s">
        <v>396</v>
      </c>
      <c r="D935" s="101">
        <v>33778</v>
      </c>
      <c r="E935" s="221" t="s">
        <v>210</v>
      </c>
      <c r="F935" s="221">
        <v>2007</v>
      </c>
    </row>
    <row r="936" spans="2:6">
      <c r="B936" s="254">
        <v>39366</v>
      </c>
      <c r="C936" s="221" t="s">
        <v>396</v>
      </c>
      <c r="D936" s="101">
        <v>11701</v>
      </c>
      <c r="E936" s="221" t="s">
        <v>213</v>
      </c>
      <c r="F936" s="221">
        <v>2007</v>
      </c>
    </row>
    <row r="937" spans="2:6">
      <c r="B937" s="254">
        <v>39340</v>
      </c>
      <c r="C937" s="221" t="s">
        <v>395</v>
      </c>
      <c r="D937" s="101">
        <v>25898</v>
      </c>
      <c r="E937" s="221" t="s">
        <v>213</v>
      </c>
      <c r="F937" s="221">
        <v>2007</v>
      </c>
    </row>
    <row r="938" spans="2:6">
      <c r="B938" s="254">
        <v>39160</v>
      </c>
      <c r="C938" s="221" t="s">
        <v>395</v>
      </c>
      <c r="D938" s="101">
        <v>26895</v>
      </c>
      <c r="E938" s="221" t="s">
        <v>213</v>
      </c>
      <c r="F938" s="221">
        <v>2007</v>
      </c>
    </row>
    <row r="939" spans="2:6">
      <c r="B939" s="254">
        <v>38788</v>
      </c>
      <c r="C939" s="221" t="s">
        <v>396</v>
      </c>
      <c r="D939" s="101">
        <v>22948</v>
      </c>
      <c r="E939" s="221" t="s">
        <v>210</v>
      </c>
      <c r="F939" s="221">
        <v>2006</v>
      </c>
    </row>
    <row r="940" spans="2:6">
      <c r="B940" s="254">
        <v>38868</v>
      </c>
      <c r="C940" s="221" t="s">
        <v>394</v>
      </c>
      <c r="D940" s="101">
        <v>14488</v>
      </c>
      <c r="E940" s="221" t="s">
        <v>211</v>
      </c>
      <c r="F940" s="221">
        <v>2006</v>
      </c>
    </row>
    <row r="941" spans="2:6">
      <c r="B941" s="254">
        <v>38886</v>
      </c>
      <c r="C941" s="221" t="s">
        <v>395</v>
      </c>
      <c r="D941" s="101">
        <v>14115</v>
      </c>
      <c r="E941" s="221" t="s">
        <v>210</v>
      </c>
      <c r="F941" s="221">
        <v>2006</v>
      </c>
    </row>
    <row r="942" spans="2:6">
      <c r="B942" s="254">
        <v>39074</v>
      </c>
      <c r="C942" s="221" t="s">
        <v>398</v>
      </c>
      <c r="D942" s="101">
        <v>28035</v>
      </c>
      <c r="E942" s="221" t="s">
        <v>213</v>
      </c>
      <c r="F942" s="221">
        <v>2006</v>
      </c>
    </row>
    <row r="943" spans="2:6">
      <c r="B943" s="254">
        <v>39598</v>
      </c>
      <c r="C943" s="221" t="s">
        <v>394</v>
      </c>
      <c r="D943" s="101">
        <v>38250</v>
      </c>
      <c r="E943" s="221" t="s">
        <v>212</v>
      </c>
      <c r="F943" s="221">
        <v>2008</v>
      </c>
    </row>
    <row r="944" spans="2:6">
      <c r="B944" s="254">
        <v>39099</v>
      </c>
      <c r="C944" s="221" t="s">
        <v>395</v>
      </c>
      <c r="D944" s="101">
        <v>22339</v>
      </c>
      <c r="E944" s="221" t="s">
        <v>212</v>
      </c>
      <c r="F944" s="221">
        <v>2007</v>
      </c>
    </row>
    <row r="945" spans="2:6">
      <c r="B945" s="254">
        <v>39247</v>
      </c>
      <c r="C945" s="221" t="s">
        <v>398</v>
      </c>
      <c r="D945" s="101">
        <v>25124</v>
      </c>
      <c r="E945" s="221" t="s">
        <v>212</v>
      </c>
      <c r="F945" s="221">
        <v>2007</v>
      </c>
    </row>
    <row r="946" spans="2:6">
      <c r="B946" s="254">
        <v>39580</v>
      </c>
      <c r="C946" s="221" t="s">
        <v>395</v>
      </c>
      <c r="D946" s="101">
        <v>39929</v>
      </c>
      <c r="E946" s="221" t="s">
        <v>212</v>
      </c>
      <c r="F946" s="221">
        <v>2008</v>
      </c>
    </row>
    <row r="947" spans="2:6">
      <c r="B947" s="254">
        <v>38814</v>
      </c>
      <c r="C947" s="221" t="s">
        <v>396</v>
      </c>
      <c r="D947" s="101">
        <v>26615</v>
      </c>
      <c r="E947" s="221" t="s">
        <v>211</v>
      </c>
      <c r="F947" s="221">
        <v>2006</v>
      </c>
    </row>
    <row r="948" spans="2:6">
      <c r="B948" s="254">
        <v>39377</v>
      </c>
      <c r="C948" s="221" t="s">
        <v>395</v>
      </c>
      <c r="D948" s="101">
        <v>36328</v>
      </c>
      <c r="E948" s="221" t="s">
        <v>211</v>
      </c>
      <c r="F948" s="221">
        <v>2007</v>
      </c>
    </row>
    <row r="949" spans="2:6">
      <c r="B949" s="254">
        <v>38918</v>
      </c>
      <c r="C949" s="221" t="s">
        <v>396</v>
      </c>
      <c r="D949" s="101">
        <v>9713</v>
      </c>
      <c r="E949" s="221" t="s">
        <v>213</v>
      </c>
      <c r="F949" s="221">
        <v>2006</v>
      </c>
    </row>
    <row r="950" spans="2:6">
      <c r="B950" s="254">
        <v>39536</v>
      </c>
      <c r="C950" s="221" t="s">
        <v>394</v>
      </c>
      <c r="D950" s="101">
        <v>24318</v>
      </c>
      <c r="E950" s="221" t="s">
        <v>212</v>
      </c>
      <c r="F950" s="221">
        <v>2008</v>
      </c>
    </row>
    <row r="951" spans="2:6">
      <c r="B951" s="254">
        <v>39157</v>
      </c>
      <c r="C951" s="221" t="s">
        <v>398</v>
      </c>
      <c r="D951" s="101">
        <v>29705</v>
      </c>
      <c r="E951" s="221" t="s">
        <v>212</v>
      </c>
      <c r="F951" s="221">
        <v>2007</v>
      </c>
    </row>
    <row r="952" spans="2:6">
      <c r="B952" s="254">
        <v>39286</v>
      </c>
      <c r="C952" s="221" t="s">
        <v>398</v>
      </c>
      <c r="D952" s="101">
        <v>31775</v>
      </c>
      <c r="E952" s="221" t="s">
        <v>212</v>
      </c>
      <c r="F952" s="221">
        <v>2007</v>
      </c>
    </row>
    <row r="953" spans="2:6">
      <c r="B953" s="254">
        <v>39226</v>
      </c>
      <c r="C953" s="221" t="s">
        <v>398</v>
      </c>
      <c r="D953" s="101">
        <v>23321</v>
      </c>
      <c r="E953" s="221" t="s">
        <v>211</v>
      </c>
      <c r="F953" s="221">
        <v>2007</v>
      </c>
    </row>
    <row r="954" spans="2:6">
      <c r="B954" s="254">
        <v>38810</v>
      </c>
      <c r="C954" s="221" t="s">
        <v>396</v>
      </c>
      <c r="D954" s="101">
        <v>12391</v>
      </c>
      <c r="E954" s="221" t="s">
        <v>210</v>
      </c>
      <c r="F954" s="221">
        <v>2006</v>
      </c>
    </row>
    <row r="955" spans="2:6">
      <c r="B955" s="254">
        <v>39009</v>
      </c>
      <c r="C955" s="221" t="s">
        <v>398</v>
      </c>
      <c r="D955" s="101">
        <v>22288</v>
      </c>
      <c r="E955" s="221" t="s">
        <v>213</v>
      </c>
      <c r="F955" s="221">
        <v>2006</v>
      </c>
    </row>
    <row r="956" spans="2:6">
      <c r="B956" s="254">
        <v>39437</v>
      </c>
      <c r="C956" s="221" t="s">
        <v>396</v>
      </c>
      <c r="D956" s="101">
        <v>25264</v>
      </c>
      <c r="E956" s="221" t="s">
        <v>211</v>
      </c>
      <c r="F956" s="221">
        <v>2007</v>
      </c>
    </row>
    <row r="957" spans="2:6">
      <c r="B957" s="254">
        <v>39010</v>
      </c>
      <c r="C957" s="221" t="s">
        <v>394</v>
      </c>
      <c r="D957" s="101">
        <v>25358</v>
      </c>
      <c r="E957" s="221" t="s">
        <v>212</v>
      </c>
      <c r="F957" s="221">
        <v>2006</v>
      </c>
    </row>
    <row r="958" spans="2:6">
      <c r="B958" s="254">
        <v>39545</v>
      </c>
      <c r="C958" s="221" t="s">
        <v>396</v>
      </c>
      <c r="D958" s="101">
        <v>6246</v>
      </c>
      <c r="E958" s="221" t="s">
        <v>212</v>
      </c>
      <c r="F958" s="221">
        <v>2008</v>
      </c>
    </row>
    <row r="959" spans="2:6">
      <c r="B959" s="254">
        <v>38823</v>
      </c>
      <c r="C959" s="221" t="s">
        <v>395</v>
      </c>
      <c r="D959" s="101">
        <v>19056</v>
      </c>
      <c r="E959" s="221" t="s">
        <v>210</v>
      </c>
      <c r="F959" s="221">
        <v>2006</v>
      </c>
    </row>
    <row r="960" spans="2:6">
      <c r="B960" s="254">
        <v>39093</v>
      </c>
      <c r="C960" s="221" t="s">
        <v>394</v>
      </c>
      <c r="D960" s="101">
        <v>23555</v>
      </c>
      <c r="E960" s="221" t="s">
        <v>210</v>
      </c>
      <c r="F960" s="221">
        <v>2007</v>
      </c>
    </row>
    <row r="961" spans="2:6">
      <c r="B961" s="254">
        <v>39387</v>
      </c>
      <c r="C961" s="221" t="s">
        <v>394</v>
      </c>
      <c r="D961" s="101">
        <v>34909</v>
      </c>
      <c r="E961" s="221" t="s">
        <v>213</v>
      </c>
      <c r="F961" s="221">
        <v>2007</v>
      </c>
    </row>
    <row r="962" spans="2:6">
      <c r="B962" s="254">
        <v>39325</v>
      </c>
      <c r="C962" s="221" t="s">
        <v>396</v>
      </c>
      <c r="D962" s="101">
        <v>24056</v>
      </c>
      <c r="E962" s="221" t="s">
        <v>210</v>
      </c>
      <c r="F962" s="221">
        <v>2007</v>
      </c>
    </row>
    <row r="963" spans="2:6">
      <c r="B963" s="254">
        <v>39175</v>
      </c>
      <c r="C963" s="221" t="s">
        <v>395</v>
      </c>
      <c r="D963" s="101">
        <v>7045</v>
      </c>
      <c r="E963" s="221" t="s">
        <v>210</v>
      </c>
      <c r="F963" s="221">
        <v>2007</v>
      </c>
    </row>
    <row r="964" spans="2:6">
      <c r="B964" s="254">
        <v>39513</v>
      </c>
      <c r="C964" s="221" t="s">
        <v>396</v>
      </c>
      <c r="D964" s="101">
        <v>22861</v>
      </c>
      <c r="E964" s="221" t="s">
        <v>212</v>
      </c>
      <c r="F964" s="221">
        <v>2008</v>
      </c>
    </row>
    <row r="965" spans="2:6">
      <c r="B965" s="254">
        <v>38793</v>
      </c>
      <c r="C965" s="221" t="s">
        <v>398</v>
      </c>
      <c r="D965" s="101">
        <v>7626</v>
      </c>
      <c r="E965" s="221" t="s">
        <v>213</v>
      </c>
      <c r="F965" s="221">
        <v>2006</v>
      </c>
    </row>
    <row r="966" spans="2:6">
      <c r="B966" s="254">
        <v>38856</v>
      </c>
      <c r="C966" s="221" t="s">
        <v>398</v>
      </c>
      <c r="D966" s="101">
        <v>33417</v>
      </c>
      <c r="E966" s="221" t="s">
        <v>213</v>
      </c>
      <c r="F966" s="221">
        <v>2006</v>
      </c>
    </row>
    <row r="967" spans="2:6">
      <c r="B967" s="254">
        <v>39313</v>
      </c>
      <c r="C967" s="221" t="s">
        <v>395</v>
      </c>
      <c r="D967" s="101">
        <v>28675</v>
      </c>
      <c r="E967" s="221" t="s">
        <v>211</v>
      </c>
      <c r="F967" s="221">
        <v>2007</v>
      </c>
    </row>
    <row r="968" spans="2:6">
      <c r="B968" s="254">
        <v>39493</v>
      </c>
      <c r="C968" s="221" t="s">
        <v>394</v>
      </c>
      <c r="D968" s="101">
        <v>9446</v>
      </c>
      <c r="E968" s="221" t="s">
        <v>212</v>
      </c>
      <c r="F968" s="221">
        <v>2008</v>
      </c>
    </row>
    <row r="969" spans="2:6">
      <c r="B969" s="254">
        <v>39321</v>
      </c>
      <c r="C969" s="221" t="s">
        <v>398</v>
      </c>
      <c r="D969" s="101">
        <v>27440</v>
      </c>
      <c r="E969" s="221" t="s">
        <v>210</v>
      </c>
      <c r="F969" s="221">
        <v>2007</v>
      </c>
    </row>
    <row r="970" spans="2:6">
      <c r="B970" s="254">
        <v>39452</v>
      </c>
      <c r="C970" s="221" t="s">
        <v>394</v>
      </c>
      <c r="D970" s="101">
        <v>18757</v>
      </c>
      <c r="E970" s="221" t="s">
        <v>210</v>
      </c>
      <c r="F970" s="221">
        <v>2008</v>
      </c>
    </row>
    <row r="971" spans="2:6">
      <c r="B971" s="254">
        <v>38890</v>
      </c>
      <c r="C971" s="221" t="s">
        <v>394</v>
      </c>
      <c r="D971" s="101">
        <v>11513</v>
      </c>
      <c r="E971" s="221" t="s">
        <v>212</v>
      </c>
      <c r="F971" s="221">
        <v>2006</v>
      </c>
    </row>
    <row r="972" spans="2:6">
      <c r="B972" s="254">
        <v>38996</v>
      </c>
      <c r="C972" s="221" t="s">
        <v>398</v>
      </c>
      <c r="D972" s="101">
        <v>27658</v>
      </c>
      <c r="E972" s="221" t="s">
        <v>210</v>
      </c>
      <c r="F972" s="221">
        <v>2006</v>
      </c>
    </row>
    <row r="973" spans="2:6">
      <c r="B973" s="254">
        <v>38776</v>
      </c>
      <c r="C973" s="221" t="s">
        <v>395</v>
      </c>
      <c r="D973" s="101">
        <v>39111</v>
      </c>
      <c r="E973" s="221" t="s">
        <v>211</v>
      </c>
      <c r="F973" s="221">
        <v>2006</v>
      </c>
    </row>
    <row r="974" spans="2:6">
      <c r="B974" s="254">
        <v>39510</v>
      </c>
      <c r="C974" s="221" t="s">
        <v>395</v>
      </c>
      <c r="D974" s="101">
        <v>31302</v>
      </c>
      <c r="E974" s="221" t="s">
        <v>210</v>
      </c>
      <c r="F974" s="221">
        <v>2008</v>
      </c>
    </row>
    <row r="975" spans="2:6">
      <c r="B975" s="254">
        <v>38770</v>
      </c>
      <c r="C975" s="221" t="s">
        <v>398</v>
      </c>
      <c r="D975" s="101">
        <v>28168</v>
      </c>
      <c r="E975" s="221" t="s">
        <v>210</v>
      </c>
      <c r="F975" s="221">
        <v>2006</v>
      </c>
    </row>
    <row r="976" spans="2:6">
      <c r="B976" s="254">
        <v>39098</v>
      </c>
      <c r="C976" s="221" t="s">
        <v>395</v>
      </c>
      <c r="D976" s="101">
        <v>22655</v>
      </c>
      <c r="E976" s="221" t="s">
        <v>212</v>
      </c>
      <c r="F976" s="221">
        <v>2007</v>
      </c>
    </row>
    <row r="977" spans="2:6">
      <c r="B977" s="254">
        <v>39518</v>
      </c>
      <c r="C977" s="221" t="s">
        <v>398</v>
      </c>
      <c r="D977" s="101">
        <v>10865</v>
      </c>
      <c r="E977" s="221" t="s">
        <v>210</v>
      </c>
      <c r="F977" s="221">
        <v>2008</v>
      </c>
    </row>
    <row r="978" spans="2:6">
      <c r="B978" s="254">
        <v>38790</v>
      </c>
      <c r="C978" s="221" t="s">
        <v>394</v>
      </c>
      <c r="D978" s="101">
        <v>35955</v>
      </c>
      <c r="E978" s="221" t="s">
        <v>213</v>
      </c>
      <c r="F978" s="221">
        <v>2006</v>
      </c>
    </row>
    <row r="979" spans="2:6">
      <c r="B979" s="254">
        <v>39157</v>
      </c>
      <c r="C979" s="221" t="s">
        <v>395</v>
      </c>
      <c r="D979" s="101">
        <v>21859</v>
      </c>
      <c r="E979" s="221" t="s">
        <v>213</v>
      </c>
      <c r="F979" s="221">
        <v>2007</v>
      </c>
    </row>
    <row r="980" spans="2:6">
      <c r="B980" s="254">
        <v>39094</v>
      </c>
      <c r="C980" s="221" t="s">
        <v>398</v>
      </c>
      <c r="D980" s="101">
        <v>39986</v>
      </c>
      <c r="E980" s="221" t="s">
        <v>213</v>
      </c>
      <c r="F980" s="221">
        <v>2007</v>
      </c>
    </row>
    <row r="981" spans="2:6">
      <c r="B981" s="254">
        <v>38952</v>
      </c>
      <c r="C981" s="221" t="s">
        <v>396</v>
      </c>
      <c r="D981" s="101">
        <v>18402</v>
      </c>
      <c r="E981" s="221" t="s">
        <v>210</v>
      </c>
      <c r="F981" s="221">
        <v>2006</v>
      </c>
    </row>
    <row r="982" spans="2:6">
      <c r="B982" s="254">
        <v>39426</v>
      </c>
      <c r="C982" s="221" t="s">
        <v>398</v>
      </c>
      <c r="D982" s="101">
        <v>31806</v>
      </c>
      <c r="E982" s="221" t="s">
        <v>211</v>
      </c>
      <c r="F982" s="221">
        <v>2007</v>
      </c>
    </row>
    <row r="983" spans="2:6">
      <c r="B983" s="254">
        <v>39086</v>
      </c>
      <c r="C983" s="221" t="s">
        <v>395</v>
      </c>
      <c r="D983" s="101">
        <v>29447</v>
      </c>
      <c r="E983" s="221" t="s">
        <v>210</v>
      </c>
      <c r="F983" s="221">
        <v>2007</v>
      </c>
    </row>
    <row r="984" spans="2:6">
      <c r="B984" s="254">
        <v>39141</v>
      </c>
      <c r="C984" s="221" t="s">
        <v>394</v>
      </c>
      <c r="D984" s="101">
        <v>7746</v>
      </c>
      <c r="E984" s="221" t="s">
        <v>211</v>
      </c>
      <c r="F984" s="221">
        <v>2007</v>
      </c>
    </row>
    <row r="985" spans="2:6">
      <c r="B985" s="254">
        <v>39314</v>
      </c>
      <c r="C985" s="221" t="s">
        <v>395</v>
      </c>
      <c r="D985" s="101">
        <v>16109</v>
      </c>
      <c r="E985" s="221" t="s">
        <v>210</v>
      </c>
      <c r="F985" s="221">
        <v>2007</v>
      </c>
    </row>
    <row r="986" spans="2:6">
      <c r="B986" s="254">
        <v>39202</v>
      </c>
      <c r="C986" s="221" t="s">
        <v>398</v>
      </c>
      <c r="D986" s="101">
        <v>27975</v>
      </c>
      <c r="E986" s="221" t="s">
        <v>212</v>
      </c>
      <c r="F986" s="221">
        <v>2007</v>
      </c>
    </row>
    <row r="987" spans="2:6">
      <c r="B987" s="254">
        <v>39156</v>
      </c>
      <c r="C987" s="221" t="s">
        <v>395</v>
      </c>
      <c r="D987" s="101">
        <v>32651</v>
      </c>
      <c r="E987" s="221" t="s">
        <v>210</v>
      </c>
      <c r="F987" s="221">
        <v>2007</v>
      </c>
    </row>
    <row r="988" spans="2:6">
      <c r="B988" s="254">
        <v>39133</v>
      </c>
      <c r="C988" s="221" t="s">
        <v>394</v>
      </c>
      <c r="D988" s="101">
        <v>28955</v>
      </c>
      <c r="E988" s="221" t="s">
        <v>212</v>
      </c>
      <c r="F988" s="221">
        <v>2007</v>
      </c>
    </row>
    <row r="989" spans="2:6">
      <c r="B989" s="254">
        <v>39529</v>
      </c>
      <c r="C989" s="221" t="s">
        <v>394</v>
      </c>
      <c r="D989" s="101">
        <v>13418</v>
      </c>
      <c r="E989" s="221" t="s">
        <v>210</v>
      </c>
      <c r="F989" s="221">
        <v>2008</v>
      </c>
    </row>
    <row r="990" spans="2:6">
      <c r="B990" s="254">
        <v>39537</v>
      </c>
      <c r="C990" s="221" t="s">
        <v>396</v>
      </c>
      <c r="D990" s="101">
        <v>28675</v>
      </c>
      <c r="E990" s="221" t="s">
        <v>212</v>
      </c>
      <c r="F990" s="221">
        <v>2008</v>
      </c>
    </row>
    <row r="991" spans="2:6">
      <c r="B991" s="254">
        <v>39301</v>
      </c>
      <c r="C991" s="221" t="s">
        <v>394</v>
      </c>
      <c r="D991" s="101">
        <v>8381</v>
      </c>
      <c r="E991" s="221" t="s">
        <v>212</v>
      </c>
      <c r="F991" s="221">
        <v>2007</v>
      </c>
    </row>
    <row r="992" spans="2:6">
      <c r="B992" s="254">
        <v>39276</v>
      </c>
      <c r="C992" s="221" t="s">
        <v>394</v>
      </c>
      <c r="D992" s="101">
        <v>32542</v>
      </c>
      <c r="E992" s="221" t="s">
        <v>211</v>
      </c>
      <c r="F992" s="221">
        <v>2007</v>
      </c>
    </row>
    <row r="993" spans="2:6">
      <c r="B993" s="254">
        <v>39447</v>
      </c>
      <c r="C993" s="221" t="s">
        <v>395</v>
      </c>
      <c r="D993" s="101">
        <v>39659</v>
      </c>
      <c r="E993" s="221" t="s">
        <v>213</v>
      </c>
      <c r="F993" s="221">
        <v>2007</v>
      </c>
    </row>
    <row r="994" spans="2:6">
      <c r="B994" s="254">
        <v>39498</v>
      </c>
      <c r="C994" s="221" t="s">
        <v>396</v>
      </c>
      <c r="D994" s="101">
        <v>18179</v>
      </c>
      <c r="E994" s="221" t="s">
        <v>210</v>
      </c>
      <c r="F994" s="221">
        <v>2008</v>
      </c>
    </row>
    <row r="995" spans="2:6">
      <c r="B995" s="254">
        <v>39200</v>
      </c>
      <c r="C995" s="221" t="s">
        <v>398</v>
      </c>
      <c r="D995" s="101">
        <v>35519</v>
      </c>
      <c r="E995" s="221" t="s">
        <v>212</v>
      </c>
      <c r="F995" s="221">
        <v>2007</v>
      </c>
    </row>
    <row r="996" spans="2:6">
      <c r="B996" s="254">
        <v>38800</v>
      </c>
      <c r="C996" s="221" t="s">
        <v>394</v>
      </c>
      <c r="D996" s="101">
        <v>13056</v>
      </c>
      <c r="E996" s="221" t="s">
        <v>213</v>
      </c>
      <c r="F996" s="221">
        <v>2006</v>
      </c>
    </row>
    <row r="997" spans="2:6">
      <c r="B997" s="254">
        <v>39427</v>
      </c>
      <c r="C997" s="221" t="s">
        <v>394</v>
      </c>
      <c r="D997" s="101">
        <v>35046</v>
      </c>
      <c r="E997" s="221" t="s">
        <v>210</v>
      </c>
      <c r="F997" s="221">
        <v>2007</v>
      </c>
    </row>
    <row r="998" spans="2:6">
      <c r="B998" s="254">
        <v>39210</v>
      </c>
      <c r="C998" s="221" t="s">
        <v>395</v>
      </c>
      <c r="D998" s="101">
        <v>8037</v>
      </c>
      <c r="E998" s="221" t="s">
        <v>213</v>
      </c>
      <c r="F998" s="221">
        <v>2007</v>
      </c>
    </row>
    <row r="999" spans="2:6">
      <c r="B999" s="254">
        <v>39488</v>
      </c>
      <c r="C999" s="221" t="s">
        <v>396</v>
      </c>
      <c r="D999" s="101">
        <v>36206</v>
      </c>
      <c r="E999" s="221" t="s">
        <v>213</v>
      </c>
      <c r="F999" s="221">
        <v>2008</v>
      </c>
    </row>
    <row r="1000" spans="2:6">
      <c r="B1000" s="254">
        <v>38881</v>
      </c>
      <c r="C1000" s="221" t="s">
        <v>394</v>
      </c>
      <c r="D1000" s="101">
        <v>31171</v>
      </c>
      <c r="E1000" s="221" t="s">
        <v>211</v>
      </c>
      <c r="F1000" s="221">
        <v>2006</v>
      </c>
    </row>
    <row r="1001" spans="2:6">
      <c r="B1001" s="254">
        <v>38823</v>
      </c>
      <c r="C1001" s="221" t="s">
        <v>395</v>
      </c>
      <c r="D1001" s="101">
        <v>12130</v>
      </c>
      <c r="E1001" s="221" t="s">
        <v>211</v>
      </c>
      <c r="F1001" s="221">
        <v>2006</v>
      </c>
    </row>
    <row r="1002" spans="2:6">
      <c r="B1002" s="254">
        <v>38770</v>
      </c>
      <c r="C1002" s="221" t="s">
        <v>395</v>
      </c>
      <c r="D1002" s="101">
        <v>30590</v>
      </c>
      <c r="E1002" s="221" t="s">
        <v>210</v>
      </c>
      <c r="F1002" s="221">
        <v>2006</v>
      </c>
    </row>
    <row r="1003" spans="2:6">
      <c r="B1003" s="254">
        <v>39475</v>
      </c>
      <c r="C1003" s="221" t="s">
        <v>396</v>
      </c>
      <c r="D1003" s="101">
        <v>28103</v>
      </c>
      <c r="E1003" s="221" t="s">
        <v>210</v>
      </c>
      <c r="F1003" s="221">
        <v>2008</v>
      </c>
    </row>
    <row r="1004" spans="2:6">
      <c r="B1004" s="254">
        <v>39610</v>
      </c>
      <c r="C1004" s="221" t="s">
        <v>394</v>
      </c>
      <c r="D1004" s="101">
        <v>37525</v>
      </c>
      <c r="E1004" s="221" t="s">
        <v>210</v>
      </c>
      <c r="F1004" s="221">
        <v>2008</v>
      </c>
    </row>
    <row r="1005" spans="2:6">
      <c r="B1005" s="254">
        <v>39089</v>
      </c>
      <c r="C1005" s="221" t="s">
        <v>395</v>
      </c>
      <c r="D1005" s="101">
        <v>22697</v>
      </c>
      <c r="E1005" s="221" t="s">
        <v>211</v>
      </c>
      <c r="F1005" s="221">
        <v>2007</v>
      </c>
    </row>
    <row r="1006" spans="2:6">
      <c r="B1006" s="254">
        <v>39199</v>
      </c>
      <c r="C1006" s="221" t="s">
        <v>398</v>
      </c>
      <c r="D1006" s="101">
        <v>6688</v>
      </c>
      <c r="E1006" s="221" t="s">
        <v>210</v>
      </c>
      <c r="F1006" s="221">
        <v>2007</v>
      </c>
    </row>
    <row r="1007" spans="2:6">
      <c r="B1007" s="254">
        <v>38742</v>
      </c>
      <c r="C1007" s="221" t="s">
        <v>395</v>
      </c>
      <c r="D1007" s="101">
        <v>17483</v>
      </c>
      <c r="E1007" s="221" t="s">
        <v>213</v>
      </c>
      <c r="F1007" s="221">
        <v>2006</v>
      </c>
    </row>
    <row r="1008" spans="2:6">
      <c r="B1008" s="254">
        <v>39599</v>
      </c>
      <c r="C1008" s="221" t="s">
        <v>394</v>
      </c>
      <c r="D1008" s="101">
        <v>33562</v>
      </c>
      <c r="E1008" s="221" t="s">
        <v>211</v>
      </c>
      <c r="F1008" s="221">
        <v>2008</v>
      </c>
    </row>
    <row r="1009" spans="2:6">
      <c r="B1009" s="254">
        <v>39187</v>
      </c>
      <c r="C1009" s="221" t="s">
        <v>398</v>
      </c>
      <c r="D1009" s="101">
        <v>22373</v>
      </c>
      <c r="E1009" s="221" t="s">
        <v>213</v>
      </c>
      <c r="F1009" s="221">
        <v>2007</v>
      </c>
    </row>
    <row r="1010" spans="2:6">
      <c r="B1010" s="254">
        <v>39149</v>
      </c>
      <c r="C1010" s="221" t="s">
        <v>398</v>
      </c>
      <c r="D1010" s="101">
        <v>6875</v>
      </c>
      <c r="E1010" s="221" t="s">
        <v>213</v>
      </c>
      <c r="F1010" s="221">
        <v>2007</v>
      </c>
    </row>
    <row r="1011" spans="2:6">
      <c r="B1011" s="254">
        <v>39123</v>
      </c>
      <c r="C1011" s="221" t="s">
        <v>398</v>
      </c>
      <c r="D1011" s="101">
        <v>31304</v>
      </c>
      <c r="E1011" s="221" t="s">
        <v>210</v>
      </c>
      <c r="F1011" s="221">
        <v>2007</v>
      </c>
    </row>
    <row r="1012" spans="2:6">
      <c r="B1012" s="254">
        <v>39111</v>
      </c>
      <c r="C1012" s="221" t="s">
        <v>395</v>
      </c>
      <c r="D1012" s="101">
        <v>23655</v>
      </c>
      <c r="E1012" s="221" t="s">
        <v>213</v>
      </c>
      <c r="F1012" s="221">
        <v>2007</v>
      </c>
    </row>
    <row r="1013" spans="2:6">
      <c r="B1013" s="254">
        <v>39117</v>
      </c>
      <c r="C1013" s="221" t="s">
        <v>395</v>
      </c>
      <c r="D1013" s="101">
        <v>25013</v>
      </c>
      <c r="E1013" s="221" t="s">
        <v>213</v>
      </c>
      <c r="F1013" s="221">
        <v>2007</v>
      </c>
    </row>
    <row r="1014" spans="2:6">
      <c r="B1014" s="254">
        <v>39228</v>
      </c>
      <c r="C1014" s="221" t="s">
        <v>394</v>
      </c>
      <c r="D1014" s="101">
        <v>22431</v>
      </c>
      <c r="E1014" s="221" t="s">
        <v>213</v>
      </c>
      <c r="F1014" s="221">
        <v>2007</v>
      </c>
    </row>
    <row r="1015" spans="2:6">
      <c r="B1015" s="254">
        <v>39481</v>
      </c>
      <c r="C1015" s="221" t="s">
        <v>395</v>
      </c>
      <c r="D1015" s="101">
        <v>32497</v>
      </c>
      <c r="E1015" s="221" t="s">
        <v>212</v>
      </c>
      <c r="F1015" s="221">
        <v>2008</v>
      </c>
    </row>
    <row r="1016" spans="2:6">
      <c r="B1016" s="254">
        <v>39058</v>
      </c>
      <c r="C1016" s="221" t="s">
        <v>394</v>
      </c>
      <c r="D1016" s="101">
        <v>23302</v>
      </c>
      <c r="E1016" s="221" t="s">
        <v>213</v>
      </c>
      <c r="F1016" s="221">
        <v>2006</v>
      </c>
    </row>
    <row r="1017" spans="2:6">
      <c r="B1017" s="254">
        <v>38877</v>
      </c>
      <c r="C1017" s="221" t="s">
        <v>394</v>
      </c>
      <c r="D1017" s="101">
        <v>30782</v>
      </c>
      <c r="E1017" s="221" t="s">
        <v>210</v>
      </c>
      <c r="F1017" s="221">
        <v>2006</v>
      </c>
    </row>
    <row r="1018" spans="2:6">
      <c r="B1018" s="254">
        <v>39591</v>
      </c>
      <c r="C1018" s="221" t="s">
        <v>394</v>
      </c>
      <c r="D1018" s="101">
        <v>26800</v>
      </c>
      <c r="E1018" s="221" t="s">
        <v>211</v>
      </c>
      <c r="F1018" s="221">
        <v>2008</v>
      </c>
    </row>
    <row r="1019" spans="2:6">
      <c r="B1019" s="254">
        <v>39526</v>
      </c>
      <c r="C1019" s="221" t="s">
        <v>398</v>
      </c>
      <c r="D1019" s="101">
        <v>36788</v>
      </c>
      <c r="E1019" s="221" t="s">
        <v>211</v>
      </c>
      <c r="F1019" s="221">
        <v>2008</v>
      </c>
    </row>
    <row r="1020" spans="2:6">
      <c r="B1020" s="254">
        <v>38972</v>
      </c>
      <c r="C1020" s="221" t="s">
        <v>395</v>
      </c>
      <c r="D1020" s="101">
        <v>28263</v>
      </c>
      <c r="E1020" s="221" t="s">
        <v>213</v>
      </c>
      <c r="F1020" s="221">
        <v>2006</v>
      </c>
    </row>
    <row r="1021" spans="2:6">
      <c r="B1021" s="254">
        <v>39357</v>
      </c>
      <c r="C1021" s="221" t="s">
        <v>398</v>
      </c>
      <c r="D1021" s="101">
        <v>28445</v>
      </c>
      <c r="E1021" s="221" t="s">
        <v>211</v>
      </c>
      <c r="F1021" s="221">
        <v>2007</v>
      </c>
    </row>
    <row r="1022" spans="2:6">
      <c r="B1022" s="254">
        <v>39559</v>
      </c>
      <c r="C1022" s="221" t="s">
        <v>395</v>
      </c>
      <c r="D1022" s="101">
        <v>16374</v>
      </c>
      <c r="E1022" s="221" t="s">
        <v>212</v>
      </c>
      <c r="F1022" s="221">
        <v>2008</v>
      </c>
    </row>
    <row r="1023" spans="2:6">
      <c r="B1023" s="254">
        <v>39419</v>
      </c>
      <c r="C1023" s="221" t="s">
        <v>396</v>
      </c>
      <c r="D1023" s="101">
        <v>5456</v>
      </c>
      <c r="E1023" s="221" t="s">
        <v>213</v>
      </c>
      <c r="F1023" s="221">
        <v>2007</v>
      </c>
    </row>
    <row r="1024" spans="2:6">
      <c r="B1024" s="254">
        <v>38894</v>
      </c>
      <c r="C1024" s="221" t="s">
        <v>398</v>
      </c>
      <c r="D1024" s="101">
        <v>18064</v>
      </c>
      <c r="E1024" s="221" t="s">
        <v>211</v>
      </c>
      <c r="F1024" s="221">
        <v>2006</v>
      </c>
    </row>
    <row r="1025" spans="2:6">
      <c r="B1025" s="254">
        <v>39457</v>
      </c>
      <c r="C1025" s="221" t="s">
        <v>395</v>
      </c>
      <c r="D1025" s="101">
        <v>37366</v>
      </c>
      <c r="E1025" s="221" t="s">
        <v>212</v>
      </c>
      <c r="F1025" s="221">
        <v>2008</v>
      </c>
    </row>
    <row r="1026" spans="2:6">
      <c r="B1026" s="254">
        <v>38942</v>
      </c>
      <c r="C1026" s="221" t="s">
        <v>394</v>
      </c>
      <c r="D1026" s="101">
        <v>24367</v>
      </c>
      <c r="E1026" s="221" t="s">
        <v>213</v>
      </c>
      <c r="F1026" s="221">
        <v>2006</v>
      </c>
    </row>
    <row r="1027" spans="2:6">
      <c r="B1027" s="254">
        <v>38891</v>
      </c>
      <c r="C1027" s="221" t="s">
        <v>395</v>
      </c>
      <c r="D1027" s="101">
        <v>23902</v>
      </c>
      <c r="E1027" s="221" t="s">
        <v>213</v>
      </c>
      <c r="F1027" s="221">
        <v>2006</v>
      </c>
    </row>
    <row r="1028" spans="2:6">
      <c r="B1028" s="254">
        <v>38780</v>
      </c>
      <c r="C1028" s="221" t="s">
        <v>396</v>
      </c>
      <c r="D1028" s="101">
        <v>12734</v>
      </c>
      <c r="E1028" s="221" t="s">
        <v>210</v>
      </c>
      <c r="F1028" s="221">
        <v>2006</v>
      </c>
    </row>
    <row r="1029" spans="2:6">
      <c r="B1029" s="254">
        <v>39245</v>
      </c>
      <c r="C1029" s="221" t="s">
        <v>396</v>
      </c>
      <c r="D1029" s="101">
        <v>7884</v>
      </c>
      <c r="E1029" s="221" t="s">
        <v>213</v>
      </c>
      <c r="F1029" s="221">
        <v>2007</v>
      </c>
    </row>
    <row r="1030" spans="2:6">
      <c r="B1030" s="254">
        <v>38918</v>
      </c>
      <c r="C1030" s="221" t="s">
        <v>395</v>
      </c>
      <c r="D1030" s="101">
        <v>30507</v>
      </c>
      <c r="E1030" s="221" t="s">
        <v>211</v>
      </c>
      <c r="F1030" s="221">
        <v>2006</v>
      </c>
    </row>
    <row r="1031" spans="2:6">
      <c r="B1031" s="254">
        <v>38904</v>
      </c>
      <c r="C1031" s="221" t="s">
        <v>395</v>
      </c>
      <c r="D1031" s="101">
        <v>6269</v>
      </c>
      <c r="E1031" s="221" t="s">
        <v>213</v>
      </c>
      <c r="F1031" s="221">
        <v>2006</v>
      </c>
    </row>
    <row r="1032" spans="2:6">
      <c r="B1032" s="254">
        <v>38761</v>
      </c>
      <c r="C1032" s="221" t="s">
        <v>395</v>
      </c>
      <c r="D1032" s="101">
        <v>10220</v>
      </c>
      <c r="E1032" s="221" t="s">
        <v>211</v>
      </c>
      <c r="F1032" s="221">
        <v>2006</v>
      </c>
    </row>
    <row r="1033" spans="2:6">
      <c r="B1033" s="254">
        <v>39200</v>
      </c>
      <c r="C1033" s="221" t="s">
        <v>395</v>
      </c>
      <c r="D1033" s="101">
        <v>35541</v>
      </c>
      <c r="E1033" s="221" t="s">
        <v>211</v>
      </c>
      <c r="F1033" s="221">
        <v>2007</v>
      </c>
    </row>
    <row r="1034" spans="2:6">
      <c r="B1034" s="254">
        <v>39178</v>
      </c>
      <c r="C1034" s="221" t="s">
        <v>395</v>
      </c>
      <c r="D1034" s="101">
        <v>33231</v>
      </c>
      <c r="E1034" s="221" t="s">
        <v>212</v>
      </c>
      <c r="F1034" s="221">
        <v>2007</v>
      </c>
    </row>
    <row r="1035" spans="2:6">
      <c r="B1035" s="254">
        <v>38964</v>
      </c>
      <c r="C1035" s="221" t="s">
        <v>396</v>
      </c>
      <c r="D1035" s="101">
        <v>13190</v>
      </c>
      <c r="E1035" s="221" t="s">
        <v>212</v>
      </c>
      <c r="F1035" s="221">
        <v>2006</v>
      </c>
    </row>
    <row r="1036" spans="2:6">
      <c r="B1036" s="254">
        <v>39615</v>
      </c>
      <c r="C1036" s="221" t="s">
        <v>396</v>
      </c>
      <c r="D1036" s="101">
        <v>30530</v>
      </c>
      <c r="E1036" s="221" t="s">
        <v>210</v>
      </c>
      <c r="F1036" s="221">
        <v>2008</v>
      </c>
    </row>
    <row r="1037" spans="2:6">
      <c r="B1037" s="254">
        <v>39020</v>
      </c>
      <c r="C1037" s="221" t="s">
        <v>396</v>
      </c>
      <c r="D1037" s="101">
        <v>36491</v>
      </c>
      <c r="E1037" s="221" t="s">
        <v>210</v>
      </c>
      <c r="F1037" s="221">
        <v>2006</v>
      </c>
    </row>
    <row r="1038" spans="2:6">
      <c r="B1038" s="254">
        <v>38837</v>
      </c>
      <c r="C1038" s="221" t="s">
        <v>396</v>
      </c>
      <c r="D1038" s="101">
        <v>24480</v>
      </c>
      <c r="E1038" s="221" t="s">
        <v>212</v>
      </c>
      <c r="F1038" s="221">
        <v>2006</v>
      </c>
    </row>
    <row r="1039" spans="2:6">
      <c r="B1039" s="254">
        <v>39267</v>
      </c>
      <c r="C1039" s="221" t="s">
        <v>395</v>
      </c>
      <c r="D1039" s="101">
        <v>10100</v>
      </c>
      <c r="E1039" s="221" t="s">
        <v>210</v>
      </c>
      <c r="F1039" s="221">
        <v>2007</v>
      </c>
    </row>
    <row r="1040" spans="2:6">
      <c r="B1040" s="254">
        <v>39114</v>
      </c>
      <c r="C1040" s="221" t="s">
        <v>398</v>
      </c>
      <c r="D1040" s="101">
        <v>10600</v>
      </c>
      <c r="E1040" s="221" t="s">
        <v>211</v>
      </c>
      <c r="F1040" s="221">
        <v>2007</v>
      </c>
    </row>
    <row r="1041" spans="2:6">
      <c r="B1041" s="254">
        <v>39607</v>
      </c>
      <c r="C1041" s="221" t="s">
        <v>398</v>
      </c>
      <c r="D1041" s="101">
        <v>38358</v>
      </c>
      <c r="E1041" s="221" t="s">
        <v>212</v>
      </c>
      <c r="F1041" s="221">
        <v>2008</v>
      </c>
    </row>
    <row r="1042" spans="2:6">
      <c r="B1042" s="254">
        <v>39561</v>
      </c>
      <c r="C1042" s="221" t="s">
        <v>396</v>
      </c>
      <c r="D1042" s="101">
        <v>5938</v>
      </c>
      <c r="E1042" s="221" t="s">
        <v>213</v>
      </c>
      <c r="F1042" s="221">
        <v>2008</v>
      </c>
    </row>
    <row r="1043" spans="2:6">
      <c r="B1043" s="254">
        <v>39079</v>
      </c>
      <c r="C1043" s="221" t="s">
        <v>398</v>
      </c>
      <c r="D1043" s="101">
        <v>29595</v>
      </c>
      <c r="E1043" s="221" t="s">
        <v>210</v>
      </c>
      <c r="F1043" s="221">
        <v>2006</v>
      </c>
    </row>
    <row r="1044" spans="2:6">
      <c r="B1044" s="254">
        <v>38749</v>
      </c>
      <c r="C1044" s="221" t="s">
        <v>396</v>
      </c>
      <c r="D1044" s="101">
        <v>35802</v>
      </c>
      <c r="E1044" s="221" t="s">
        <v>210</v>
      </c>
      <c r="F1044" s="221">
        <v>2006</v>
      </c>
    </row>
    <row r="1045" spans="2:6">
      <c r="B1045" s="254">
        <v>39384</v>
      </c>
      <c r="C1045" s="221" t="s">
        <v>394</v>
      </c>
      <c r="D1045" s="101">
        <v>5111</v>
      </c>
      <c r="E1045" s="221" t="s">
        <v>212</v>
      </c>
      <c r="F1045" s="221">
        <v>2007</v>
      </c>
    </row>
    <row r="1046" spans="2:6">
      <c r="B1046" s="254">
        <v>38924</v>
      </c>
      <c r="C1046" s="221" t="s">
        <v>394</v>
      </c>
      <c r="D1046" s="101">
        <v>14267</v>
      </c>
      <c r="E1046" s="221" t="s">
        <v>213</v>
      </c>
      <c r="F1046" s="221">
        <v>2006</v>
      </c>
    </row>
    <row r="1047" spans="2:6">
      <c r="B1047" s="254">
        <v>39237</v>
      </c>
      <c r="C1047" s="221" t="s">
        <v>394</v>
      </c>
      <c r="D1047" s="101">
        <v>16540</v>
      </c>
      <c r="E1047" s="221" t="s">
        <v>210</v>
      </c>
      <c r="F1047" s="221">
        <v>2007</v>
      </c>
    </row>
    <row r="1048" spans="2:6">
      <c r="B1048" s="254">
        <v>39521</v>
      </c>
      <c r="C1048" s="221" t="s">
        <v>395</v>
      </c>
      <c r="D1048" s="101">
        <v>13700</v>
      </c>
      <c r="E1048" s="221" t="s">
        <v>212</v>
      </c>
      <c r="F1048" s="221">
        <v>2008</v>
      </c>
    </row>
    <row r="1049" spans="2:6">
      <c r="B1049" s="254">
        <v>38815</v>
      </c>
      <c r="C1049" s="221" t="s">
        <v>396</v>
      </c>
      <c r="D1049" s="101">
        <v>35307</v>
      </c>
      <c r="E1049" s="221" t="s">
        <v>212</v>
      </c>
      <c r="F1049" s="221">
        <v>2006</v>
      </c>
    </row>
    <row r="1050" spans="2:6">
      <c r="B1050" s="254">
        <v>38957</v>
      </c>
      <c r="C1050" s="221" t="s">
        <v>394</v>
      </c>
      <c r="D1050" s="101">
        <v>34948</v>
      </c>
      <c r="E1050" s="221" t="s">
        <v>212</v>
      </c>
      <c r="F1050" s="221">
        <v>2006</v>
      </c>
    </row>
    <row r="1051" spans="2:6">
      <c r="B1051" s="254">
        <v>38917</v>
      </c>
      <c r="C1051" s="221" t="s">
        <v>395</v>
      </c>
      <c r="D1051" s="101">
        <v>30843</v>
      </c>
      <c r="E1051" s="221" t="s">
        <v>210</v>
      </c>
      <c r="F1051" s="221">
        <v>2006</v>
      </c>
    </row>
    <row r="1052" spans="2:6">
      <c r="B1052" s="254">
        <v>39413</v>
      </c>
      <c r="C1052" s="221" t="s">
        <v>398</v>
      </c>
      <c r="D1052" s="101">
        <v>18250</v>
      </c>
      <c r="E1052" s="221" t="s">
        <v>211</v>
      </c>
      <c r="F1052" s="221">
        <v>2007</v>
      </c>
    </row>
    <row r="1053" spans="2:6">
      <c r="B1053" s="254">
        <v>39256</v>
      </c>
      <c r="C1053" s="221" t="s">
        <v>396</v>
      </c>
      <c r="D1053" s="101">
        <v>31226</v>
      </c>
      <c r="E1053" s="221" t="s">
        <v>211</v>
      </c>
      <c r="F1053" s="221">
        <v>2007</v>
      </c>
    </row>
    <row r="1054" spans="2:6">
      <c r="B1054" s="254">
        <v>38909</v>
      </c>
      <c r="C1054" s="221" t="s">
        <v>396</v>
      </c>
      <c r="D1054" s="101">
        <v>29417</v>
      </c>
      <c r="E1054" s="221" t="s">
        <v>211</v>
      </c>
      <c r="F1054" s="221">
        <v>2006</v>
      </c>
    </row>
    <row r="1055" spans="2:6">
      <c r="B1055" s="254">
        <v>39024</v>
      </c>
      <c r="C1055" s="221" t="s">
        <v>394</v>
      </c>
      <c r="D1055" s="101">
        <v>38860</v>
      </c>
      <c r="E1055" s="221" t="s">
        <v>213</v>
      </c>
      <c r="F1055" s="221">
        <v>2006</v>
      </c>
    </row>
    <row r="1056" spans="2:6">
      <c r="B1056" s="254">
        <v>38774</v>
      </c>
      <c r="C1056" s="221" t="s">
        <v>394</v>
      </c>
      <c r="D1056" s="101">
        <v>10903</v>
      </c>
      <c r="E1056" s="221" t="s">
        <v>213</v>
      </c>
      <c r="F1056" s="221">
        <v>2006</v>
      </c>
    </row>
    <row r="1057" spans="2:6">
      <c r="B1057" s="254">
        <v>39005</v>
      </c>
      <c r="C1057" s="221" t="s">
        <v>398</v>
      </c>
      <c r="D1057" s="101">
        <v>6852</v>
      </c>
      <c r="E1057" s="221" t="s">
        <v>212</v>
      </c>
      <c r="F1057" s="221">
        <v>2006</v>
      </c>
    </row>
    <row r="1058" spans="2:6">
      <c r="B1058" s="254">
        <v>39297</v>
      </c>
      <c r="C1058" s="221" t="s">
        <v>394</v>
      </c>
      <c r="D1058" s="101">
        <v>8095</v>
      </c>
      <c r="E1058" s="221" t="s">
        <v>212</v>
      </c>
      <c r="F1058" s="221">
        <v>2007</v>
      </c>
    </row>
    <row r="1059" spans="2:6">
      <c r="B1059" s="254">
        <v>39515</v>
      </c>
      <c r="C1059" s="221" t="s">
        <v>396</v>
      </c>
      <c r="D1059" s="101">
        <v>38406</v>
      </c>
      <c r="E1059" s="221" t="s">
        <v>211</v>
      </c>
      <c r="F1059" s="221">
        <v>2008</v>
      </c>
    </row>
    <row r="1060" spans="2:6">
      <c r="B1060" s="254">
        <v>39320</v>
      </c>
      <c r="C1060" s="221" t="s">
        <v>398</v>
      </c>
      <c r="D1060" s="101">
        <v>39311</v>
      </c>
      <c r="E1060" s="221" t="s">
        <v>212</v>
      </c>
      <c r="F1060" s="221">
        <v>2007</v>
      </c>
    </row>
    <row r="1061" spans="2:6">
      <c r="B1061" s="254">
        <v>39396</v>
      </c>
      <c r="C1061" s="221" t="s">
        <v>398</v>
      </c>
      <c r="D1061" s="101">
        <v>10476</v>
      </c>
      <c r="E1061" s="221" t="s">
        <v>213</v>
      </c>
      <c r="F1061" s="221">
        <v>2007</v>
      </c>
    </row>
    <row r="1062" spans="2:6">
      <c r="B1062" s="254">
        <v>39102</v>
      </c>
      <c r="C1062" s="221" t="s">
        <v>396</v>
      </c>
      <c r="D1062" s="101">
        <v>38261</v>
      </c>
      <c r="E1062" s="221" t="s">
        <v>210</v>
      </c>
      <c r="F1062" s="221">
        <v>2007</v>
      </c>
    </row>
    <row r="1063" spans="2:6">
      <c r="B1063" s="254">
        <v>38805</v>
      </c>
      <c r="C1063" s="221" t="s">
        <v>395</v>
      </c>
      <c r="D1063" s="101">
        <v>9897</v>
      </c>
      <c r="E1063" s="221" t="s">
        <v>210</v>
      </c>
      <c r="F1063" s="221">
        <v>2006</v>
      </c>
    </row>
    <row r="1064" spans="2:6">
      <c r="B1064" s="254">
        <v>39290</v>
      </c>
      <c r="C1064" s="221" t="s">
        <v>394</v>
      </c>
      <c r="D1064" s="101">
        <v>25354</v>
      </c>
      <c r="E1064" s="221" t="s">
        <v>213</v>
      </c>
      <c r="F1064" s="221">
        <v>2007</v>
      </c>
    </row>
    <row r="1065" spans="2:6">
      <c r="B1065" s="254">
        <v>38967</v>
      </c>
      <c r="C1065" s="221" t="s">
        <v>398</v>
      </c>
      <c r="D1065" s="101">
        <v>36609</v>
      </c>
      <c r="E1065" s="221" t="s">
        <v>212</v>
      </c>
      <c r="F1065" s="221">
        <v>2006</v>
      </c>
    </row>
    <row r="1066" spans="2:6">
      <c r="B1066" s="254">
        <v>39190</v>
      </c>
      <c r="C1066" s="221" t="s">
        <v>398</v>
      </c>
      <c r="D1066" s="101">
        <v>26901</v>
      </c>
      <c r="E1066" s="221" t="s">
        <v>212</v>
      </c>
      <c r="F1066" s="221">
        <v>2007</v>
      </c>
    </row>
    <row r="1067" spans="2:6">
      <c r="B1067" s="254">
        <v>38975</v>
      </c>
      <c r="C1067" s="221" t="s">
        <v>395</v>
      </c>
      <c r="D1067" s="101">
        <v>12581</v>
      </c>
      <c r="E1067" s="221" t="s">
        <v>212</v>
      </c>
      <c r="F1067" s="221">
        <v>2006</v>
      </c>
    </row>
    <row r="1068" spans="2:6">
      <c r="B1068" s="254">
        <v>39090</v>
      </c>
      <c r="C1068" s="221" t="s">
        <v>395</v>
      </c>
      <c r="D1068" s="101">
        <v>25472</v>
      </c>
      <c r="E1068" s="221" t="s">
        <v>212</v>
      </c>
      <c r="F1068" s="221">
        <v>2007</v>
      </c>
    </row>
    <row r="1069" spans="2:6">
      <c r="B1069" s="254">
        <v>38801</v>
      </c>
      <c r="C1069" s="221" t="s">
        <v>395</v>
      </c>
      <c r="D1069" s="101">
        <v>13804</v>
      </c>
      <c r="E1069" s="221" t="s">
        <v>213</v>
      </c>
      <c r="F1069" s="221">
        <v>2006</v>
      </c>
    </row>
    <row r="1070" spans="2:6">
      <c r="B1070" s="254">
        <v>39070</v>
      </c>
      <c r="C1070" s="221" t="s">
        <v>395</v>
      </c>
      <c r="D1070" s="101">
        <v>17719</v>
      </c>
      <c r="E1070" s="221" t="s">
        <v>211</v>
      </c>
      <c r="F1070" s="221">
        <v>2006</v>
      </c>
    </row>
    <row r="1071" spans="2:6">
      <c r="B1071" s="254">
        <v>39459</v>
      </c>
      <c r="C1071" s="221" t="s">
        <v>396</v>
      </c>
      <c r="D1071" s="101">
        <v>37812</v>
      </c>
      <c r="E1071" s="221" t="s">
        <v>210</v>
      </c>
      <c r="F1071" s="221">
        <v>2008</v>
      </c>
    </row>
    <row r="1072" spans="2:6">
      <c r="B1072" s="254">
        <v>39530</v>
      </c>
      <c r="C1072" s="221" t="s">
        <v>398</v>
      </c>
      <c r="D1072" s="101">
        <v>16821</v>
      </c>
      <c r="E1072" s="221" t="s">
        <v>210</v>
      </c>
      <c r="F1072" s="221">
        <v>2008</v>
      </c>
    </row>
    <row r="1073" spans="2:6">
      <c r="B1073" s="254">
        <v>38914</v>
      </c>
      <c r="C1073" s="221" t="s">
        <v>398</v>
      </c>
      <c r="D1073" s="101">
        <v>7954</v>
      </c>
      <c r="E1073" s="221" t="s">
        <v>210</v>
      </c>
      <c r="F1073" s="221">
        <v>2006</v>
      </c>
    </row>
    <row r="1074" spans="2:6">
      <c r="B1074" s="254">
        <v>39402</v>
      </c>
      <c r="C1074" s="221" t="s">
        <v>396</v>
      </c>
      <c r="D1074" s="101">
        <v>18850</v>
      </c>
      <c r="E1074" s="221" t="s">
        <v>211</v>
      </c>
      <c r="F1074" s="221">
        <v>2007</v>
      </c>
    </row>
    <row r="1075" spans="2:6">
      <c r="B1075" s="254">
        <v>38797</v>
      </c>
      <c r="C1075" s="221" t="s">
        <v>396</v>
      </c>
      <c r="D1075" s="101">
        <v>20214</v>
      </c>
      <c r="E1075" s="221" t="s">
        <v>212</v>
      </c>
      <c r="F1075" s="221">
        <v>2006</v>
      </c>
    </row>
    <row r="1076" spans="2:6">
      <c r="B1076" s="254">
        <v>39043</v>
      </c>
      <c r="C1076" s="221" t="s">
        <v>396</v>
      </c>
      <c r="D1076" s="101">
        <v>9143</v>
      </c>
      <c r="E1076" s="221" t="s">
        <v>210</v>
      </c>
      <c r="F1076" s="221">
        <v>2006</v>
      </c>
    </row>
    <row r="1077" spans="2:6">
      <c r="B1077" s="254">
        <v>39405</v>
      </c>
      <c r="C1077" s="221" t="s">
        <v>398</v>
      </c>
      <c r="D1077" s="101">
        <v>16702</v>
      </c>
      <c r="E1077" s="221" t="s">
        <v>212</v>
      </c>
      <c r="F1077" s="221">
        <v>2007</v>
      </c>
    </row>
    <row r="1078" spans="2:6">
      <c r="B1078" s="254">
        <v>38846</v>
      </c>
      <c r="C1078" s="221" t="s">
        <v>396</v>
      </c>
      <c r="D1078" s="101">
        <v>38925</v>
      </c>
      <c r="E1078" s="221" t="s">
        <v>211</v>
      </c>
      <c r="F1078" s="221">
        <v>2006</v>
      </c>
    </row>
    <row r="1079" spans="2:6">
      <c r="B1079" s="254">
        <v>39419</v>
      </c>
      <c r="C1079" s="221" t="s">
        <v>396</v>
      </c>
      <c r="D1079" s="101">
        <v>28765</v>
      </c>
      <c r="E1079" s="221" t="s">
        <v>212</v>
      </c>
      <c r="F1079" s="221">
        <v>2007</v>
      </c>
    </row>
    <row r="1080" spans="2:6">
      <c r="B1080" s="254">
        <v>39437</v>
      </c>
      <c r="C1080" s="221" t="s">
        <v>398</v>
      </c>
      <c r="D1080" s="101">
        <v>24222</v>
      </c>
      <c r="E1080" s="221" t="s">
        <v>213</v>
      </c>
      <c r="F1080" s="221">
        <v>2007</v>
      </c>
    </row>
    <row r="1081" spans="2:6">
      <c r="B1081" s="254">
        <v>38912</v>
      </c>
      <c r="C1081" s="221" t="s">
        <v>398</v>
      </c>
      <c r="D1081" s="101">
        <v>33474</v>
      </c>
      <c r="E1081" s="221" t="s">
        <v>212</v>
      </c>
      <c r="F1081" s="221">
        <v>2006</v>
      </c>
    </row>
    <row r="1082" spans="2:6">
      <c r="B1082" s="254">
        <v>39444</v>
      </c>
      <c r="C1082" s="221" t="s">
        <v>398</v>
      </c>
      <c r="D1082" s="101">
        <v>27712</v>
      </c>
      <c r="E1082" s="221" t="s">
        <v>213</v>
      </c>
      <c r="F1082" s="221">
        <v>2007</v>
      </c>
    </row>
    <row r="1083" spans="2:6">
      <c r="B1083" s="254">
        <v>39138</v>
      </c>
      <c r="C1083" s="221" t="s">
        <v>395</v>
      </c>
      <c r="D1083" s="101">
        <v>23565</v>
      </c>
      <c r="E1083" s="221" t="s">
        <v>213</v>
      </c>
      <c r="F1083" s="221">
        <v>2007</v>
      </c>
    </row>
    <row r="1084" spans="2:6">
      <c r="B1084" s="254">
        <v>38909</v>
      </c>
      <c r="C1084" s="221" t="s">
        <v>396</v>
      </c>
      <c r="D1084" s="101">
        <v>10128</v>
      </c>
      <c r="E1084" s="221" t="s">
        <v>213</v>
      </c>
      <c r="F1084" s="221">
        <v>2006</v>
      </c>
    </row>
    <row r="1085" spans="2:6">
      <c r="B1085" s="254">
        <v>38797</v>
      </c>
      <c r="C1085" s="221" t="s">
        <v>398</v>
      </c>
      <c r="D1085" s="101">
        <v>29866</v>
      </c>
      <c r="E1085" s="221" t="s">
        <v>210</v>
      </c>
      <c r="F1085" s="221">
        <v>2006</v>
      </c>
    </row>
    <row r="1086" spans="2:6">
      <c r="B1086" s="254">
        <v>38784</v>
      </c>
      <c r="C1086" s="221" t="s">
        <v>395</v>
      </c>
      <c r="D1086" s="101">
        <v>28262</v>
      </c>
      <c r="E1086" s="221" t="s">
        <v>210</v>
      </c>
      <c r="F1086" s="221">
        <v>2006</v>
      </c>
    </row>
    <row r="1087" spans="2:6">
      <c r="B1087" s="254">
        <v>39556</v>
      </c>
      <c r="C1087" s="221" t="s">
        <v>394</v>
      </c>
      <c r="D1087" s="101">
        <v>7904</v>
      </c>
      <c r="E1087" s="221" t="s">
        <v>210</v>
      </c>
      <c r="F1087" s="221">
        <v>2008</v>
      </c>
    </row>
    <row r="1088" spans="2:6">
      <c r="B1088" s="254">
        <v>39324</v>
      </c>
      <c r="C1088" s="221" t="s">
        <v>396</v>
      </c>
      <c r="D1088" s="101">
        <v>9637</v>
      </c>
      <c r="E1088" s="221" t="s">
        <v>211</v>
      </c>
      <c r="F1088" s="221">
        <v>2007</v>
      </c>
    </row>
    <row r="1089" spans="2:6">
      <c r="B1089" s="254">
        <v>39121</v>
      </c>
      <c r="C1089" s="221" t="s">
        <v>398</v>
      </c>
      <c r="D1089" s="101">
        <v>18477</v>
      </c>
      <c r="E1089" s="221" t="s">
        <v>212</v>
      </c>
      <c r="F1089" s="221">
        <v>2007</v>
      </c>
    </row>
    <row r="1090" spans="2:6">
      <c r="B1090" s="254">
        <v>39011</v>
      </c>
      <c r="C1090" s="221" t="s">
        <v>398</v>
      </c>
      <c r="D1090" s="101">
        <v>25074</v>
      </c>
      <c r="E1090" s="221" t="s">
        <v>212</v>
      </c>
      <c r="F1090" s="221">
        <v>2006</v>
      </c>
    </row>
    <row r="1091" spans="2:6">
      <c r="B1091" s="254">
        <v>39059</v>
      </c>
      <c r="C1091" s="221" t="s">
        <v>398</v>
      </c>
      <c r="D1091" s="101">
        <v>27511</v>
      </c>
      <c r="E1091" s="221" t="s">
        <v>210</v>
      </c>
      <c r="F1091" s="221">
        <v>2006</v>
      </c>
    </row>
    <row r="1092" spans="2:6">
      <c r="B1092" s="254">
        <v>39226</v>
      </c>
      <c r="C1092" s="221" t="s">
        <v>394</v>
      </c>
      <c r="D1092" s="101">
        <v>7533</v>
      </c>
      <c r="E1092" s="221" t="s">
        <v>211</v>
      </c>
      <c r="F1092" s="221">
        <v>2007</v>
      </c>
    </row>
    <row r="1093" spans="2:6">
      <c r="B1093" s="254">
        <v>39404</v>
      </c>
      <c r="C1093" s="221" t="s">
        <v>396</v>
      </c>
      <c r="D1093" s="101">
        <v>14882</v>
      </c>
      <c r="E1093" s="221" t="s">
        <v>210</v>
      </c>
      <c r="F1093" s="221">
        <v>2007</v>
      </c>
    </row>
    <row r="1094" spans="2:6">
      <c r="B1094" s="254">
        <v>38850</v>
      </c>
      <c r="C1094" s="221" t="s">
        <v>395</v>
      </c>
      <c r="D1094" s="101">
        <v>30538</v>
      </c>
      <c r="E1094" s="221" t="s">
        <v>212</v>
      </c>
      <c r="F1094" s="221">
        <v>2006</v>
      </c>
    </row>
    <row r="1095" spans="2:6">
      <c r="B1095" s="254">
        <v>39163</v>
      </c>
      <c r="C1095" s="221" t="s">
        <v>396</v>
      </c>
      <c r="D1095" s="101">
        <v>15756</v>
      </c>
      <c r="E1095" s="221" t="s">
        <v>213</v>
      </c>
      <c r="F1095" s="221">
        <v>2007</v>
      </c>
    </row>
    <row r="1096" spans="2:6">
      <c r="B1096" s="254">
        <v>39608</v>
      </c>
      <c r="C1096" s="221" t="s">
        <v>394</v>
      </c>
      <c r="D1096" s="101">
        <v>31196</v>
      </c>
      <c r="E1096" s="221" t="s">
        <v>211</v>
      </c>
      <c r="F1096" s="221">
        <v>2008</v>
      </c>
    </row>
    <row r="1097" spans="2:6">
      <c r="B1097" s="254">
        <v>39388</v>
      </c>
      <c r="C1097" s="221" t="s">
        <v>398</v>
      </c>
      <c r="D1097" s="101">
        <v>8312</v>
      </c>
      <c r="E1097" s="221" t="s">
        <v>213</v>
      </c>
      <c r="F1097" s="221">
        <v>2007</v>
      </c>
    </row>
    <row r="1098" spans="2:6">
      <c r="B1098" s="254">
        <v>39585</v>
      </c>
      <c r="C1098" s="221" t="s">
        <v>394</v>
      </c>
      <c r="D1098" s="101">
        <v>26209</v>
      </c>
      <c r="E1098" s="221" t="s">
        <v>210</v>
      </c>
      <c r="F1098" s="221">
        <v>2008</v>
      </c>
    </row>
    <row r="1099" spans="2:6">
      <c r="B1099" s="254">
        <v>39284</v>
      </c>
      <c r="C1099" s="221" t="s">
        <v>398</v>
      </c>
      <c r="D1099" s="101">
        <v>13131</v>
      </c>
      <c r="E1099" s="221" t="s">
        <v>212</v>
      </c>
      <c r="F1099" s="221">
        <v>2007</v>
      </c>
    </row>
    <row r="1100" spans="2:6">
      <c r="B1100" s="254">
        <v>39192</v>
      </c>
      <c r="C1100" s="221" t="s">
        <v>394</v>
      </c>
      <c r="D1100" s="101">
        <v>12704</v>
      </c>
      <c r="E1100" s="221" t="s">
        <v>212</v>
      </c>
      <c r="F1100" s="221">
        <v>2007</v>
      </c>
    </row>
    <row r="1101" spans="2:6">
      <c r="B1101" s="254">
        <v>38932</v>
      </c>
      <c r="C1101" s="221" t="s">
        <v>396</v>
      </c>
      <c r="D1101" s="101">
        <v>11020</v>
      </c>
      <c r="E1101" s="221" t="s">
        <v>211</v>
      </c>
      <c r="F1101" s="221">
        <v>2006</v>
      </c>
    </row>
    <row r="1102" spans="2:6">
      <c r="B1102" s="254">
        <v>38833</v>
      </c>
      <c r="C1102" s="221" t="s">
        <v>396</v>
      </c>
      <c r="D1102" s="101">
        <v>15403</v>
      </c>
      <c r="E1102" s="221" t="s">
        <v>210</v>
      </c>
      <c r="F1102" s="221">
        <v>2006</v>
      </c>
    </row>
    <row r="1103" spans="2:6">
      <c r="B1103" s="254">
        <v>38834</v>
      </c>
      <c r="C1103" s="221" t="s">
        <v>394</v>
      </c>
      <c r="D1103" s="101">
        <v>39712</v>
      </c>
      <c r="E1103" s="221" t="s">
        <v>211</v>
      </c>
      <c r="F1103" s="221">
        <v>2006</v>
      </c>
    </row>
    <row r="1104" spans="2:6">
      <c r="B1104" s="254">
        <v>38849</v>
      </c>
      <c r="C1104" s="221" t="s">
        <v>394</v>
      </c>
      <c r="D1104" s="101">
        <v>36177</v>
      </c>
      <c r="E1104" s="221" t="s">
        <v>210</v>
      </c>
      <c r="F1104" s="221">
        <v>2006</v>
      </c>
    </row>
    <row r="1105" spans="2:6">
      <c r="B1105" s="254">
        <v>38958</v>
      </c>
      <c r="C1105" s="221" t="s">
        <v>394</v>
      </c>
      <c r="D1105" s="101">
        <v>28553</v>
      </c>
      <c r="E1105" s="221" t="s">
        <v>211</v>
      </c>
      <c r="F1105" s="221">
        <v>2006</v>
      </c>
    </row>
    <row r="1106" spans="2:6">
      <c r="B1106" s="254">
        <v>39328</v>
      </c>
      <c r="C1106" s="221" t="s">
        <v>395</v>
      </c>
      <c r="D1106" s="101">
        <v>13991</v>
      </c>
      <c r="E1106" s="221" t="s">
        <v>213</v>
      </c>
      <c r="F1106" s="221">
        <v>2007</v>
      </c>
    </row>
    <row r="1107" spans="2:6">
      <c r="B1107" s="254">
        <v>39605</v>
      </c>
      <c r="C1107" s="221" t="s">
        <v>398</v>
      </c>
      <c r="D1107" s="101">
        <v>11451</v>
      </c>
      <c r="E1107" s="221" t="s">
        <v>213</v>
      </c>
      <c r="F1107" s="221">
        <v>2008</v>
      </c>
    </row>
    <row r="1108" spans="2:6">
      <c r="B1108" s="254">
        <v>39527</v>
      </c>
      <c r="C1108" s="221" t="s">
        <v>394</v>
      </c>
      <c r="D1108" s="101">
        <v>25790</v>
      </c>
      <c r="E1108" s="221" t="s">
        <v>211</v>
      </c>
      <c r="F1108" s="221">
        <v>2008</v>
      </c>
    </row>
    <row r="1109" spans="2:6">
      <c r="B1109" s="254">
        <v>39374</v>
      </c>
      <c r="C1109" s="221" t="s">
        <v>394</v>
      </c>
      <c r="D1109" s="101">
        <v>22008</v>
      </c>
      <c r="E1109" s="221" t="s">
        <v>211</v>
      </c>
      <c r="F1109" s="221">
        <v>2007</v>
      </c>
    </row>
    <row r="1110" spans="2:6">
      <c r="B1110" s="254">
        <v>39388</v>
      </c>
      <c r="C1110" s="221" t="s">
        <v>395</v>
      </c>
      <c r="D1110" s="101">
        <v>21330</v>
      </c>
      <c r="E1110" s="221" t="s">
        <v>210</v>
      </c>
      <c r="F1110" s="221">
        <v>2007</v>
      </c>
    </row>
    <row r="1111" spans="2:6">
      <c r="B1111" s="254">
        <v>39118</v>
      </c>
      <c r="C1111" s="221" t="s">
        <v>394</v>
      </c>
      <c r="D1111" s="101">
        <v>18110</v>
      </c>
      <c r="E1111" s="221" t="s">
        <v>210</v>
      </c>
      <c r="F1111" s="221">
        <v>2007</v>
      </c>
    </row>
    <row r="1112" spans="2:6">
      <c r="B1112" s="254">
        <v>38848</v>
      </c>
      <c r="C1112" s="221" t="s">
        <v>395</v>
      </c>
      <c r="D1112" s="101">
        <v>34437</v>
      </c>
      <c r="E1112" s="221" t="s">
        <v>210</v>
      </c>
      <c r="F1112" s="221">
        <v>2006</v>
      </c>
    </row>
    <row r="1113" spans="2:6">
      <c r="B1113" s="254">
        <v>39213</v>
      </c>
      <c r="C1113" s="221" t="s">
        <v>395</v>
      </c>
      <c r="D1113" s="101">
        <v>7174</v>
      </c>
      <c r="E1113" s="221" t="s">
        <v>210</v>
      </c>
      <c r="F1113" s="221">
        <v>2007</v>
      </c>
    </row>
    <row r="1114" spans="2:6">
      <c r="B1114" s="254">
        <v>39511</v>
      </c>
      <c r="C1114" s="221" t="s">
        <v>394</v>
      </c>
      <c r="D1114" s="101">
        <v>29006</v>
      </c>
      <c r="E1114" s="221" t="s">
        <v>212</v>
      </c>
      <c r="F1114" s="221">
        <v>2008</v>
      </c>
    </row>
    <row r="1115" spans="2:6">
      <c r="B1115" s="254">
        <v>39391</v>
      </c>
      <c r="C1115" s="221" t="s">
        <v>398</v>
      </c>
      <c r="D1115" s="101">
        <v>26265</v>
      </c>
      <c r="E1115" s="221" t="s">
        <v>211</v>
      </c>
      <c r="F1115" s="221">
        <v>2007</v>
      </c>
    </row>
    <row r="1116" spans="2:6">
      <c r="B1116" s="254">
        <v>38767</v>
      </c>
      <c r="C1116" s="221" t="s">
        <v>396</v>
      </c>
      <c r="D1116" s="101">
        <v>15198</v>
      </c>
      <c r="E1116" s="221" t="s">
        <v>213</v>
      </c>
      <c r="F1116" s="221">
        <v>2006</v>
      </c>
    </row>
    <row r="1117" spans="2:6">
      <c r="B1117" s="254">
        <v>38890</v>
      </c>
      <c r="C1117" s="221" t="s">
        <v>396</v>
      </c>
      <c r="D1117" s="101">
        <v>28283</v>
      </c>
      <c r="E1117" s="221" t="s">
        <v>213</v>
      </c>
      <c r="F1117" s="221">
        <v>2006</v>
      </c>
    </row>
    <row r="1118" spans="2:6">
      <c r="B1118" s="254">
        <v>39250</v>
      </c>
      <c r="C1118" s="221" t="s">
        <v>394</v>
      </c>
      <c r="D1118" s="101">
        <v>6891</v>
      </c>
      <c r="E1118" s="221" t="s">
        <v>212</v>
      </c>
      <c r="F1118" s="221">
        <v>2007</v>
      </c>
    </row>
    <row r="1119" spans="2:6">
      <c r="B1119" s="254">
        <v>39026</v>
      </c>
      <c r="C1119" s="221" t="s">
        <v>395</v>
      </c>
      <c r="D1119" s="101">
        <v>34989</v>
      </c>
      <c r="E1119" s="221" t="s">
        <v>213</v>
      </c>
      <c r="F1119" s="221">
        <v>2006</v>
      </c>
    </row>
    <row r="1120" spans="2:6">
      <c r="B1120" s="254">
        <v>38971</v>
      </c>
      <c r="C1120" s="221" t="s">
        <v>398</v>
      </c>
      <c r="D1120" s="101">
        <v>26791</v>
      </c>
      <c r="E1120" s="221" t="s">
        <v>211</v>
      </c>
      <c r="F1120" s="221">
        <v>2006</v>
      </c>
    </row>
    <row r="1121" spans="2:6">
      <c r="B1121" s="254">
        <v>39402</v>
      </c>
      <c r="C1121" s="221" t="s">
        <v>396</v>
      </c>
      <c r="D1121" s="101">
        <v>28739</v>
      </c>
      <c r="E1121" s="221" t="s">
        <v>211</v>
      </c>
      <c r="F1121" s="221">
        <v>2007</v>
      </c>
    </row>
    <row r="1122" spans="2:6">
      <c r="B1122" s="254">
        <v>38898</v>
      </c>
      <c r="C1122" s="221" t="s">
        <v>396</v>
      </c>
      <c r="D1122" s="101">
        <v>30673</v>
      </c>
      <c r="E1122" s="221" t="s">
        <v>210</v>
      </c>
      <c r="F1122" s="221">
        <v>2006</v>
      </c>
    </row>
    <row r="1123" spans="2:6">
      <c r="B1123" s="254">
        <v>38743</v>
      </c>
      <c r="C1123" s="221" t="s">
        <v>398</v>
      </c>
      <c r="D1123" s="101">
        <v>10455</v>
      </c>
      <c r="E1123" s="221" t="s">
        <v>212</v>
      </c>
      <c r="F1123" s="221">
        <v>2006</v>
      </c>
    </row>
    <row r="1124" spans="2:6">
      <c r="B1124" s="254">
        <v>38770</v>
      </c>
      <c r="C1124" s="221" t="s">
        <v>396</v>
      </c>
      <c r="D1124" s="101">
        <v>32273</v>
      </c>
      <c r="E1124" s="221" t="s">
        <v>211</v>
      </c>
      <c r="F1124" s="221">
        <v>2006</v>
      </c>
    </row>
    <row r="1125" spans="2:6">
      <c r="B1125" s="254">
        <v>38963</v>
      </c>
      <c r="C1125" s="221" t="s">
        <v>396</v>
      </c>
      <c r="D1125" s="101">
        <v>5933</v>
      </c>
      <c r="E1125" s="221" t="s">
        <v>212</v>
      </c>
      <c r="F1125" s="221">
        <v>2006</v>
      </c>
    </row>
    <row r="1126" spans="2:6">
      <c r="B1126" s="254">
        <v>38934</v>
      </c>
      <c r="C1126" s="221" t="s">
        <v>396</v>
      </c>
      <c r="D1126" s="101">
        <v>16299</v>
      </c>
      <c r="E1126" s="221" t="s">
        <v>211</v>
      </c>
      <c r="F1126" s="221">
        <v>2006</v>
      </c>
    </row>
    <row r="1127" spans="2:6">
      <c r="B1127" s="254">
        <v>39274</v>
      </c>
      <c r="C1127" s="221" t="s">
        <v>395</v>
      </c>
      <c r="D1127" s="101">
        <v>11719</v>
      </c>
      <c r="E1127" s="221" t="s">
        <v>211</v>
      </c>
      <c r="F1127" s="221">
        <v>2007</v>
      </c>
    </row>
    <row r="1128" spans="2:6">
      <c r="B1128" s="254">
        <v>38930</v>
      </c>
      <c r="C1128" s="221" t="s">
        <v>396</v>
      </c>
      <c r="D1128" s="101">
        <v>21252</v>
      </c>
      <c r="E1128" s="221" t="s">
        <v>212</v>
      </c>
      <c r="F1128" s="221">
        <v>2006</v>
      </c>
    </row>
    <row r="1129" spans="2:6">
      <c r="B1129" s="254">
        <v>39085</v>
      </c>
      <c r="C1129" s="221" t="s">
        <v>398</v>
      </c>
      <c r="D1129" s="101">
        <v>22979</v>
      </c>
      <c r="E1129" s="221" t="s">
        <v>211</v>
      </c>
      <c r="F1129" s="221">
        <v>2007</v>
      </c>
    </row>
    <row r="1130" spans="2:6">
      <c r="B1130" s="254">
        <v>39545</v>
      </c>
      <c r="C1130" s="221" t="s">
        <v>395</v>
      </c>
      <c r="D1130" s="101">
        <v>15881</v>
      </c>
      <c r="E1130" s="221" t="s">
        <v>213</v>
      </c>
      <c r="F1130" s="221">
        <v>2008</v>
      </c>
    </row>
    <row r="1131" spans="2:6">
      <c r="B1131" s="254">
        <v>39331</v>
      </c>
      <c r="C1131" s="221" t="s">
        <v>398</v>
      </c>
      <c r="D1131" s="101">
        <v>32223</v>
      </c>
      <c r="E1131" s="221" t="s">
        <v>210</v>
      </c>
      <c r="F1131" s="221">
        <v>2007</v>
      </c>
    </row>
    <row r="1132" spans="2:6">
      <c r="B1132" s="254">
        <v>39484</v>
      </c>
      <c r="C1132" s="221" t="s">
        <v>395</v>
      </c>
      <c r="D1132" s="101">
        <v>9311</v>
      </c>
      <c r="E1132" s="221" t="s">
        <v>212</v>
      </c>
      <c r="F1132" s="221">
        <v>2008</v>
      </c>
    </row>
    <row r="1133" spans="2:6">
      <c r="B1133" s="254">
        <v>39151</v>
      </c>
      <c r="C1133" s="221" t="s">
        <v>394</v>
      </c>
      <c r="D1133" s="101">
        <v>34264</v>
      </c>
      <c r="E1133" s="221" t="s">
        <v>210</v>
      </c>
      <c r="F1133" s="221">
        <v>2007</v>
      </c>
    </row>
    <row r="1134" spans="2:6">
      <c r="B1134" s="254">
        <v>39219</v>
      </c>
      <c r="C1134" s="221" t="s">
        <v>398</v>
      </c>
      <c r="D1134" s="101">
        <v>21595</v>
      </c>
      <c r="E1134" s="221" t="s">
        <v>210</v>
      </c>
      <c r="F1134" s="221">
        <v>2007</v>
      </c>
    </row>
    <row r="1135" spans="2:6">
      <c r="B1135" s="254">
        <v>39308</v>
      </c>
      <c r="C1135" s="221" t="s">
        <v>398</v>
      </c>
      <c r="D1135" s="101">
        <v>7471</v>
      </c>
      <c r="E1135" s="221" t="s">
        <v>213</v>
      </c>
      <c r="F1135" s="221">
        <v>2007</v>
      </c>
    </row>
    <row r="1136" spans="2:6">
      <c r="B1136" s="254">
        <v>38861</v>
      </c>
      <c r="C1136" s="221" t="s">
        <v>394</v>
      </c>
      <c r="D1136" s="101">
        <v>8600</v>
      </c>
      <c r="E1136" s="221" t="s">
        <v>212</v>
      </c>
      <c r="F1136" s="221">
        <v>2006</v>
      </c>
    </row>
    <row r="1137" spans="2:6">
      <c r="B1137" s="254">
        <v>39093</v>
      </c>
      <c r="C1137" s="221" t="s">
        <v>395</v>
      </c>
      <c r="D1137" s="101">
        <v>14811</v>
      </c>
      <c r="E1137" s="221" t="s">
        <v>213</v>
      </c>
      <c r="F1137" s="221">
        <v>2007</v>
      </c>
    </row>
    <row r="1138" spans="2:6">
      <c r="B1138" s="254">
        <v>39122</v>
      </c>
      <c r="C1138" s="221" t="s">
        <v>398</v>
      </c>
      <c r="D1138" s="101">
        <v>9785</v>
      </c>
      <c r="E1138" s="221" t="s">
        <v>211</v>
      </c>
      <c r="F1138" s="221">
        <v>2007</v>
      </c>
    </row>
    <row r="1139" spans="2:6">
      <c r="B1139" s="254">
        <v>39036</v>
      </c>
      <c r="C1139" s="221" t="s">
        <v>394</v>
      </c>
      <c r="D1139" s="101">
        <v>11662</v>
      </c>
      <c r="E1139" s="221" t="s">
        <v>211</v>
      </c>
      <c r="F1139" s="221">
        <v>2006</v>
      </c>
    </row>
    <row r="1140" spans="2:6">
      <c r="B1140" s="254">
        <v>38775</v>
      </c>
      <c r="C1140" s="221" t="s">
        <v>394</v>
      </c>
      <c r="D1140" s="101">
        <v>25420</v>
      </c>
      <c r="E1140" s="221" t="s">
        <v>213</v>
      </c>
      <c r="F1140" s="221">
        <v>2006</v>
      </c>
    </row>
    <row r="1141" spans="2:6">
      <c r="B1141" s="254">
        <v>39276</v>
      </c>
      <c r="C1141" s="221" t="s">
        <v>395</v>
      </c>
      <c r="D1141" s="101">
        <v>31951</v>
      </c>
      <c r="E1141" s="221" t="s">
        <v>211</v>
      </c>
      <c r="F1141" s="221">
        <v>2007</v>
      </c>
    </row>
    <row r="1142" spans="2:6">
      <c r="B1142" s="254">
        <v>39179</v>
      </c>
      <c r="C1142" s="221" t="s">
        <v>396</v>
      </c>
      <c r="D1142" s="101">
        <v>16639</v>
      </c>
      <c r="E1142" s="221" t="s">
        <v>210</v>
      </c>
      <c r="F1142" s="221">
        <v>2007</v>
      </c>
    </row>
    <row r="1143" spans="2:6">
      <c r="B1143" s="254">
        <v>39303</v>
      </c>
      <c r="C1143" s="221" t="s">
        <v>398</v>
      </c>
      <c r="D1143" s="101">
        <v>20764</v>
      </c>
      <c r="E1143" s="221" t="s">
        <v>210</v>
      </c>
      <c r="F1143" s="221">
        <v>2007</v>
      </c>
    </row>
    <row r="1144" spans="2:6">
      <c r="B1144" s="254">
        <v>39191</v>
      </c>
      <c r="C1144" s="221" t="s">
        <v>396</v>
      </c>
      <c r="D1144" s="101">
        <v>26400</v>
      </c>
      <c r="E1144" s="221" t="s">
        <v>212</v>
      </c>
      <c r="F1144" s="221">
        <v>2007</v>
      </c>
    </row>
    <row r="1145" spans="2:6">
      <c r="B1145" s="254">
        <v>39608</v>
      </c>
      <c r="C1145" s="221" t="s">
        <v>394</v>
      </c>
      <c r="D1145" s="101">
        <v>25231</v>
      </c>
      <c r="E1145" s="221" t="s">
        <v>210</v>
      </c>
      <c r="F1145" s="221">
        <v>2008</v>
      </c>
    </row>
    <row r="1146" spans="2:6">
      <c r="B1146" s="254">
        <v>39541</v>
      </c>
      <c r="C1146" s="221" t="s">
        <v>396</v>
      </c>
      <c r="D1146" s="101">
        <v>36432</v>
      </c>
      <c r="E1146" s="221" t="s">
        <v>212</v>
      </c>
      <c r="F1146" s="221">
        <v>2008</v>
      </c>
    </row>
    <row r="1147" spans="2:6">
      <c r="B1147" s="254">
        <v>38720</v>
      </c>
      <c r="C1147" s="221" t="s">
        <v>396</v>
      </c>
      <c r="D1147" s="101">
        <v>37804</v>
      </c>
      <c r="E1147" s="221" t="s">
        <v>211</v>
      </c>
      <c r="F1147" s="221">
        <v>2006</v>
      </c>
    </row>
    <row r="1148" spans="2:6">
      <c r="B1148" s="254">
        <v>39148</v>
      </c>
      <c r="C1148" s="221" t="s">
        <v>394</v>
      </c>
      <c r="D1148" s="101">
        <v>22371</v>
      </c>
      <c r="E1148" s="221" t="s">
        <v>212</v>
      </c>
      <c r="F1148" s="221">
        <v>2007</v>
      </c>
    </row>
    <row r="1149" spans="2:6">
      <c r="B1149" s="254">
        <v>39553</v>
      </c>
      <c r="C1149" s="221" t="s">
        <v>396</v>
      </c>
      <c r="D1149" s="101">
        <v>28487</v>
      </c>
      <c r="E1149" s="221" t="s">
        <v>212</v>
      </c>
      <c r="F1149" s="221">
        <v>2008</v>
      </c>
    </row>
    <row r="1150" spans="2:6">
      <c r="B1150" s="254">
        <v>38968</v>
      </c>
      <c r="C1150" s="221" t="s">
        <v>395</v>
      </c>
      <c r="D1150" s="101">
        <v>36439</v>
      </c>
      <c r="E1150" s="221" t="s">
        <v>211</v>
      </c>
      <c r="F1150" s="221">
        <v>2006</v>
      </c>
    </row>
    <row r="1151" spans="2:6">
      <c r="B1151" s="254">
        <v>39414</v>
      </c>
      <c r="C1151" s="221" t="s">
        <v>396</v>
      </c>
      <c r="D1151" s="101">
        <v>9236</v>
      </c>
      <c r="E1151" s="221" t="s">
        <v>213</v>
      </c>
      <c r="F1151" s="221">
        <v>2007</v>
      </c>
    </row>
    <row r="1152" spans="2:6">
      <c r="B1152" s="254">
        <v>39503</v>
      </c>
      <c r="C1152" s="221" t="s">
        <v>396</v>
      </c>
      <c r="D1152" s="101">
        <v>14253</v>
      </c>
      <c r="E1152" s="221" t="s">
        <v>210</v>
      </c>
      <c r="F1152" s="221">
        <v>2008</v>
      </c>
    </row>
    <row r="1153" spans="2:6">
      <c r="B1153" s="254">
        <v>39122</v>
      </c>
      <c r="C1153" s="221" t="s">
        <v>398</v>
      </c>
      <c r="D1153" s="101">
        <v>17199</v>
      </c>
      <c r="E1153" s="221" t="s">
        <v>210</v>
      </c>
      <c r="F1153" s="221">
        <v>2007</v>
      </c>
    </row>
    <row r="1154" spans="2:6">
      <c r="B1154" s="254">
        <v>39531</v>
      </c>
      <c r="C1154" s="221" t="s">
        <v>395</v>
      </c>
      <c r="D1154" s="101">
        <v>35787</v>
      </c>
      <c r="E1154" s="221" t="s">
        <v>211</v>
      </c>
      <c r="F1154" s="221">
        <v>2008</v>
      </c>
    </row>
    <row r="1155" spans="2:6">
      <c r="B1155" s="254">
        <v>39187</v>
      </c>
      <c r="C1155" s="221" t="s">
        <v>396</v>
      </c>
      <c r="D1155" s="101">
        <v>39139</v>
      </c>
      <c r="E1155" s="221" t="s">
        <v>210</v>
      </c>
      <c r="F1155" s="221">
        <v>2007</v>
      </c>
    </row>
    <row r="1156" spans="2:6">
      <c r="B1156" s="254">
        <v>38965</v>
      </c>
      <c r="C1156" s="221" t="s">
        <v>396</v>
      </c>
      <c r="D1156" s="101">
        <v>10342</v>
      </c>
      <c r="E1156" s="221" t="s">
        <v>213</v>
      </c>
      <c r="F1156" s="221">
        <v>2006</v>
      </c>
    </row>
    <row r="1157" spans="2:6">
      <c r="B1157" s="254">
        <v>39300</v>
      </c>
      <c r="C1157" s="221" t="s">
        <v>396</v>
      </c>
      <c r="D1157" s="101">
        <v>33208</v>
      </c>
      <c r="E1157" s="221" t="s">
        <v>210</v>
      </c>
      <c r="F1157" s="221">
        <v>2007</v>
      </c>
    </row>
    <row r="1158" spans="2:6">
      <c r="B1158" s="254">
        <v>38820</v>
      </c>
      <c r="C1158" s="221" t="s">
        <v>396</v>
      </c>
      <c r="D1158" s="101">
        <v>31130</v>
      </c>
      <c r="E1158" s="221" t="s">
        <v>210</v>
      </c>
      <c r="F1158" s="221">
        <v>2006</v>
      </c>
    </row>
    <row r="1159" spans="2:6">
      <c r="D1159" s="100"/>
    </row>
    <row r="1161" spans="2:6">
      <c r="D1161" s="265"/>
    </row>
    <row r="1163" spans="2:6">
      <c r="D1163" s="265"/>
    </row>
    <row r="1165" spans="2:6">
      <c r="D1165" s="265"/>
    </row>
    <row r="1168" spans="2:6">
      <c r="D1168" s="265"/>
    </row>
    <row r="1170" spans="4:4">
      <c r="D1170" s="265"/>
    </row>
    <row r="1171" spans="4:4">
      <c r="D1171" s="265"/>
    </row>
    <row r="1173" spans="4:4">
      <c r="D1173" s="265"/>
    </row>
    <row r="1174" spans="4:4">
      <c r="D1174" s="265"/>
    </row>
    <row r="1175" spans="4:4">
      <c r="D1175" s="265"/>
    </row>
    <row r="1177" spans="4:4">
      <c r="D1177" s="265"/>
    </row>
    <row r="1178" spans="4:4">
      <c r="D1178" s="265"/>
    </row>
    <row r="1203" spans="4:4">
      <c r="D1203" s="265"/>
    </row>
    <row r="1205" spans="4:4">
      <c r="D1205" s="265"/>
    </row>
    <row r="1213" spans="4:4">
      <c r="D1213" s="265"/>
    </row>
    <row r="1214" spans="4:4">
      <c r="D1214" s="265"/>
    </row>
    <row r="1215" spans="4:4">
      <c r="D1215" s="265"/>
    </row>
    <row r="1218" spans="4:4">
      <c r="D1218" s="265"/>
    </row>
    <row r="1250" spans="4:4">
      <c r="D1250" s="265"/>
    </row>
    <row r="1253" spans="4:4">
      <c r="D1253" s="265"/>
    </row>
    <row r="1254" spans="4:4">
      <c r="D1254" s="265"/>
    </row>
    <row r="1285" spans="4:4">
      <c r="D1285" s="265"/>
    </row>
    <row r="1288" spans="4:4">
      <c r="D1288" s="265"/>
    </row>
    <row r="1290" spans="4:4">
      <c r="D1290" s="265"/>
    </row>
    <row r="1293" spans="4:4">
      <c r="D1293" s="265"/>
    </row>
    <row r="1294" spans="4:4">
      <c r="D1294" s="265"/>
    </row>
    <row r="1298" spans="4:4">
      <c r="D1298" s="265"/>
    </row>
    <row r="1311" spans="4:4">
      <c r="D1311" s="265"/>
    </row>
    <row r="1323" spans="4:4">
      <c r="D1323" s="265"/>
    </row>
    <row r="1325" spans="4:4">
      <c r="D1325" s="265"/>
    </row>
    <row r="1328" spans="4:4">
      <c r="D1328" s="265"/>
    </row>
    <row r="1330" spans="4:4">
      <c r="D1330" s="265"/>
    </row>
    <row r="1333" spans="4:4">
      <c r="D1333" s="265"/>
    </row>
    <row r="1334" spans="4:4">
      <c r="D1334" s="265"/>
    </row>
    <row r="1335" spans="4:4">
      <c r="D1335" s="265"/>
    </row>
    <row r="1338" spans="4:4">
      <c r="D1338" s="265"/>
    </row>
    <row r="1351" spans="4:4">
      <c r="D1351" s="265"/>
    </row>
    <row r="1353" spans="4:4">
      <c r="D1353" s="265"/>
    </row>
    <row r="1361" spans="4:4">
      <c r="D1361" s="265"/>
    </row>
    <row r="1363" spans="4:4">
      <c r="D1363" s="265"/>
    </row>
    <row r="1365" spans="4:4">
      <c r="D1365" s="265"/>
    </row>
    <row r="1368" spans="4:4">
      <c r="D1368" s="265"/>
    </row>
    <row r="1370" spans="4:4">
      <c r="D1370" s="265"/>
    </row>
    <row r="1371" spans="4:4">
      <c r="D1371" s="265"/>
    </row>
    <row r="1373" spans="4:4">
      <c r="D1373" s="265"/>
    </row>
    <row r="1374" spans="4:4">
      <c r="D1374" s="265"/>
    </row>
    <row r="1375" spans="4:4">
      <c r="D1375" s="265"/>
    </row>
    <row r="1377" spans="4:4">
      <c r="D1377" s="265"/>
    </row>
    <row r="1378" spans="4:4">
      <c r="D1378" s="265"/>
    </row>
    <row r="1390" spans="4:4">
      <c r="D1390" s="265"/>
    </row>
    <row r="1391" spans="4:4">
      <c r="D1391" s="265"/>
    </row>
    <row r="1393" spans="4:4">
      <c r="D1393" s="265"/>
    </row>
    <row r="1403" spans="4:4">
      <c r="D1403" s="265"/>
    </row>
    <row r="1405" spans="4:4">
      <c r="D1405" s="265"/>
    </row>
    <row r="1408" spans="4:4">
      <c r="D1408" s="265"/>
    </row>
    <row r="1410" spans="4:4">
      <c r="D1410" s="265"/>
    </row>
    <row r="1413" spans="4:4">
      <c r="D1413" s="265"/>
    </row>
    <row r="1414" spans="4:4">
      <c r="D1414" s="265"/>
    </row>
    <row r="1415" spans="4:4">
      <c r="D1415" s="265"/>
    </row>
    <row r="1418" spans="4:4">
      <c r="D1418" s="265"/>
    </row>
    <row r="1420" spans="4:4">
      <c r="D1420" s="265"/>
    </row>
    <row r="1431" spans="4:4">
      <c r="D1431" s="265"/>
    </row>
    <row r="1433" spans="4:4">
      <c r="D1433" s="265"/>
    </row>
    <row r="1435" spans="4:4">
      <c r="D1435" s="265"/>
    </row>
    <row r="1439" spans="4:4">
      <c r="D1439" s="265"/>
    </row>
    <row r="1441" spans="4:4">
      <c r="D1441" s="265"/>
    </row>
    <row r="1443" spans="4:4">
      <c r="D1443" s="265"/>
    </row>
    <row r="1445" spans="4:4">
      <c r="D1445" s="265"/>
    </row>
    <row r="1453" spans="4:4">
      <c r="D1453" s="265"/>
    </row>
    <row r="1454" spans="4:4">
      <c r="D1454" s="265"/>
    </row>
    <row r="1458" spans="4:4">
      <c r="D1458" s="265"/>
    </row>
    <row r="1490" spans="4:4">
      <c r="D1490" s="265"/>
    </row>
    <row r="1492" spans="4:4">
      <c r="D1492" s="265"/>
    </row>
    <row r="1493" spans="4:4">
      <c r="D1493" s="265"/>
    </row>
    <row r="1494" spans="4:4">
      <c r="D1494" s="265"/>
    </row>
    <row r="1503" spans="4:4">
      <c r="D1503" s="265"/>
    </row>
    <row r="1505" spans="4:4">
      <c r="D1505" s="265"/>
    </row>
    <row r="1511" spans="4:4">
      <c r="D1511" s="265"/>
    </row>
    <row r="1513" spans="4:4">
      <c r="D1513" s="265"/>
    </row>
    <row r="1523" spans="4:4">
      <c r="D1523" s="265"/>
    </row>
    <row r="1525" spans="4:4">
      <c r="D1525" s="265"/>
    </row>
    <row r="1528" spans="4:4">
      <c r="D1528" s="265"/>
    </row>
    <row r="1530" spans="4:4">
      <c r="D1530" s="265"/>
    </row>
    <row r="1533" spans="4:4">
      <c r="D1533" s="265"/>
    </row>
    <row r="1534" spans="4:4">
      <c r="D1534" s="265"/>
    </row>
    <row r="1535" spans="4:4">
      <c r="D1535" s="265"/>
    </row>
    <row r="1538" spans="4:4">
      <c r="D1538" s="265"/>
    </row>
    <row r="1551" spans="4:4">
      <c r="D1551" s="265"/>
    </row>
    <row r="1553" spans="4:4">
      <c r="D1553" s="265"/>
    </row>
    <row r="1555" spans="4:4">
      <c r="D1555" s="265"/>
    </row>
    <row r="1559" spans="4:4">
      <c r="D1559" s="265"/>
    </row>
    <row r="1565" spans="4:4">
      <c r="D1565" s="265"/>
    </row>
    <row r="1568" spans="4:4">
      <c r="D1568" s="265"/>
    </row>
    <row r="1570" spans="4:4">
      <c r="D1570" s="265"/>
    </row>
    <row r="1572" spans="4:4">
      <c r="D1572" s="265"/>
    </row>
    <row r="1573" spans="4:4">
      <c r="D1573" s="265"/>
    </row>
    <row r="1574" spans="4:4">
      <c r="D1574" s="265"/>
    </row>
    <row r="1575" spans="4:4">
      <c r="D1575" s="265"/>
    </row>
    <row r="1578" spans="4:4">
      <c r="D1578" s="265"/>
    </row>
    <row r="1591" spans="4:4">
      <c r="D1591" s="265"/>
    </row>
    <row r="1593" spans="4:4">
      <c r="D1593" s="265"/>
    </row>
    <row r="1601" spans="4:4">
      <c r="D1601" s="265"/>
    </row>
    <row r="1603" spans="4:4">
      <c r="D1603" s="265"/>
    </row>
    <row r="1605" spans="4:4">
      <c r="D1605" s="265"/>
    </row>
    <row r="1608" spans="4:4">
      <c r="D1608" s="265"/>
    </row>
    <row r="1610" spans="4:4">
      <c r="D1610" s="265"/>
    </row>
    <row r="1613" spans="4:4">
      <c r="D1613" s="265"/>
    </row>
    <row r="1614" spans="4:4">
      <c r="D1614" s="265"/>
    </row>
    <row r="1615" spans="4:4">
      <c r="D1615" s="265"/>
    </row>
    <row r="1618" spans="4:4">
      <c r="D1618" s="265"/>
    </row>
    <row r="1631" spans="4:4">
      <c r="D1631" s="265"/>
    </row>
    <row r="1633" spans="4:4">
      <c r="D1633" s="265"/>
    </row>
    <row r="1643" spans="4:4">
      <c r="D1643" s="265"/>
    </row>
    <row r="1645" spans="4:4">
      <c r="D1645" s="265"/>
    </row>
    <row r="1653" spans="4:4">
      <c r="D1653" s="265"/>
    </row>
    <row r="1654" spans="4:4">
      <c r="D1654" s="265"/>
    </row>
    <row r="1655" spans="4:4">
      <c r="D1655" s="265"/>
    </row>
    <row r="1658" spans="4:4">
      <c r="D1658" s="265"/>
    </row>
    <row r="1693" spans="4:4">
      <c r="D1693" s="265"/>
    </row>
    <row r="1694" spans="4:4">
      <c r="D1694" s="265"/>
    </row>
    <row r="1695" spans="4:4">
      <c r="D1695" s="265"/>
    </row>
    <row r="1698" spans="4:4">
      <c r="D1698" s="265"/>
    </row>
    <row r="1728" spans="4:4">
      <c r="D1728" s="265"/>
    </row>
    <row r="1730" spans="4:4">
      <c r="D1730" s="265"/>
    </row>
    <row r="1733" spans="4:4">
      <c r="D1733" s="265"/>
    </row>
    <row r="1734" spans="4:4">
      <c r="D1734" s="265"/>
    </row>
    <row r="1735" spans="4:4">
      <c r="D1735" s="265"/>
    </row>
    <row r="1738" spans="4:4">
      <c r="D1738" s="265"/>
    </row>
    <row r="1751" spans="4:4">
      <c r="D1751" s="265"/>
    </row>
    <row r="1753" spans="4:4">
      <c r="D1753" s="265"/>
    </row>
    <row r="1763" spans="4:4">
      <c r="D1763" s="265"/>
    </row>
    <row r="1765" spans="4:4">
      <c r="D1765" s="265"/>
    </row>
    <row r="1768" spans="4:4">
      <c r="D1768" s="265"/>
    </row>
    <row r="1770" spans="4:4">
      <c r="D1770" s="265"/>
    </row>
    <row r="1773" spans="4:4">
      <c r="D1773" s="265"/>
    </row>
    <row r="1774" spans="4:4">
      <c r="D1774" s="265"/>
    </row>
    <row r="1775" spans="4:4">
      <c r="D1775" s="265"/>
    </row>
    <row r="1778" spans="4:4">
      <c r="D1778" s="265"/>
    </row>
    <row r="1791" spans="4:4">
      <c r="D1791" s="265"/>
    </row>
    <row r="1793" spans="4:4">
      <c r="D1793" s="265"/>
    </row>
    <row r="1803" spans="4:4">
      <c r="D1803" s="265"/>
    </row>
    <row r="1805" spans="4:4">
      <c r="D1805" s="265"/>
    </row>
    <row r="1813" spans="4:4">
      <c r="D1813" s="265"/>
    </row>
    <row r="1814" spans="4:4">
      <c r="D1814" s="265"/>
    </row>
    <row r="1815" spans="4:4">
      <c r="D1815" s="265"/>
    </row>
    <row r="1818" spans="4:4">
      <c r="D1818" s="265"/>
    </row>
    <row r="1853" spans="4:4">
      <c r="D1853" s="265"/>
    </row>
    <row r="1854" spans="4:4">
      <c r="D1854" s="265"/>
    </row>
    <row r="1855" spans="4:4">
      <c r="D1855" s="265"/>
    </row>
    <row r="1858" spans="4:4">
      <c r="D1858" s="265"/>
    </row>
    <row r="1890" spans="4:4">
      <c r="D1890" s="265"/>
    </row>
    <row r="1893" spans="4:4">
      <c r="D1893" s="265"/>
    </row>
    <row r="1894" spans="4:4">
      <c r="D1894" s="265"/>
    </row>
    <row r="1895" spans="4:4">
      <c r="D1895" s="265"/>
    </row>
    <row r="1898" spans="4:4">
      <c r="D1898" s="265"/>
    </row>
    <row r="1925" spans="4:4">
      <c r="D1925" s="265"/>
    </row>
    <row r="1933" spans="4:4">
      <c r="D1933" s="265"/>
    </row>
    <row r="1934" spans="4:4">
      <c r="D1934" s="265"/>
    </row>
    <row r="1935" spans="4:4">
      <c r="D1935" s="265"/>
    </row>
    <row r="1938" spans="4:4">
      <c r="D1938" s="265"/>
    </row>
    <row r="1943" spans="4:4">
      <c r="D1943" s="265"/>
    </row>
    <row r="1945" spans="4:4">
      <c r="D1945" s="265"/>
    </row>
    <row r="1970" spans="4:4">
      <c r="D1970" s="265"/>
    </row>
    <row r="1973" spans="4:4">
      <c r="D1973" s="265"/>
    </row>
    <row r="1974" spans="4:4">
      <c r="D1974" s="265"/>
    </row>
    <row r="1975" spans="4:4">
      <c r="D1975" s="265"/>
    </row>
    <row r="1978" spans="4:4">
      <c r="D1978" s="265"/>
    </row>
    <row r="2001" spans="4:4">
      <c r="D2001" s="265"/>
    </row>
    <row r="2003" spans="4:4">
      <c r="D2003" s="265"/>
    </row>
    <row r="2005" spans="4:4">
      <c r="D2005" s="265"/>
    </row>
    <row r="2013" spans="4:4">
      <c r="D2013" s="265"/>
    </row>
    <row r="2014" spans="4:4">
      <c r="D2014" s="265"/>
    </row>
    <row r="2015" spans="4:4">
      <c r="D2015" s="265"/>
    </row>
    <row r="2018" spans="4:4">
      <c r="D2018" s="265"/>
    </row>
    <row r="2048" spans="4:4">
      <c r="D2048" s="265"/>
    </row>
    <row r="2050" spans="4:4">
      <c r="D2050" s="265"/>
    </row>
    <row r="2053" spans="4:4">
      <c r="D2053" s="265"/>
    </row>
    <row r="2054" spans="4:4">
      <c r="D2054" s="265"/>
    </row>
    <row r="2055" spans="4:4">
      <c r="D2055" s="265"/>
    </row>
    <row r="2058" spans="4:4">
      <c r="D2058" s="265"/>
    </row>
    <row r="2071" spans="4:4">
      <c r="D2071" s="265"/>
    </row>
    <row r="2073" spans="4:4">
      <c r="D2073" s="265"/>
    </row>
    <row r="2085" spans="4:4">
      <c r="D2085" s="265"/>
    </row>
    <row r="2093" spans="4:4">
      <c r="D2093" s="265"/>
    </row>
    <row r="2094" spans="4:4">
      <c r="D2094" s="265"/>
    </row>
    <row r="2103" spans="4:4">
      <c r="D2103" s="265"/>
    </row>
    <row r="2105" spans="4:4">
      <c r="D2105" s="265"/>
    </row>
    <row r="2133" spans="4:4">
      <c r="D2133" s="265"/>
    </row>
    <row r="2134" spans="4:4">
      <c r="D2134" s="265"/>
    </row>
    <row r="2135" spans="4:4">
      <c r="D2135" s="265"/>
    </row>
    <row r="2138" spans="4:4">
      <c r="D2138" s="265"/>
    </row>
    <row r="2143" spans="4:4">
      <c r="D2143" s="265"/>
    </row>
    <row r="2173" spans="4:4">
      <c r="D2173" s="265"/>
    </row>
    <row r="2174" spans="4:4">
      <c r="D2174" s="265"/>
    </row>
    <row r="2178" spans="4:4">
      <c r="D2178" s="265"/>
    </row>
    <row r="2213" spans="4:4">
      <c r="D2213" s="265"/>
    </row>
    <row r="2214" spans="4:4">
      <c r="D2214" s="265"/>
    </row>
    <row r="2215" spans="4:4">
      <c r="D2215" s="265"/>
    </row>
    <row r="2218" spans="4:4">
      <c r="D2218" s="265"/>
    </row>
    <row r="2253" spans="4:4">
      <c r="D2253" s="265"/>
    </row>
    <row r="2254" spans="4:4">
      <c r="D2254" s="265"/>
    </row>
    <row r="2255" spans="4:4">
      <c r="D2255" s="265"/>
    </row>
    <row r="2258" spans="4:4">
      <c r="D2258" s="265"/>
    </row>
    <row r="2288" spans="4:4">
      <c r="D2288" s="265"/>
    </row>
    <row r="2290" spans="4:4">
      <c r="D2290" s="265"/>
    </row>
    <row r="2291" spans="4:4">
      <c r="D2291" s="265"/>
    </row>
    <row r="2293" spans="4:4">
      <c r="D2293" s="265"/>
    </row>
    <row r="2294" spans="4:4">
      <c r="D2294" s="265"/>
    </row>
    <row r="2295" spans="4:4">
      <c r="D2295" s="265"/>
    </row>
    <row r="2297" spans="4:4">
      <c r="D2297" s="265"/>
    </row>
    <row r="2298" spans="4:4">
      <c r="D2298" s="265"/>
    </row>
    <row r="2311" spans="4:4">
      <c r="D2311" s="265"/>
    </row>
    <row r="2313" spans="4:4">
      <c r="D2313" s="265"/>
    </row>
    <row r="2321" spans="4:4">
      <c r="D2321" s="265"/>
    </row>
    <row r="2323" spans="4:4">
      <c r="D2323" s="265"/>
    </row>
    <row r="2325" spans="4:4">
      <c r="D2325" s="265"/>
    </row>
    <row r="2328" spans="4:4">
      <c r="D2328" s="265"/>
    </row>
    <row r="2330" spans="4:4">
      <c r="D2330" s="265"/>
    </row>
    <row r="2333" spans="4:4">
      <c r="D2333" s="265"/>
    </row>
    <row r="2334" spans="4:4">
      <c r="D2334" s="265"/>
    </row>
    <row r="2335" spans="4:4">
      <c r="D2335" s="265"/>
    </row>
    <row r="2338" spans="4:4">
      <c r="D2338" s="265"/>
    </row>
    <row r="2351" spans="4:4">
      <c r="D2351" s="265"/>
    </row>
    <row r="2353" spans="4:4">
      <c r="D2353" s="265"/>
    </row>
    <row r="2363" spans="4:4">
      <c r="D2363" s="265"/>
    </row>
    <row r="2365" spans="4:4">
      <c r="D2365" s="265"/>
    </row>
    <row r="2373" spans="4:4">
      <c r="D2373" s="265"/>
    </row>
    <row r="2374" spans="4:4">
      <c r="D2374" s="265"/>
    </row>
    <row r="2378" spans="4:4">
      <c r="D2378" s="265"/>
    </row>
    <row r="2413" spans="4:4">
      <c r="D2413" s="265"/>
    </row>
    <row r="2414" spans="4:4">
      <c r="D2414" s="265"/>
    </row>
    <row r="2415" spans="4:4">
      <c r="D2415" s="265"/>
    </row>
    <row r="2418" spans="4:4">
      <c r="D2418" s="265"/>
    </row>
    <row r="2448" spans="4:4">
      <c r="D2448" s="265"/>
    </row>
    <row r="2450" spans="4:4">
      <c r="D2450" s="265"/>
    </row>
    <row r="2451" spans="4:4">
      <c r="D2451" s="265"/>
    </row>
    <row r="2453" spans="4:4">
      <c r="D2453" s="265"/>
    </row>
    <row r="2454" spans="4:4">
      <c r="D2454" s="265"/>
    </row>
    <row r="2455" spans="4:4">
      <c r="D2455" s="265"/>
    </row>
    <row r="2457" spans="4:4">
      <c r="D2457" s="265"/>
    </row>
    <row r="2458" spans="4:4">
      <c r="D2458" s="265"/>
    </row>
    <row r="2471" spans="4:4">
      <c r="D2471" s="265"/>
    </row>
    <row r="2473" spans="4:4">
      <c r="D2473" s="265"/>
    </row>
    <row r="2481" spans="4:4">
      <c r="D2481" s="265"/>
    </row>
    <row r="2483" spans="4:4">
      <c r="D2483" s="265"/>
    </row>
    <row r="2485" spans="4:4">
      <c r="D2485" s="265"/>
    </row>
    <row r="2494" spans="4:4">
      <c r="D2494" s="265"/>
    </row>
    <row r="2495" spans="4:4">
      <c r="D2495" s="265"/>
    </row>
    <row r="2498" spans="4:4">
      <c r="D2498" s="265"/>
    </row>
    <row r="2533" spans="4:4">
      <c r="D2533" s="265"/>
    </row>
    <row r="2534" spans="4:4">
      <c r="D2534" s="265"/>
    </row>
    <row r="2535" spans="4:4">
      <c r="D2535" s="265"/>
    </row>
    <row r="2538" spans="4:4">
      <c r="D2538" s="265"/>
    </row>
    <row r="2573" spans="4:4">
      <c r="D2573" s="265"/>
    </row>
    <row r="2574" spans="4:4">
      <c r="D2574" s="265"/>
    </row>
    <row r="2575" spans="4:4">
      <c r="D2575" s="265"/>
    </row>
    <row r="2578" spans="4:4">
      <c r="D2578" s="265"/>
    </row>
    <row r="2613" spans="4:4">
      <c r="D2613" s="265"/>
    </row>
    <row r="2614" spans="4:4">
      <c r="D2614" s="265"/>
    </row>
    <row r="2615" spans="4:4">
      <c r="D2615" s="265"/>
    </row>
    <row r="2618" spans="4:4">
      <c r="D2618" s="265"/>
    </row>
    <row r="2648" spans="4:4">
      <c r="D2648" s="265"/>
    </row>
    <row r="2650" spans="4:4">
      <c r="D2650" s="265"/>
    </row>
    <row r="2653" spans="4:4">
      <c r="D2653" s="265"/>
    </row>
    <row r="2654" spans="4:4">
      <c r="D2654" s="265"/>
    </row>
    <row r="2658" spans="4:4">
      <c r="D2658" s="265"/>
    </row>
    <row r="2660" spans="4:4">
      <c r="D2660" s="265"/>
    </row>
    <row r="2663" spans="4:4">
      <c r="D2663" s="265"/>
    </row>
    <row r="2665" spans="4:4">
      <c r="D2665" s="265"/>
    </row>
    <row r="2671" spans="4:4">
      <c r="D2671" s="265"/>
    </row>
    <row r="2673" spans="4:4">
      <c r="D2673" s="265"/>
    </row>
    <row r="2681" spans="4:4">
      <c r="D2681" s="265"/>
    </row>
    <row r="2683" spans="4:4">
      <c r="D2683" s="265"/>
    </row>
    <row r="2685" spans="4:4">
      <c r="D2685" s="265"/>
    </row>
    <row r="2693" spans="4:4">
      <c r="D2693" s="265"/>
    </row>
    <row r="2694" spans="4:4">
      <c r="D2694" s="265"/>
    </row>
    <row r="2698" spans="4:4">
      <c r="D2698" s="265"/>
    </row>
    <row r="2733" spans="4:4">
      <c r="D2733" s="265"/>
    </row>
    <row r="2734" spans="4:4">
      <c r="D2734" s="265"/>
    </row>
    <row r="2735" spans="4:4">
      <c r="D2735" s="265"/>
    </row>
    <row r="2738" spans="4:4">
      <c r="D2738" s="265"/>
    </row>
    <row r="2772" spans="4:4">
      <c r="D2772" s="265"/>
    </row>
    <row r="2773" spans="4:4">
      <c r="D2773" s="265"/>
    </row>
    <row r="2774" spans="4:4">
      <c r="D2774" s="265"/>
    </row>
    <row r="2775" spans="4:4">
      <c r="D2775" s="265"/>
    </row>
    <row r="2778" spans="4:4">
      <c r="D2778" s="265"/>
    </row>
    <row r="2813" spans="4:4">
      <c r="D2813" s="265"/>
    </row>
    <row r="2814" spans="4:4">
      <c r="D2814" s="265"/>
    </row>
    <row r="2815" spans="4:4">
      <c r="D2815" s="265"/>
    </row>
    <row r="2818" spans="4:4">
      <c r="D2818" s="265"/>
    </row>
    <row r="2848" spans="4:4">
      <c r="D2848" s="265"/>
    </row>
    <row r="2850" spans="4:4">
      <c r="D2850" s="265"/>
    </row>
    <row r="2853" spans="4:4">
      <c r="D2853" s="265"/>
    </row>
    <row r="2854" spans="4:4">
      <c r="D2854" s="265"/>
    </row>
    <row r="2855" spans="4:4">
      <c r="D2855" s="265"/>
    </row>
    <row r="2858" spans="4:4">
      <c r="D2858" s="265"/>
    </row>
    <row r="2885" spans="4:4">
      <c r="D2885" s="265"/>
    </row>
    <row r="2888" spans="4:4">
      <c r="D2888" s="265"/>
    </row>
    <row r="2890" spans="4:4">
      <c r="D2890" s="265"/>
    </row>
    <row r="2893" spans="4:4">
      <c r="D2893" s="265"/>
    </row>
    <row r="2894" spans="4:4">
      <c r="D2894" s="265"/>
    </row>
    <row r="2895" spans="4:4">
      <c r="D2895" s="265"/>
    </row>
    <row r="2898" spans="4:4">
      <c r="D2898" s="265"/>
    </row>
    <row r="2911" spans="4:4">
      <c r="D2911" s="265"/>
    </row>
    <row r="2913" spans="4:4">
      <c r="D2913" s="265"/>
    </row>
    <row r="2915" spans="4:4">
      <c r="D2915" s="265"/>
    </row>
    <row r="2921" spans="4:4">
      <c r="D2921" s="265"/>
    </row>
    <row r="2923" spans="4:4">
      <c r="D2923" s="265"/>
    </row>
    <row r="2925" spans="4:4">
      <c r="D2925" s="265"/>
    </row>
    <row r="2930" spans="4:4">
      <c r="D2930" s="265"/>
    </row>
    <row r="2933" spans="4:4">
      <c r="D2933" s="265"/>
    </row>
    <row r="2934" spans="4:4">
      <c r="D2934" s="265"/>
    </row>
    <row r="2935" spans="4:4">
      <c r="D2935" s="265"/>
    </row>
    <row r="2938" spans="4:4">
      <c r="D2938" s="265"/>
    </row>
    <row r="2961" spans="4:4">
      <c r="D2961" s="265"/>
    </row>
    <row r="2963" spans="4:4">
      <c r="D2963" s="265"/>
    </row>
    <row r="2965" spans="4:4">
      <c r="D2965" s="265"/>
    </row>
    <row r="2968" spans="4:4">
      <c r="D2968" s="265"/>
    </row>
    <row r="2970" spans="4:4">
      <c r="D2970" s="265"/>
    </row>
    <row r="2971" spans="4:4">
      <c r="D2971" s="265"/>
    </row>
    <row r="2973" spans="4:4">
      <c r="D2973" s="265"/>
    </row>
    <row r="2974" spans="4:4">
      <c r="D2974" s="265"/>
    </row>
    <row r="2975" spans="4:4">
      <c r="D2975" s="265"/>
    </row>
    <row r="2977" spans="4:4">
      <c r="D2977" s="265"/>
    </row>
    <row r="2978" spans="4:4">
      <c r="D2978" s="265"/>
    </row>
    <row r="2990" spans="4:4">
      <c r="D2990" s="265"/>
    </row>
    <row r="2991" spans="4:4">
      <c r="D2991" s="265"/>
    </row>
    <row r="2993" spans="4:4">
      <c r="D2993" s="265"/>
    </row>
    <row r="2995" spans="4:4">
      <c r="D2995" s="265"/>
    </row>
    <row r="3003" spans="4:4">
      <c r="D3003" s="265"/>
    </row>
    <row r="3005" spans="4:4">
      <c r="D3005" s="265"/>
    </row>
    <row r="3008" spans="4:4">
      <c r="D3008" s="265"/>
    </row>
    <row r="3010" spans="4:4">
      <c r="D3010" s="265"/>
    </row>
    <row r="3011" spans="4:4">
      <c r="D3011" s="265"/>
    </row>
    <row r="3013" spans="4:4">
      <c r="D3013" s="265"/>
    </row>
    <row r="3014" spans="4:4">
      <c r="D3014" s="265"/>
    </row>
    <row r="3015" spans="4:4">
      <c r="D3015" s="265"/>
    </row>
    <row r="3017" spans="4:4">
      <c r="D3017" s="265"/>
    </row>
    <row r="3018" spans="4:4">
      <c r="D3018" s="265"/>
    </row>
    <row r="3020" spans="4:4">
      <c r="D3020" s="265"/>
    </row>
    <row r="3031" spans="4:4">
      <c r="D3031" s="265"/>
    </row>
    <row r="3033" spans="4:4">
      <c r="D3033" s="265"/>
    </row>
    <row r="3035" spans="4:4">
      <c r="D3035" s="265"/>
    </row>
    <row r="3043" spans="4:4">
      <c r="D3043" s="265"/>
    </row>
    <row r="3045" spans="4:4">
      <c r="D3045" s="265"/>
    </row>
    <row r="3048" spans="4:4">
      <c r="D3048" s="265"/>
    </row>
    <row r="3050" spans="4:4">
      <c r="D3050" s="265"/>
    </row>
    <row r="3052" spans="4:4">
      <c r="D3052" s="265"/>
    </row>
    <row r="3053" spans="4:4">
      <c r="D3053" s="265"/>
    </row>
    <row r="3054" spans="4:4">
      <c r="D3054" s="265"/>
    </row>
    <row r="3055" spans="4:4">
      <c r="D3055" s="265"/>
    </row>
    <row r="3057" spans="4:4">
      <c r="D3057" s="265"/>
    </row>
    <row r="3058" spans="4:4">
      <c r="D3058" s="265"/>
    </row>
    <row r="3060" spans="4:4">
      <c r="D3060" s="265"/>
    </row>
    <row r="3071" spans="4:4">
      <c r="D3071" s="265"/>
    </row>
    <row r="3073" spans="4:4">
      <c r="D3073" s="265"/>
    </row>
    <row r="3075" spans="4:4">
      <c r="D3075" s="265"/>
    </row>
    <row r="3083" spans="4:4">
      <c r="D3083" s="265"/>
    </row>
    <row r="3085" spans="4:4">
      <c r="D3085" s="265"/>
    </row>
    <row r="3088" spans="4:4">
      <c r="D3088" s="265"/>
    </row>
    <row r="3090" spans="4:4">
      <c r="D3090" s="265"/>
    </row>
    <row r="3093" spans="4:4">
      <c r="D3093" s="265"/>
    </row>
    <row r="3094" spans="4:4">
      <c r="D3094" s="265"/>
    </row>
    <row r="3095" spans="4:4">
      <c r="D3095" s="265"/>
    </row>
    <row r="3098" spans="4:4">
      <c r="D3098" s="265"/>
    </row>
    <row r="3111" spans="4:4">
      <c r="D3111" s="265"/>
    </row>
    <row r="3113" spans="4:4">
      <c r="D3113" s="265"/>
    </row>
    <row r="3115" spans="4:4">
      <c r="D3115" s="265"/>
    </row>
    <row r="3119" spans="4:4">
      <c r="D3119" s="265"/>
    </row>
    <row r="3123" spans="4:4">
      <c r="D3123" s="265"/>
    </row>
    <row r="3125" spans="4:4">
      <c r="D3125" s="265"/>
    </row>
    <row r="3133" spans="4:4">
      <c r="D3133" s="265"/>
    </row>
    <row r="3134" spans="4:4">
      <c r="D3134" s="265"/>
    </row>
    <row r="3135" spans="4:4">
      <c r="D3135" s="265"/>
    </row>
    <row r="3138" spans="4:4">
      <c r="D3138" s="265"/>
    </row>
    <row r="3170" spans="4:4">
      <c r="D3170" s="265"/>
    </row>
    <row r="3173" spans="4:4">
      <c r="D3173" s="265"/>
    </row>
    <row r="3174" spans="4:4">
      <c r="D3174" s="265"/>
    </row>
    <row r="3175" spans="4:4">
      <c r="D3175" s="265"/>
    </row>
    <row r="3178" spans="4:4">
      <c r="D3178" s="265"/>
    </row>
    <row r="3205" spans="4:4">
      <c r="D3205" s="265"/>
    </row>
    <row r="3208" spans="4:4">
      <c r="D3208" s="265"/>
    </row>
    <row r="3210" spans="4:4">
      <c r="D3210" s="265"/>
    </row>
    <row r="3211" spans="4:4">
      <c r="D3211" s="265"/>
    </row>
    <row r="3213" spans="4:4">
      <c r="D3213" s="265"/>
    </row>
    <row r="3214" spans="4:4">
      <c r="D3214" s="265"/>
    </row>
    <row r="3215" spans="4:4">
      <c r="D3215" s="265"/>
    </row>
    <row r="3217" spans="4:4">
      <c r="D3217" s="265"/>
    </row>
    <row r="3218" spans="4:4">
      <c r="D3218" s="265"/>
    </row>
    <row r="3241" spans="4:4">
      <c r="D3241" s="265"/>
    </row>
    <row r="3243" spans="4:4">
      <c r="D3243" s="265"/>
    </row>
    <row r="3245" spans="4:4">
      <c r="D3245" s="265"/>
    </row>
    <row r="3250" spans="4:4">
      <c r="D3250" s="265"/>
    </row>
    <row r="3253" spans="4:4">
      <c r="D3253" s="265"/>
    </row>
    <row r="3254" spans="4:4">
      <c r="D3254" s="265"/>
    </row>
    <row r="3255" spans="4:4">
      <c r="D3255" s="265"/>
    </row>
    <row r="3258" spans="4:4">
      <c r="D3258" s="265"/>
    </row>
    <row r="3283" spans="4:4">
      <c r="D3283" s="265"/>
    </row>
    <row r="3285" spans="4:4">
      <c r="D3285" s="265"/>
    </row>
    <row r="3288" spans="4:4">
      <c r="D3288" s="265"/>
    </row>
    <row r="3290" spans="4:4">
      <c r="D3290" s="265"/>
    </row>
    <row r="3291" spans="4:4">
      <c r="D3291" s="265"/>
    </row>
    <row r="3293" spans="4:4">
      <c r="D3293" s="265"/>
    </row>
    <row r="3294" spans="4:4">
      <c r="D3294" s="265"/>
    </row>
    <row r="3295" spans="4:4">
      <c r="D3295" s="265"/>
    </row>
    <row r="3297" spans="4:4">
      <c r="D3297" s="265"/>
    </row>
    <row r="3298" spans="4:4">
      <c r="D3298" s="265"/>
    </row>
    <row r="3311" spans="4:4">
      <c r="D3311" s="265"/>
    </row>
    <row r="3313" spans="4:4">
      <c r="D3313" s="265"/>
    </row>
    <row r="3315" spans="4:4">
      <c r="D3315" s="265"/>
    </row>
    <row r="3317" spans="4:4">
      <c r="D3317" s="265"/>
    </row>
    <row r="3319" spans="4:4">
      <c r="D3319" s="265"/>
    </row>
    <row r="3321" spans="4:4">
      <c r="D3321" s="265"/>
    </row>
    <row r="3323" spans="4:4">
      <c r="D3323" s="265"/>
    </row>
    <row r="3325" spans="4:4">
      <c r="D3325" s="265"/>
    </row>
    <row r="3333" spans="4:4">
      <c r="D3333" s="265"/>
    </row>
    <row r="3334" spans="4:4">
      <c r="D3334" s="265"/>
    </row>
    <row r="3335" spans="4:4">
      <c r="D3335" s="265"/>
    </row>
    <row r="3338" spans="4:4">
      <c r="D3338" s="265"/>
    </row>
    <row r="3368" spans="4:4">
      <c r="D3368" s="265"/>
    </row>
    <row r="3370" spans="4:4">
      <c r="D3370" s="265"/>
    </row>
    <row r="3372" spans="4:4">
      <c r="D3372" s="265"/>
    </row>
    <row r="3373" spans="4:4">
      <c r="D3373" s="265"/>
    </row>
    <row r="3374" spans="4:4">
      <c r="D3374" s="265"/>
    </row>
    <row r="3375" spans="4:4">
      <c r="D3375" s="265"/>
    </row>
    <row r="3378" spans="4:4">
      <c r="D3378" s="265"/>
    </row>
    <row r="3391" spans="4:4">
      <c r="D3391" s="265"/>
    </row>
    <row r="3393" spans="4:4">
      <c r="D3393" s="265"/>
    </row>
    <row r="3403" spans="4:4">
      <c r="D3403" s="265"/>
    </row>
    <row r="3405" spans="4:4">
      <c r="D3405" s="265"/>
    </row>
    <row r="3408" spans="4:4">
      <c r="D3408" s="265"/>
    </row>
    <row r="3410" spans="4:4">
      <c r="D3410" s="265"/>
    </row>
    <row r="3413" spans="4:4">
      <c r="D3413" s="265"/>
    </row>
    <row r="3414" spans="4:4">
      <c r="D3414" s="265"/>
    </row>
    <row r="3415" spans="4:4">
      <c r="D3415" s="265"/>
    </row>
    <row r="3418" spans="4:4">
      <c r="D3418" s="265"/>
    </row>
    <row r="3431" spans="4:4">
      <c r="D3431" s="265"/>
    </row>
    <row r="3433" spans="4:4">
      <c r="D3433" s="265"/>
    </row>
    <row r="3441" spans="4:4">
      <c r="D3441" s="265"/>
    </row>
    <row r="3443" spans="4:4">
      <c r="D3443" s="265"/>
    </row>
    <row r="3445" spans="4:4">
      <c r="D3445" s="265"/>
    </row>
    <row r="3454" spans="4:4">
      <c r="D3454" s="265"/>
    </row>
    <row r="3455" spans="4:4">
      <c r="D3455" s="265"/>
    </row>
    <row r="3458" spans="4:4">
      <c r="D3458" s="265"/>
    </row>
    <row r="3488" spans="4:4">
      <c r="D3488" s="265"/>
    </row>
    <row r="3490" spans="4:4">
      <c r="D3490" s="265"/>
    </row>
    <row r="3491" spans="4:4">
      <c r="D3491" s="265"/>
    </row>
    <row r="3493" spans="4:4">
      <c r="D3493" s="265"/>
    </row>
    <row r="3494" spans="4:4">
      <c r="D3494" s="265"/>
    </row>
    <row r="3495" spans="4:4">
      <c r="D3495" s="265"/>
    </row>
    <row r="3497" spans="4:4">
      <c r="D3497" s="265"/>
    </row>
    <row r="3498" spans="4:4">
      <c r="D3498" s="265"/>
    </row>
    <row r="3511" spans="4:4">
      <c r="D3511" s="265"/>
    </row>
    <row r="3513" spans="4:4">
      <c r="D3513" s="265"/>
    </row>
    <row r="3515" spans="4:4">
      <c r="D3515" s="265"/>
    </row>
    <row r="3523" spans="4:4">
      <c r="D3523" s="265"/>
    </row>
    <row r="3525" spans="4:4">
      <c r="D3525" s="265"/>
    </row>
    <row r="3573" spans="4:4">
      <c r="D3573" s="265"/>
    </row>
    <row r="3574" spans="4:4">
      <c r="D3574" s="265"/>
    </row>
    <row r="3575" spans="4:4">
      <c r="D3575" s="265"/>
    </row>
    <row r="3578" spans="4:4">
      <c r="D3578" s="265"/>
    </row>
    <row r="3613" spans="4:4">
      <c r="D3613" s="265"/>
    </row>
    <row r="3614" spans="4:4">
      <c r="D3614" s="265"/>
    </row>
    <row r="3615" spans="4:4">
      <c r="D3615" s="265"/>
    </row>
    <row r="3618" spans="4:4">
      <c r="D3618" s="265"/>
    </row>
    <row r="3648" spans="4:4">
      <c r="D3648" s="265"/>
    </row>
    <row r="3650" spans="4:4">
      <c r="D3650" s="265"/>
    </row>
    <row r="3653" spans="4:4">
      <c r="D3653" s="265"/>
    </row>
    <row r="3654" spans="4:4">
      <c r="D3654" s="265"/>
    </row>
    <row r="3655" spans="4:4">
      <c r="D3655" s="265"/>
    </row>
    <row r="3658" spans="4:4">
      <c r="D3658" s="265"/>
    </row>
    <row r="3660" spans="4:4">
      <c r="D3660" s="265"/>
    </row>
    <row r="3671" spans="4:4">
      <c r="D3671" s="265"/>
    </row>
    <row r="3673" spans="4:4">
      <c r="D3673" s="265"/>
    </row>
    <row r="3675" spans="4:4">
      <c r="D3675" s="265"/>
    </row>
    <row r="3679" spans="4:4">
      <c r="D3679" s="265"/>
    </row>
    <row r="3683" spans="4:4">
      <c r="D3683" s="265"/>
    </row>
    <row r="3685" spans="4:4">
      <c r="D3685" s="265"/>
    </row>
    <row r="3693" spans="4:4">
      <c r="D3693" s="265"/>
    </row>
    <row r="3694" spans="4:4">
      <c r="D3694" s="265"/>
    </row>
    <row r="3695" spans="4:4">
      <c r="D3695" s="265"/>
    </row>
    <row r="3698" spans="4:4">
      <c r="D3698" s="265"/>
    </row>
    <row r="3728" spans="4:4">
      <c r="D3728" s="265"/>
    </row>
    <row r="3730" spans="4:4">
      <c r="D3730" s="265"/>
    </row>
    <row r="3732" spans="4:4">
      <c r="D3732" s="265"/>
    </row>
    <row r="3733" spans="4:4">
      <c r="D3733" s="265"/>
    </row>
    <row r="3734" spans="4:4">
      <c r="D3734" s="265"/>
    </row>
    <row r="3735" spans="4:4">
      <c r="D3735" s="265"/>
    </row>
    <row r="3738" spans="4:4">
      <c r="D3738" s="265"/>
    </row>
    <row r="3740" spans="4:4">
      <c r="D3740" s="265"/>
    </row>
    <row r="3751" spans="4:4">
      <c r="D3751" s="265"/>
    </row>
    <row r="3753" spans="4:4">
      <c r="D3753" s="265"/>
    </row>
    <row r="3755" spans="4:4">
      <c r="D3755" s="265"/>
    </row>
    <row r="3761" spans="4:4">
      <c r="D3761" s="265"/>
    </row>
    <row r="3763" spans="4:4">
      <c r="D3763" s="265"/>
    </row>
    <row r="3765" spans="4:4">
      <c r="D3765" s="265"/>
    </row>
    <row r="3773" spans="4:4">
      <c r="D3773" s="265"/>
    </row>
    <row r="3774" spans="4:4">
      <c r="D3774" s="265"/>
    </row>
    <row r="3778" spans="4:4">
      <c r="D3778" s="265"/>
    </row>
    <row r="3853" spans="4:4">
      <c r="D3853" s="265"/>
    </row>
    <row r="3854" spans="4:4">
      <c r="D3854" s="265"/>
    </row>
    <row r="3855" spans="4:4">
      <c r="D3855" s="265"/>
    </row>
    <row r="3858" spans="4:4">
      <c r="D3858" s="265"/>
    </row>
    <row r="3893" spans="4:4">
      <c r="D3893" s="265"/>
    </row>
    <row r="3894" spans="4:4">
      <c r="D3894" s="265"/>
    </row>
    <row r="3895" spans="4:4">
      <c r="D3895" s="265"/>
    </row>
    <row r="3898" spans="4:4">
      <c r="D3898" s="265"/>
    </row>
    <row r="3933" spans="4:4">
      <c r="D3933" s="265"/>
    </row>
    <row r="3934" spans="4:4">
      <c r="D3934" s="265"/>
    </row>
    <row r="3935" spans="4:4">
      <c r="D3935" s="265"/>
    </row>
    <row r="3938" spans="4:4">
      <c r="D3938" s="265"/>
    </row>
    <row r="3973" spans="4:4">
      <c r="D3973" s="265"/>
    </row>
    <row r="3974" spans="4:4">
      <c r="D3974" s="265"/>
    </row>
    <row r="3975" spans="4:4">
      <c r="D3975" s="265"/>
    </row>
    <row r="3978" spans="4:4">
      <c r="D3978" s="265"/>
    </row>
    <row r="4008" spans="4:4">
      <c r="D4008" s="265"/>
    </row>
    <row r="4010" spans="4:4">
      <c r="D4010" s="265"/>
    </row>
    <row r="4013" spans="4:4">
      <c r="D4013" s="265"/>
    </row>
    <row r="4014" spans="4:4">
      <c r="D4014" s="265"/>
    </row>
    <row r="4018" spans="4:4">
      <c r="D4018" s="265"/>
    </row>
    <row r="4020" spans="4:4">
      <c r="D4020" s="265"/>
    </row>
    <row r="4031" spans="4:4">
      <c r="D4031" s="265"/>
    </row>
    <row r="4033" spans="4:4">
      <c r="D4033" s="265"/>
    </row>
    <row r="4035" spans="4:4">
      <c r="D4035" s="265"/>
    </row>
    <row r="4043" spans="4:4">
      <c r="D4043" s="265"/>
    </row>
    <row r="4045" spans="4:4">
      <c r="D4045" s="265"/>
    </row>
    <row r="4050" spans="4:4">
      <c r="D4050" s="265"/>
    </row>
    <row r="4053" spans="4:4">
      <c r="D4053" s="265"/>
    </row>
    <row r="4054" spans="4:4">
      <c r="D4054" s="265"/>
    </row>
    <row r="4058" spans="4:4">
      <c r="D4058" s="265"/>
    </row>
    <row r="4085" spans="4:4">
      <c r="D4085" s="265"/>
    </row>
    <row r="4090" spans="4:4">
      <c r="D4090" s="265"/>
    </row>
    <row r="4093" spans="4:4">
      <c r="D4093" s="265"/>
    </row>
    <row r="4094" spans="4:4">
      <c r="D4094" s="265"/>
    </row>
    <row r="4095" spans="4:4">
      <c r="D4095" s="265"/>
    </row>
    <row r="4098" spans="4:4">
      <c r="D4098" s="265"/>
    </row>
    <row r="4125" spans="4:4">
      <c r="D4125" s="265"/>
    </row>
    <row r="4133" spans="4:4">
      <c r="D4133" s="265"/>
    </row>
    <row r="4134" spans="4:4">
      <c r="D4134" s="265"/>
    </row>
    <row r="4135" spans="4:4">
      <c r="D4135" s="265"/>
    </row>
    <row r="4138" spans="4:4">
      <c r="D4138" s="265"/>
    </row>
    <row r="4168" spans="4:4">
      <c r="D4168" s="265"/>
    </row>
    <row r="4170" spans="4:4">
      <c r="D4170" s="265"/>
    </row>
    <row r="4173" spans="4:4">
      <c r="D4173" s="265"/>
    </row>
    <row r="4174" spans="4:4">
      <c r="D4174" s="265"/>
    </row>
    <row r="4178" spans="4:4">
      <c r="D4178" s="265"/>
    </row>
    <row r="4191" spans="4:4">
      <c r="D4191" s="265"/>
    </row>
    <row r="4193" spans="4:4">
      <c r="D4193" s="265"/>
    </row>
    <row r="4201" spans="4:4">
      <c r="D4201" s="265"/>
    </row>
    <row r="4203" spans="4:4">
      <c r="D4203" s="265"/>
    </row>
    <row r="4205" spans="4:4">
      <c r="D4205" s="265"/>
    </row>
    <row r="4213" spans="4:4">
      <c r="D4213" s="265"/>
    </row>
    <row r="4214" spans="4:4">
      <c r="D4214" s="265"/>
    </row>
    <row r="4215" spans="4:4">
      <c r="D4215" s="265"/>
    </row>
    <row r="4218" spans="4:4">
      <c r="D4218" s="265"/>
    </row>
    <row r="4250" spans="4:4">
      <c r="D4250" s="265"/>
    </row>
    <row r="4253" spans="4:4">
      <c r="D4253" s="265"/>
    </row>
    <row r="4254" spans="4:4">
      <c r="D4254" s="265"/>
    </row>
    <row r="4255" spans="4:4">
      <c r="D4255" s="265"/>
    </row>
    <row r="4258" spans="4:4">
      <c r="D4258" s="265"/>
    </row>
    <row r="4285" spans="4:4">
      <c r="D4285" s="265"/>
    </row>
    <row r="4293" spans="4:4">
      <c r="D4293" s="265"/>
    </row>
    <row r="4294" spans="4:4">
      <c r="D4294" s="265"/>
    </row>
    <row r="4295" spans="4:4">
      <c r="D4295" s="265"/>
    </row>
    <row r="4298" spans="4:4">
      <c r="D4298" s="265"/>
    </row>
    <row r="4328" spans="4:4">
      <c r="D4328" s="265"/>
    </row>
    <row r="4330" spans="4:4">
      <c r="D4330" s="265"/>
    </row>
    <row r="4331" spans="4:4">
      <c r="D4331" s="265"/>
    </row>
    <row r="4333" spans="4:4">
      <c r="D4333" s="265"/>
    </row>
    <row r="4334" spans="4:4">
      <c r="D4334" s="265"/>
    </row>
    <row r="4335" spans="4:4">
      <c r="D4335" s="265"/>
    </row>
    <row r="4337" spans="4:4">
      <c r="D4337" s="265"/>
    </row>
    <row r="4338" spans="4:4">
      <c r="D4338" s="265"/>
    </row>
    <row r="4351" spans="4:4">
      <c r="D4351" s="265"/>
    </row>
    <row r="4353" spans="4:4">
      <c r="D4353" s="265"/>
    </row>
    <row r="4361" spans="4:4">
      <c r="D4361" s="265"/>
    </row>
    <row r="4363" spans="4:4">
      <c r="D4363" s="265"/>
    </row>
    <row r="4365" spans="4:4">
      <c r="D4365" s="265"/>
    </row>
    <row r="4373" spans="4:4">
      <c r="D4373" s="265"/>
    </row>
    <row r="4374" spans="4:4">
      <c r="D4374" s="265"/>
    </row>
    <row r="4375" spans="4:4">
      <c r="D4375" s="265"/>
    </row>
    <row r="4378" spans="4:4">
      <c r="D4378" s="265"/>
    </row>
    <row r="4383" spans="4:4">
      <c r="D4383" s="265"/>
    </row>
    <row r="4385" spans="4:4">
      <c r="D4385" s="265"/>
    </row>
    <row r="4408" spans="4:4">
      <c r="D4408" s="265"/>
    </row>
    <row r="4410" spans="4:4">
      <c r="D4410" s="265"/>
    </row>
    <row r="4413" spans="4:4">
      <c r="D4413" s="265"/>
    </row>
    <row r="4414" spans="4:4">
      <c r="D4414" s="265"/>
    </row>
    <row r="4415" spans="4:4">
      <c r="D4415" s="265"/>
    </row>
    <row r="4418" spans="4:4">
      <c r="D4418" s="265"/>
    </row>
    <row r="4431" spans="4:4">
      <c r="D4431" s="265"/>
    </row>
    <row r="4433" spans="4:4">
      <c r="D4433" s="265"/>
    </row>
    <row r="4445" spans="4:4">
      <c r="D4445" s="265"/>
    </row>
    <row r="4458" spans="4:4">
      <c r="D4458" s="265"/>
    </row>
    <row r="4490" spans="4:4">
      <c r="D4490" s="265"/>
    </row>
    <row r="4493" spans="4:4">
      <c r="D4493" s="265"/>
    </row>
    <row r="4494" spans="4:4">
      <c r="D4494" s="265"/>
    </row>
    <row r="4495" spans="4:4">
      <c r="D4495" s="265"/>
    </row>
    <row r="4498" spans="4:4">
      <c r="D4498" s="265"/>
    </row>
    <row r="4525" spans="4:4">
      <c r="D4525" s="265"/>
    </row>
    <row r="4533" spans="4:4">
      <c r="D4533" s="265"/>
    </row>
    <row r="4534" spans="4:4">
      <c r="D4534" s="265"/>
    </row>
    <row r="4538" spans="4:4">
      <c r="D4538" s="265"/>
    </row>
    <row r="4568" spans="4:4">
      <c r="D4568" s="265"/>
    </row>
    <row r="4570" spans="4:4">
      <c r="D4570" s="265"/>
    </row>
    <row r="4573" spans="4:4">
      <c r="D4573" s="265"/>
    </row>
    <row r="4574" spans="4:4">
      <c r="D4574" s="265"/>
    </row>
    <row r="4578" spans="4:4">
      <c r="D4578" s="265"/>
    </row>
    <row r="4583" spans="4:4">
      <c r="D4583" s="265"/>
    </row>
    <row r="4585" spans="4:4">
      <c r="D4585" s="265"/>
    </row>
    <row r="4591" spans="4:4">
      <c r="D4591" s="265"/>
    </row>
    <row r="4593" spans="4:4">
      <c r="D4593" s="265"/>
    </row>
    <row r="4595" spans="4:4">
      <c r="D4595" s="265"/>
    </row>
    <row r="4603" spans="4:4">
      <c r="D4603" s="265"/>
    </row>
    <row r="4605" spans="4:4">
      <c r="D4605" s="265"/>
    </row>
    <row r="4613" spans="4:4">
      <c r="D4613" s="265"/>
    </row>
    <row r="4614" spans="4:4">
      <c r="D4614" s="265"/>
    </row>
    <row r="4615" spans="4:4">
      <c r="D4615" s="265"/>
    </row>
    <row r="4618" spans="4:4">
      <c r="D4618" s="265"/>
    </row>
    <row r="4650" spans="4:4">
      <c r="D4650" s="265"/>
    </row>
    <row r="4653" spans="4:4">
      <c r="D4653" s="265"/>
    </row>
    <row r="4654" spans="4:4">
      <c r="D4654" s="265"/>
    </row>
    <row r="4658" spans="4:4">
      <c r="D4658" s="265"/>
    </row>
    <row r="4685" spans="4:4">
      <c r="D4685" s="265"/>
    </row>
    <row r="4693" spans="4:4">
      <c r="D4693" s="265"/>
    </row>
    <row r="4694" spans="4:4">
      <c r="D4694" s="265"/>
    </row>
    <row r="4695" spans="4:4">
      <c r="D4695" s="265"/>
    </row>
    <row r="4698" spans="4:4">
      <c r="D4698" s="265"/>
    </row>
    <row r="4733" spans="4:4">
      <c r="D4733" s="265"/>
    </row>
    <row r="4734" spans="4:4">
      <c r="D4734" s="265"/>
    </row>
    <row r="4735" spans="4:4">
      <c r="D4735" s="265"/>
    </row>
    <row r="4738" spans="4:4">
      <c r="D4738" s="265"/>
    </row>
    <row r="4773" spans="4:4">
      <c r="D4773" s="265"/>
    </row>
    <row r="4774" spans="4:4">
      <c r="D4774" s="265"/>
    </row>
    <row r="4775" spans="4:4">
      <c r="D4775" s="265"/>
    </row>
    <row r="4778" spans="4:4">
      <c r="D4778" s="265"/>
    </row>
    <row r="4808" spans="4:4">
      <c r="D4808" s="265"/>
    </row>
    <row r="4810" spans="4:4">
      <c r="D4810" s="265"/>
    </row>
    <row r="4813" spans="4:4">
      <c r="D4813" s="265"/>
    </row>
    <row r="4814" spans="4:4">
      <c r="D4814" s="265"/>
    </row>
    <row r="4843" spans="4:4">
      <c r="D4843" s="265"/>
    </row>
    <row r="4845" spans="4:4">
      <c r="D4845" s="265"/>
    </row>
    <row r="4848" spans="4:4">
      <c r="D4848" s="265"/>
    </row>
    <row r="4850" spans="4:4">
      <c r="D4850" s="265"/>
    </row>
    <row r="4853" spans="4:4">
      <c r="D4853" s="265"/>
    </row>
    <row r="4854" spans="4:4">
      <c r="D4854" s="265"/>
    </row>
    <row r="4855" spans="4:4">
      <c r="D4855" s="265"/>
    </row>
    <row r="4858" spans="4:4">
      <c r="D4858" s="265"/>
    </row>
    <row r="4871" spans="4:4">
      <c r="D4871" s="265"/>
    </row>
    <row r="4873" spans="4:4">
      <c r="D4873" s="265"/>
    </row>
    <row r="4881" spans="4:4">
      <c r="D4881" s="265"/>
    </row>
    <row r="4883" spans="4:4">
      <c r="D4883" s="265"/>
    </row>
    <row r="4885" spans="4:4">
      <c r="D4885" s="265"/>
    </row>
    <row r="4888" spans="4:4">
      <c r="D4888" s="265"/>
    </row>
    <row r="4890" spans="4:4">
      <c r="D4890" s="265"/>
    </row>
    <row r="4893" spans="4:4">
      <c r="D4893" s="265"/>
    </row>
    <row r="4894" spans="4:4">
      <c r="D4894" s="265"/>
    </row>
    <row r="4895" spans="4:4">
      <c r="D4895" s="265"/>
    </row>
    <row r="4898" spans="4:4">
      <c r="D4898" s="265"/>
    </row>
    <row r="4911" spans="4:4">
      <c r="D4911" s="265"/>
    </row>
    <row r="4913" spans="4:4">
      <c r="D4913" s="265"/>
    </row>
    <row r="4921" spans="4:4">
      <c r="D4921" s="265"/>
    </row>
    <row r="4923" spans="4:4">
      <c r="D4923" s="265"/>
    </row>
    <row r="4925" spans="4:4">
      <c r="D4925" s="265"/>
    </row>
    <row r="4933" spans="4:4">
      <c r="D4933" s="265"/>
    </row>
    <row r="4934" spans="4:4">
      <c r="D4934" s="265"/>
    </row>
    <row r="4935" spans="4:4">
      <c r="D4935" s="265"/>
    </row>
    <row r="4938" spans="4:4">
      <c r="D4938" s="265"/>
    </row>
    <row r="4968" spans="4:4">
      <c r="D4968" s="265"/>
    </row>
    <row r="4970" spans="4:4">
      <c r="D4970" s="265"/>
    </row>
    <row r="4973" spans="4:4">
      <c r="D4973" s="265"/>
    </row>
    <row r="4974" spans="4:4">
      <c r="D4974" s="265"/>
    </row>
    <row r="4975" spans="4:4">
      <c r="D4975" s="265"/>
    </row>
    <row r="4978" spans="4:4">
      <c r="D4978" s="265"/>
    </row>
    <row r="4991" spans="4:4">
      <c r="D4991" s="265"/>
    </row>
    <row r="4993" spans="4:4">
      <c r="D4993" s="265"/>
    </row>
    <row r="5003" spans="4:4">
      <c r="D5003" s="265"/>
    </row>
    <row r="5005" spans="4:4">
      <c r="D5005" s="265"/>
    </row>
    <row r="5013" spans="4:4">
      <c r="D5013" s="265"/>
    </row>
    <row r="5014" spans="4:4">
      <c r="D5014" s="265"/>
    </row>
    <row r="5015" spans="4:4">
      <c r="D5015" s="265"/>
    </row>
    <row r="5018" spans="4:4">
      <c r="D5018" s="265"/>
    </row>
    <row r="5053" spans="4:4">
      <c r="D5053" s="265"/>
    </row>
    <row r="5054" spans="4:4">
      <c r="D5054" s="265"/>
    </row>
    <row r="5055" spans="4:4">
      <c r="D5055" s="265"/>
    </row>
    <row r="5058" spans="4:4">
      <c r="D5058" s="265"/>
    </row>
    <row r="5088" spans="4:4">
      <c r="D5088" s="265"/>
    </row>
    <row r="5090" spans="4:4">
      <c r="D5090" s="265"/>
    </row>
    <row r="5093" spans="4:4">
      <c r="D5093" s="265"/>
    </row>
    <row r="5094" spans="4:4">
      <c r="D5094" s="265"/>
    </row>
    <row r="5095" spans="4:4">
      <c r="D5095" s="265"/>
    </row>
    <row r="5098" spans="4:4">
      <c r="D5098" s="265"/>
    </row>
    <row r="5100" spans="4:4">
      <c r="D5100" s="265"/>
    </row>
    <row r="5111" spans="4:4">
      <c r="D5111" s="265"/>
    </row>
    <row r="5113" spans="4:4">
      <c r="D5113" s="265"/>
    </row>
    <row r="5123" spans="4:4">
      <c r="D5123" s="265"/>
    </row>
    <row r="5125" spans="4:4">
      <c r="D5125" s="265"/>
    </row>
    <row r="5133" spans="4:4">
      <c r="D5133" s="265"/>
    </row>
    <row r="5134" spans="4:4">
      <c r="D5134" s="265"/>
    </row>
    <row r="5135" spans="4:4">
      <c r="D5135" s="265"/>
    </row>
    <row r="5138" spans="4:4">
      <c r="D5138" s="265"/>
    </row>
    <row r="5168" spans="4:4">
      <c r="D5168" s="265"/>
    </row>
    <row r="5170" spans="4:4">
      <c r="D5170" s="265"/>
    </row>
    <row r="5173" spans="4:4">
      <c r="D5173" s="265"/>
    </row>
    <row r="5174" spans="4:4">
      <c r="D5174" s="265"/>
    </row>
    <row r="5175" spans="4:4">
      <c r="D5175" s="265"/>
    </row>
    <row r="5178" spans="4:4">
      <c r="D5178" s="265"/>
    </row>
    <row r="5191" spans="4:4">
      <c r="D5191" s="265"/>
    </row>
    <row r="5193" spans="4:4">
      <c r="D5193" s="265"/>
    </row>
    <row r="5203" spans="4:4">
      <c r="D5203" s="265"/>
    </row>
    <row r="5205" spans="4:4">
      <c r="D5205" s="265"/>
    </row>
    <row r="5208" spans="4:4">
      <c r="D5208" s="265"/>
    </row>
    <row r="5210" spans="4:4">
      <c r="D5210" s="265"/>
    </row>
    <row r="5213" spans="4:4">
      <c r="D5213" s="265"/>
    </row>
    <row r="5214" spans="4:4">
      <c r="D5214" s="265"/>
    </row>
    <row r="5215" spans="4:4">
      <c r="D5215" s="265"/>
    </row>
    <row r="5218" spans="4:4">
      <c r="D5218" s="265"/>
    </row>
    <row r="5223" spans="4:4">
      <c r="D5223" s="265"/>
    </row>
    <row r="5243" spans="4:4">
      <c r="D5243" s="265"/>
    </row>
    <row r="5245" spans="4:4">
      <c r="D5245" s="265"/>
    </row>
    <row r="5253" spans="4:4">
      <c r="D5253" s="265"/>
    </row>
    <row r="5254" spans="4:4">
      <c r="D5254" s="265"/>
    </row>
    <row r="5255" spans="4:4">
      <c r="D5255" s="265"/>
    </row>
    <row r="5258" spans="4:4">
      <c r="D5258" s="265"/>
    </row>
    <row r="5293" spans="4:4">
      <c r="D5293" s="265"/>
    </row>
    <row r="5294" spans="4:4">
      <c r="D5294" s="265"/>
    </row>
    <row r="5295" spans="4:4">
      <c r="D5295" s="265"/>
    </row>
    <row r="5298" spans="4:4">
      <c r="D5298" s="265"/>
    </row>
    <row r="5333" spans="4:4">
      <c r="D5333" s="265"/>
    </row>
    <row r="5334" spans="4:4">
      <c r="D5334" s="265"/>
    </row>
    <row r="5335" spans="4:4">
      <c r="D5335" s="265"/>
    </row>
    <row r="5338" spans="4:4">
      <c r="D5338" s="265"/>
    </row>
    <row r="5343" spans="4:4">
      <c r="D5343" s="265"/>
    </row>
    <row r="5345" spans="4:4">
      <c r="D5345" s="265"/>
    </row>
    <row r="5368" spans="4:4">
      <c r="D5368" s="265"/>
    </row>
    <row r="5370" spans="4:4">
      <c r="D5370" s="265"/>
    </row>
    <row r="5371" spans="4:4">
      <c r="D5371" s="265"/>
    </row>
    <row r="5373" spans="4:4">
      <c r="D5373" s="265"/>
    </row>
    <row r="5374" spans="4:4">
      <c r="D5374" s="265"/>
    </row>
    <row r="5375" spans="4:4">
      <c r="D5375" s="265"/>
    </row>
    <row r="5377" spans="4:4">
      <c r="D5377" s="265"/>
    </row>
    <row r="5378" spans="4:4">
      <c r="D5378" s="265"/>
    </row>
    <row r="5383" spans="4:4">
      <c r="D5383" s="265"/>
    </row>
    <row r="5385" spans="4:4">
      <c r="D5385" s="265"/>
    </row>
    <row r="5391" spans="4:4">
      <c r="D5391" s="265"/>
    </row>
    <row r="5393" spans="4:4">
      <c r="D5393" s="265"/>
    </row>
    <row r="5395" spans="4:4">
      <c r="D5395" s="265"/>
    </row>
    <row r="5399" spans="4:4">
      <c r="D5399" s="265"/>
    </row>
    <row r="5403" spans="4:4">
      <c r="D5403" s="265"/>
    </row>
    <row r="5405" spans="4:4">
      <c r="D5405" s="265"/>
    </row>
    <row r="5408" spans="4:4">
      <c r="D5408" s="265"/>
    </row>
    <row r="5410" spans="4:4">
      <c r="D5410" s="265"/>
    </row>
    <row r="5413" spans="4:4">
      <c r="D5413" s="265"/>
    </row>
    <row r="5414" spans="4:4">
      <c r="D5414" s="265"/>
    </row>
    <row r="5418" spans="4:4">
      <c r="D5418" s="265"/>
    </row>
    <row r="5431" spans="4:4">
      <c r="D5431" s="265"/>
    </row>
    <row r="5433" spans="4:4">
      <c r="D5433" s="265"/>
    </row>
    <row r="5443" spans="4:4">
      <c r="D5443" s="265"/>
    </row>
    <row r="5445" spans="4:4">
      <c r="D5445" s="265"/>
    </row>
    <row r="5453" spans="4:4">
      <c r="D5453" s="265"/>
    </row>
    <row r="5454" spans="4:4">
      <c r="D5454" s="265"/>
    </row>
    <row r="5455" spans="4:4">
      <c r="D5455" s="265"/>
    </row>
    <row r="5458" spans="4:4">
      <c r="D5458" s="265"/>
    </row>
    <row r="5488" spans="4:4">
      <c r="D5488" s="265"/>
    </row>
    <row r="5490" spans="4:4">
      <c r="D5490" s="265"/>
    </row>
    <row r="5493" spans="4:4">
      <c r="D5493" s="265"/>
    </row>
    <row r="5494" spans="4:4">
      <c r="D5494" s="265"/>
    </row>
    <row r="5495" spans="4:4">
      <c r="D5495" s="265"/>
    </row>
    <row r="5498" spans="4:4">
      <c r="D5498" s="265"/>
    </row>
    <row r="5500" spans="4:4">
      <c r="D5500" s="265"/>
    </row>
    <row r="5511" spans="4:4">
      <c r="D5511" s="265"/>
    </row>
    <row r="5513" spans="4:4">
      <c r="D5513" s="265"/>
    </row>
    <row r="5523" spans="4:4">
      <c r="D5523" s="265"/>
    </row>
    <row r="5525" spans="4:4">
      <c r="D5525" s="265"/>
    </row>
    <row r="5528" spans="4:4">
      <c r="D5528" s="265"/>
    </row>
    <row r="5530" spans="4:4">
      <c r="D5530" s="265"/>
    </row>
    <row r="5533" spans="4:4">
      <c r="D5533" s="265"/>
    </row>
    <row r="5534" spans="4:4">
      <c r="D5534" s="265"/>
    </row>
    <row r="5535" spans="4:4">
      <c r="D5535" s="265"/>
    </row>
    <row r="5538" spans="4:4">
      <c r="D5538" s="265"/>
    </row>
    <row r="5551" spans="4:4">
      <c r="D5551" s="265"/>
    </row>
    <row r="5561" spans="4:4">
      <c r="D5561" s="265"/>
    </row>
    <row r="5565" spans="4:4">
      <c r="D5565" s="265"/>
    </row>
    <row r="5568" spans="4:4">
      <c r="D5568" s="265"/>
    </row>
    <row r="5570" spans="4:4">
      <c r="D5570" s="265"/>
    </row>
    <row r="5573" spans="4:4">
      <c r="D5573" s="265"/>
    </row>
    <row r="5574" spans="4:4">
      <c r="D5574" s="265"/>
    </row>
    <row r="5575" spans="4:4">
      <c r="D5575" s="265"/>
    </row>
    <row r="5578" spans="4:4">
      <c r="D5578" s="265"/>
    </row>
    <row r="5591" spans="4:4">
      <c r="D5591" s="265"/>
    </row>
    <row r="5593" spans="4:4">
      <c r="D5593" s="265"/>
    </row>
    <row r="5603" spans="4:4">
      <c r="D5603" s="265"/>
    </row>
    <row r="5605" spans="4:4">
      <c r="D5605" s="265"/>
    </row>
    <row r="5608" spans="4:4">
      <c r="D5608" s="265"/>
    </row>
    <row r="5610" spans="4:4">
      <c r="D5610" s="265"/>
    </row>
    <row r="5613" spans="4:4">
      <c r="D5613" s="265"/>
    </row>
    <row r="5614" spans="4:4">
      <c r="D5614" s="265"/>
    </row>
    <row r="5615" spans="4:4">
      <c r="D5615" s="265"/>
    </row>
    <row r="5618" spans="4:4">
      <c r="D5618" s="265"/>
    </row>
    <row r="5631" spans="4:4">
      <c r="D5631" s="265"/>
    </row>
    <row r="5633" spans="4:4">
      <c r="D5633" s="265"/>
    </row>
    <row r="5641" spans="4:4">
      <c r="D5641" s="265"/>
    </row>
    <row r="5643" spans="4:4">
      <c r="D5643" s="265"/>
    </row>
    <row r="5645" spans="4:4">
      <c r="D5645" s="265"/>
    </row>
    <row r="5653" spans="4:4">
      <c r="D5653" s="265"/>
    </row>
    <row r="5654" spans="4:4">
      <c r="D5654" s="265"/>
    </row>
    <row r="5655" spans="4:4">
      <c r="D5655" s="265"/>
    </row>
    <row r="5658" spans="4:4">
      <c r="D5658" s="265"/>
    </row>
    <row r="5688" spans="4:4">
      <c r="D5688" s="265"/>
    </row>
    <row r="5690" spans="4:4">
      <c r="D5690" s="265"/>
    </row>
    <row r="5693" spans="4:4">
      <c r="D5693" s="265"/>
    </row>
    <row r="5694" spans="4:4">
      <c r="D5694" s="265"/>
    </row>
    <row r="5698" spans="4:4">
      <c r="D5698" s="265"/>
    </row>
    <row r="5700" spans="4:4">
      <c r="D5700" s="265"/>
    </row>
    <row r="5703" spans="4:4">
      <c r="D5703" s="265"/>
    </row>
    <row r="5705" spans="4:4">
      <c r="D5705" s="265"/>
    </row>
    <row r="5711" spans="4:4">
      <c r="D5711" s="265"/>
    </row>
    <row r="5713" spans="4:4">
      <c r="D5713" s="265"/>
    </row>
    <row r="5723" spans="4:4">
      <c r="D5723" s="265"/>
    </row>
    <row r="5725" spans="4:4">
      <c r="D5725" s="265"/>
    </row>
    <row r="5733" spans="4:4">
      <c r="D5733" s="265"/>
    </row>
    <row r="5734" spans="4:4">
      <c r="D5734" s="265"/>
    </row>
    <row r="5735" spans="4:4">
      <c r="D5735" s="265"/>
    </row>
    <row r="5738" spans="4:4">
      <c r="D5738" s="265"/>
    </row>
    <row r="5773" spans="4:4">
      <c r="D5773" s="265"/>
    </row>
    <row r="5774" spans="4:4">
      <c r="D5774" s="265"/>
    </row>
    <row r="5775" spans="4:4">
      <c r="D5775" s="265"/>
    </row>
    <row r="5778" spans="4:4">
      <c r="D5778" s="265"/>
    </row>
    <row r="5813" spans="4:4">
      <c r="D5813" s="265"/>
    </row>
    <row r="5814" spans="4:4">
      <c r="D5814" s="265"/>
    </row>
    <row r="5815" spans="4:4">
      <c r="D5815" s="265"/>
    </row>
    <row r="5818" spans="4:4">
      <c r="D5818" s="265"/>
    </row>
    <row r="5853" spans="4:4">
      <c r="D5853" s="265"/>
    </row>
    <row r="5854" spans="4:4">
      <c r="D5854" s="265"/>
    </row>
    <row r="5855" spans="4:4">
      <c r="D5855" s="265"/>
    </row>
    <row r="5858" spans="4:4">
      <c r="D5858" s="265"/>
    </row>
    <row r="5888" spans="4:4">
      <c r="D5888" s="265"/>
    </row>
    <row r="5890" spans="4:4">
      <c r="D5890" s="265"/>
    </row>
    <row r="5893" spans="4:4">
      <c r="D5893" s="265"/>
    </row>
    <row r="5894" spans="4:4">
      <c r="D5894" s="265"/>
    </row>
    <row r="5895" spans="4:4">
      <c r="D5895" s="265"/>
    </row>
    <row r="5898" spans="4:4">
      <c r="D5898" s="265"/>
    </row>
    <row r="5911" spans="4:4">
      <c r="D5911" s="265"/>
    </row>
    <row r="5913" spans="4:4">
      <c r="D5913" s="265"/>
    </row>
    <row r="5921" spans="4:4">
      <c r="D5921" s="265"/>
    </row>
    <row r="5923" spans="4:4">
      <c r="D5923" s="265"/>
    </row>
    <row r="5925" spans="4:4">
      <c r="D5925" s="265"/>
    </row>
    <row r="5930" spans="4:4">
      <c r="D5930" s="265"/>
    </row>
    <row r="5931" spans="4:4">
      <c r="D5931" s="265"/>
    </row>
    <row r="5933" spans="4:4">
      <c r="D5933" s="265"/>
    </row>
    <row r="5934" spans="4:4">
      <c r="D5934" s="265"/>
    </row>
    <row r="5935" spans="4:4">
      <c r="D5935" s="265"/>
    </row>
    <row r="5937" spans="4:4">
      <c r="D5937" s="265"/>
    </row>
    <row r="5938" spans="4:4">
      <c r="D5938" s="265"/>
    </row>
    <row r="5963" spans="4:4">
      <c r="D5963" s="265"/>
    </row>
    <row r="5965" spans="4:4">
      <c r="D5965" s="265"/>
    </row>
    <row r="5968" spans="4:4">
      <c r="D5968" s="265"/>
    </row>
    <row r="5970" spans="4:4">
      <c r="D5970" s="265"/>
    </row>
    <row r="5973" spans="4:4">
      <c r="D5973" s="265"/>
    </row>
    <row r="5974" spans="4:4">
      <c r="D5974" s="265"/>
    </row>
    <row r="5975" spans="4:4">
      <c r="D5975" s="265"/>
    </row>
    <row r="5978" spans="4:4">
      <c r="D5978" s="265"/>
    </row>
    <row r="5991" spans="4:4">
      <c r="D5991" s="265"/>
    </row>
    <row r="5993" spans="4:4">
      <c r="D5993" s="265"/>
    </row>
    <row r="6005" spans="4:4">
      <c r="D6005" s="265"/>
    </row>
    <row r="6013" spans="4:4">
      <c r="D6013" s="265"/>
    </row>
    <row r="6014" spans="4:4">
      <c r="D6014" s="265"/>
    </row>
    <row r="6015" spans="4:4">
      <c r="D6015" s="265"/>
    </row>
    <row r="6018" spans="4:4">
      <c r="D6018" s="265"/>
    </row>
    <row r="6053" spans="4:4">
      <c r="D6053" s="265"/>
    </row>
    <row r="6054" spans="4:4">
      <c r="D6054" s="265"/>
    </row>
    <row r="6055" spans="4:4">
      <c r="D6055" s="265"/>
    </row>
    <row r="6058" spans="4:4">
      <c r="D6058" s="265"/>
    </row>
    <row r="6093" spans="4:4">
      <c r="D6093" s="265"/>
    </row>
    <row r="6094" spans="4:4">
      <c r="D6094" s="265"/>
    </row>
    <row r="6095" spans="4:4">
      <c r="D6095" s="265"/>
    </row>
    <row r="6098" spans="4:4">
      <c r="D6098" s="265"/>
    </row>
    <row r="6134" spans="4:4">
      <c r="D6134" s="265"/>
    </row>
    <row r="6135" spans="4:4">
      <c r="D6135" s="265"/>
    </row>
    <row r="6138" spans="4:4">
      <c r="D6138" s="265"/>
    </row>
    <row r="6172" spans="4:4">
      <c r="D6172" s="265"/>
    </row>
    <row r="6174" spans="4:4">
      <c r="D6174" s="265"/>
    </row>
    <row r="6175" spans="4:4">
      <c r="D6175" s="265"/>
    </row>
    <row r="6178" spans="4:4">
      <c r="D6178" s="265"/>
    </row>
    <row r="6183" spans="4:4">
      <c r="D6183" s="265"/>
    </row>
    <row r="6185" spans="4:4">
      <c r="D6185" s="265"/>
    </row>
    <row r="6213" spans="4:4">
      <c r="D6213" s="265"/>
    </row>
    <row r="6214" spans="4:4">
      <c r="D6214" s="265"/>
    </row>
    <row r="6215" spans="4:4">
      <c r="D6215" s="265"/>
    </row>
    <row r="6218" spans="4:4">
      <c r="D6218" s="265"/>
    </row>
    <row r="6248" spans="4:4">
      <c r="D6248" s="265"/>
    </row>
    <row r="6250" spans="4:4">
      <c r="D6250" s="265"/>
    </row>
    <row r="6253" spans="4:4">
      <c r="D6253" s="265"/>
    </row>
    <row r="6254" spans="4:4">
      <c r="D6254" s="265"/>
    </row>
    <row r="6255" spans="4:4">
      <c r="D6255" s="265"/>
    </row>
    <row r="6258" spans="4:4">
      <c r="D6258" s="265"/>
    </row>
    <row r="6271" spans="4:4">
      <c r="D6271" s="265"/>
    </row>
    <row r="6273" spans="4:4">
      <c r="D6273" s="265"/>
    </row>
    <row r="6283" spans="4:4">
      <c r="D6283" s="265"/>
    </row>
    <row r="6285" spans="4:4">
      <c r="D6285" s="265"/>
    </row>
    <row r="6293" spans="4:4">
      <c r="D6293" s="265"/>
    </row>
    <row r="6294" spans="4:4">
      <c r="D6294" s="265"/>
    </row>
    <row r="6295" spans="4:4">
      <c r="D6295" s="265"/>
    </row>
    <row r="6298" spans="4:4">
      <c r="D6298" s="265"/>
    </row>
    <row r="6328" spans="4:4">
      <c r="D6328" s="265"/>
    </row>
    <row r="6330" spans="4:4">
      <c r="D6330" s="265"/>
    </row>
    <row r="6333" spans="4:4">
      <c r="D6333" s="265"/>
    </row>
    <row r="6334" spans="4:4">
      <c r="D6334" s="265"/>
    </row>
    <row r="6335" spans="4:4">
      <c r="D6335" s="265"/>
    </row>
    <row r="6338" spans="4:4">
      <c r="D6338" s="265"/>
    </row>
    <row r="6353" spans="4:4">
      <c r="D6353" s="265"/>
    </row>
    <row r="6363" spans="4:4">
      <c r="D6363" s="265"/>
    </row>
    <row r="6365" spans="4:4">
      <c r="D6365" s="265"/>
    </row>
    <row r="6368" spans="4:4">
      <c r="D6368" s="265"/>
    </row>
    <row r="6370" spans="4:4">
      <c r="D6370" s="265"/>
    </row>
    <row r="6373" spans="4:4">
      <c r="D6373" s="265"/>
    </row>
    <row r="6374" spans="4:4">
      <c r="D6374" s="265"/>
    </row>
    <row r="6375" spans="4:4">
      <c r="D6375" s="265"/>
    </row>
    <row r="6377" spans="4:4">
      <c r="D6377" s="265"/>
    </row>
    <row r="6378" spans="4:4">
      <c r="D6378" s="265"/>
    </row>
    <row r="6391" spans="4:4">
      <c r="D6391" s="265"/>
    </row>
    <row r="6393" spans="4:4">
      <c r="D6393" s="265"/>
    </row>
    <row r="6403" spans="4:4">
      <c r="D6403" s="265"/>
    </row>
    <row r="6405" spans="4:4">
      <c r="D6405" s="265"/>
    </row>
    <row r="6412" spans="4:4">
      <c r="D6412" s="265"/>
    </row>
    <row r="6414" spans="4:4">
      <c r="D6414" s="265"/>
    </row>
    <row r="6415" spans="4:4">
      <c r="D6415" s="265"/>
    </row>
    <row r="6418" spans="4:4">
      <c r="D6418" s="265"/>
    </row>
    <row r="6423" spans="4:4">
      <c r="D6423" s="265"/>
    </row>
    <row r="6448" spans="4:4">
      <c r="D6448" s="265"/>
    </row>
    <row r="6450" spans="4:4">
      <c r="D6450" s="265"/>
    </row>
    <row r="6453" spans="4:4">
      <c r="D6453" s="265"/>
    </row>
    <row r="6454" spans="4:4">
      <c r="D6454" s="265"/>
    </row>
    <row r="6458" spans="4:4">
      <c r="D6458" s="265"/>
    </row>
    <row r="6471" spans="4:4">
      <c r="D6471" s="265"/>
    </row>
    <row r="6473" spans="4:4">
      <c r="D6473" s="265"/>
    </row>
    <row r="6475" spans="4:4">
      <c r="D6475" s="265"/>
    </row>
    <row r="6483" spans="4:4">
      <c r="D6483" s="265"/>
    </row>
    <row r="6485" spans="4:4">
      <c r="D6485" s="265"/>
    </row>
    <row r="6488" spans="4:4">
      <c r="D6488" s="265"/>
    </row>
    <row r="6490" spans="4:4">
      <c r="D6490" s="265"/>
    </row>
    <row r="6493" spans="4:4">
      <c r="D6493" s="265"/>
    </row>
    <row r="6494" spans="4:4">
      <c r="D6494" s="265"/>
    </row>
    <row r="6495" spans="4:4">
      <c r="D6495" s="265"/>
    </row>
    <row r="6498" spans="4:4">
      <c r="D6498" s="265"/>
    </row>
    <row r="6511" spans="4:4">
      <c r="D6511" s="265"/>
    </row>
    <row r="6513" spans="4:4">
      <c r="D6513" s="265"/>
    </row>
    <row r="6523" spans="4:4">
      <c r="D6523" s="265"/>
    </row>
    <row r="6525" spans="4:4">
      <c r="D6525" s="265"/>
    </row>
    <row r="6538" spans="4:4">
      <c r="D6538" s="265"/>
    </row>
    <row r="6568" spans="4:4">
      <c r="D6568" s="265"/>
    </row>
    <row r="6570" spans="4:4">
      <c r="D6570" s="265"/>
    </row>
    <row r="6573" spans="4:4">
      <c r="D6573" s="265"/>
    </row>
    <row r="6574" spans="4:4">
      <c r="D6574" s="265"/>
    </row>
    <row r="6605" spans="4:4">
      <c r="D6605" s="265"/>
    </row>
    <row r="6613" spans="4:4">
      <c r="D6613" s="265"/>
    </row>
    <row r="6614" spans="4:4">
      <c r="D6614" s="265"/>
    </row>
    <row r="6615" spans="4:4">
      <c r="D6615" s="265"/>
    </row>
    <row r="6618" spans="4:4">
      <c r="D6618" s="265"/>
    </row>
    <row r="6693" spans="4:4">
      <c r="D6693" s="265"/>
    </row>
    <row r="6694" spans="4:4">
      <c r="D6694" s="265"/>
    </row>
    <row r="6695" spans="4:4">
      <c r="D6695" s="265"/>
    </row>
    <row r="6698" spans="4:4">
      <c r="D6698" s="265"/>
    </row>
    <row r="6730" spans="4:4">
      <c r="D6730" s="265"/>
    </row>
    <row r="6731" spans="4:4">
      <c r="D6731" s="265"/>
    </row>
    <row r="6732" spans="4:4">
      <c r="D6732" s="265"/>
    </row>
    <row r="6733" spans="4:4">
      <c r="D6733" s="265"/>
    </row>
    <row r="6734" spans="4:4">
      <c r="D6734" s="265"/>
    </row>
    <row r="6735" spans="4:4">
      <c r="D6735" s="265"/>
    </row>
    <row r="6737" spans="4:4">
      <c r="D6737" s="265"/>
    </row>
    <row r="6738" spans="4:4">
      <c r="D6738" s="265"/>
    </row>
    <row r="6765" spans="4:4">
      <c r="D6765" s="265"/>
    </row>
    <row r="6773" spans="4:4">
      <c r="D6773" s="265"/>
    </row>
    <row r="6774" spans="4:4">
      <c r="D6774" s="265"/>
    </row>
    <row r="6775" spans="4:4">
      <c r="D6775" s="265"/>
    </row>
    <row r="6778" spans="4:4">
      <c r="D6778" s="265"/>
    </row>
    <row r="6808" spans="4:4">
      <c r="D6808" s="265"/>
    </row>
    <row r="6810" spans="4:4">
      <c r="D6810" s="265"/>
    </row>
    <row r="6813" spans="4:4">
      <c r="D6813" s="265"/>
    </row>
    <row r="6814" spans="4:4">
      <c r="D6814" s="265"/>
    </row>
    <row r="6818" spans="4:4">
      <c r="D6818" s="265"/>
    </row>
    <row r="6831" spans="4:4">
      <c r="D6831" s="265"/>
    </row>
    <row r="6833" spans="4:4">
      <c r="D6833" s="265"/>
    </row>
    <row r="6835" spans="4:4">
      <c r="D6835" s="265"/>
    </row>
    <row r="6843" spans="4:4">
      <c r="D6843" s="265"/>
    </row>
    <row r="6845" spans="4:4">
      <c r="D6845" s="265"/>
    </row>
    <row r="6850" spans="4:4">
      <c r="D6850" s="265"/>
    </row>
    <row r="6853" spans="4:4">
      <c r="D6853" s="265"/>
    </row>
    <row r="6854" spans="4:4">
      <c r="D6854" s="265"/>
    </row>
    <row r="6855" spans="4:4">
      <c r="D6855" s="265"/>
    </row>
    <row r="6858" spans="4:4">
      <c r="D6858" s="265"/>
    </row>
    <row r="6863" spans="4:4">
      <c r="D6863" s="265"/>
    </row>
    <row r="6865" spans="4:4">
      <c r="D6865" s="265"/>
    </row>
    <row r="6885" spans="4:4">
      <c r="D6885" s="265"/>
    </row>
    <row r="6890" spans="4:4">
      <c r="D6890" s="265"/>
    </row>
    <row r="6893" spans="4:4">
      <c r="D6893" s="265"/>
    </row>
    <row r="6894" spans="4:4">
      <c r="D6894" s="265"/>
    </row>
    <row r="6895" spans="4:4">
      <c r="D6895" s="265"/>
    </row>
    <row r="6898" spans="4:4">
      <c r="D6898" s="265"/>
    </row>
    <row r="6921" spans="4:4">
      <c r="D6921" s="265"/>
    </row>
    <row r="6925" spans="4:4">
      <c r="D6925" s="265"/>
    </row>
    <row r="6928" spans="4:4">
      <c r="D6928" s="265"/>
    </row>
    <row r="6930" spans="4:4">
      <c r="D6930" s="265"/>
    </row>
    <row r="6931" spans="4:4">
      <c r="D6931" s="265"/>
    </row>
    <row r="6933" spans="4:4">
      <c r="D6933" s="265"/>
    </row>
    <row r="6934" spans="4:4">
      <c r="D6934" s="265"/>
    </row>
    <row r="6935" spans="4:4">
      <c r="D6935" s="265"/>
    </row>
    <row r="6937" spans="4:4">
      <c r="D6937" s="265"/>
    </row>
    <row r="6938" spans="4:4">
      <c r="D6938" s="265"/>
    </row>
    <row r="6961" spans="4:4">
      <c r="D6961" s="265"/>
    </row>
    <row r="6963" spans="4:4">
      <c r="D6963" s="265"/>
    </row>
    <row r="6965" spans="4:4">
      <c r="D6965" s="265"/>
    </row>
    <row r="6968" spans="4:4">
      <c r="D6968" s="265"/>
    </row>
    <row r="6970" spans="4:4">
      <c r="D6970" s="265"/>
    </row>
    <row r="6971" spans="4:4">
      <c r="D6971" s="265"/>
    </row>
    <row r="6973" spans="4:4">
      <c r="D6973" s="265"/>
    </row>
    <row r="6974" spans="4:4">
      <c r="D6974" s="265"/>
    </row>
    <row r="6975" spans="4:4">
      <c r="D6975" s="265"/>
    </row>
    <row r="6977" spans="4:4">
      <c r="D6977" s="265"/>
    </row>
    <row r="6978" spans="4:4">
      <c r="D6978" s="265"/>
    </row>
    <row r="6991" spans="4:4">
      <c r="D6991" s="265"/>
    </row>
    <row r="6993" spans="4:4">
      <c r="D6993" s="265"/>
    </row>
    <row r="6995" spans="4:4">
      <c r="D6995" s="265"/>
    </row>
    <row r="6997" spans="4:4">
      <c r="D6997" s="265"/>
    </row>
    <row r="7001" spans="4:4">
      <c r="D7001" s="265"/>
    </row>
    <row r="7003" spans="4:4">
      <c r="D7003" s="265"/>
    </row>
    <row r="7005" spans="4:4">
      <c r="D7005" s="265"/>
    </row>
    <row r="7010" spans="4:4">
      <c r="D7010" s="265"/>
    </row>
    <row r="7013" spans="4:4">
      <c r="D7013" s="265"/>
    </row>
    <row r="7014" spans="4:4">
      <c r="D7014" s="265"/>
    </row>
    <row r="7015" spans="4:4">
      <c r="D7015" s="265"/>
    </row>
    <row r="7018" spans="4:4">
      <c r="D7018" s="265"/>
    </row>
    <row r="7045" spans="4:4">
      <c r="D7045" s="265"/>
    </row>
    <row r="7050" spans="4:4">
      <c r="D7050" s="265"/>
    </row>
    <row r="7052" spans="4:4">
      <c r="D7052" s="265"/>
    </row>
    <row r="7053" spans="4:4">
      <c r="D7053" s="265"/>
    </row>
    <row r="7054" spans="4:4">
      <c r="D7054" s="265"/>
    </row>
    <row r="7055" spans="4:4">
      <c r="D7055" s="265"/>
    </row>
    <row r="7058" spans="4:4">
      <c r="D7058" s="265"/>
    </row>
    <row r="7060" spans="4:4">
      <c r="D7060" s="265"/>
    </row>
    <row r="7063" spans="4:4">
      <c r="D7063" s="265"/>
    </row>
    <row r="7065" spans="4:4">
      <c r="D7065" s="265"/>
    </row>
    <row r="7071" spans="4:4">
      <c r="D7071" s="265"/>
    </row>
    <row r="7073" spans="4:4">
      <c r="D7073" s="265"/>
    </row>
    <row r="7075" spans="4:4">
      <c r="D7075" s="265"/>
    </row>
    <row r="7079" spans="4:4">
      <c r="D7079" s="265"/>
    </row>
    <row r="7083" spans="4:4">
      <c r="D7083" s="265"/>
    </row>
    <row r="7085" spans="4:4">
      <c r="D7085" s="265"/>
    </row>
    <row r="7093" spans="4:4">
      <c r="D7093" s="265"/>
    </row>
    <row r="7094" spans="4:4">
      <c r="D7094" s="265"/>
    </row>
    <row r="7095" spans="4:4">
      <c r="D7095" s="265"/>
    </row>
    <row r="7098" spans="4:4">
      <c r="D7098" s="265"/>
    </row>
    <row r="7130" spans="4:4">
      <c r="D7130" s="265"/>
    </row>
    <row r="7132" spans="4:4">
      <c r="D7132" s="265"/>
    </row>
    <row r="7133" spans="4:4">
      <c r="D7133" s="265"/>
    </row>
    <row r="7134" spans="4:4">
      <c r="D7134" s="265"/>
    </row>
    <row r="7135" spans="4:4">
      <c r="D7135" s="265"/>
    </row>
    <row r="7138" spans="4:4">
      <c r="D7138" s="265"/>
    </row>
    <row r="7143" spans="4:4">
      <c r="D7143" s="265"/>
    </row>
    <row r="7145" spans="4:4">
      <c r="D7145" s="265"/>
    </row>
    <row r="7151" spans="4:4">
      <c r="D7151" s="265"/>
    </row>
    <row r="7153" spans="4:4">
      <c r="D7153" s="265"/>
    </row>
    <row r="7163" spans="4:4">
      <c r="D7163" s="265"/>
    </row>
    <row r="7165" spans="4:4">
      <c r="D7165" s="265"/>
    </row>
    <row r="7168" spans="4:4">
      <c r="D7168" s="265"/>
    </row>
    <row r="7170" spans="4:4">
      <c r="D7170" s="265"/>
    </row>
    <row r="7173" spans="4:4">
      <c r="D7173" s="265"/>
    </row>
    <row r="7174" spans="4:4">
      <c r="D7174" s="265"/>
    </row>
    <row r="7175" spans="4:4">
      <c r="D7175" s="265"/>
    </row>
    <row r="7178" spans="4:4">
      <c r="D7178" s="265"/>
    </row>
    <row r="7180" spans="4:4">
      <c r="D7180" s="265"/>
    </row>
    <row r="7191" spans="4:4">
      <c r="D7191" s="265"/>
    </row>
    <row r="7193" spans="4:4">
      <c r="D7193" s="265"/>
    </row>
    <row r="7195" spans="4:4">
      <c r="D7195" s="265"/>
    </row>
    <row r="7199" spans="4:4">
      <c r="D7199" s="265"/>
    </row>
    <row r="7201" spans="4:4">
      <c r="D7201" s="265"/>
    </row>
    <row r="7203" spans="4:4">
      <c r="D7203" s="265"/>
    </row>
    <row r="7205" spans="4:4">
      <c r="D7205" s="265"/>
    </row>
    <row r="7210" spans="4:4">
      <c r="D7210" s="265"/>
    </row>
    <row r="7212" spans="4:4">
      <c r="D7212" s="265"/>
    </row>
    <row r="7213" spans="4:4">
      <c r="D7213" s="265"/>
    </row>
    <row r="7214" spans="4:4">
      <c r="D7214" s="265"/>
    </row>
    <row r="7215" spans="4:4">
      <c r="D7215" s="265"/>
    </row>
    <row r="7218" spans="4:4">
      <c r="D7218" s="265"/>
    </row>
    <row r="7231" spans="4:4">
      <c r="D7231" s="265"/>
    </row>
    <row r="7233" spans="4:4">
      <c r="D7233" s="265"/>
    </row>
    <row r="7241" spans="4:4">
      <c r="D7241" s="265"/>
    </row>
    <row r="7243" spans="4:4">
      <c r="D7243" s="265"/>
    </row>
    <row r="7245" spans="4:4">
      <c r="D7245" s="265"/>
    </row>
    <row r="7248" spans="4:4">
      <c r="D7248" s="265"/>
    </row>
    <row r="7250" spans="4:4">
      <c r="D7250" s="265"/>
    </row>
    <row r="7253" spans="4:4">
      <c r="D7253" s="265"/>
    </row>
    <row r="7254" spans="4:4">
      <c r="D7254" s="265"/>
    </row>
    <row r="7255" spans="4:4">
      <c r="D7255" s="265"/>
    </row>
    <row r="7258" spans="4:4">
      <c r="D7258" s="265"/>
    </row>
    <row r="7260" spans="4:4">
      <c r="D7260" s="265"/>
    </row>
    <row r="7271" spans="4:4">
      <c r="D7271" s="265"/>
    </row>
    <row r="7273" spans="4:4">
      <c r="D7273" s="265"/>
    </row>
    <row r="7275" spans="4:4">
      <c r="D7275" s="265"/>
    </row>
    <row r="7281" spans="4:4">
      <c r="D7281" s="265"/>
    </row>
    <row r="7283" spans="4:4">
      <c r="D7283" s="265"/>
    </row>
    <row r="7285" spans="4:4">
      <c r="D7285" s="265"/>
    </row>
  </sheetData>
  <conditionalFormatting sqref="J6">
    <cfRule type="cellIs" dxfId="3" priority="4" operator="greaterThan">
      <formula>30000</formula>
    </cfRule>
  </conditionalFormatting>
  <conditionalFormatting sqref="B8:F1158">
    <cfRule type="expression" dxfId="2" priority="3">
      <formula>$D8&gt;$F$5</formula>
    </cfRule>
  </conditionalFormatting>
  <conditionalFormatting sqref="I8:N10">
    <cfRule type="expression" dxfId="1" priority="2">
      <formula>I$8&lt;$K$5</formula>
    </cfRule>
  </conditionalFormatting>
  <conditionalFormatting sqref="H19:L68">
    <cfRule type="expression" dxfId="0" priority="1">
      <formula>AND($I19&lt;$L$14,$J19&gt;$L$15)</formula>
    </cfRule>
  </conditionalFormatting>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2:F27"/>
  <sheetViews>
    <sheetView zoomScaleNormal="100" workbookViewId="0">
      <selection sqref="A1:D7"/>
    </sheetView>
  </sheetViews>
  <sheetFormatPr defaultColWidth="8.77734375" defaultRowHeight="14.4"/>
  <cols>
    <col min="2" max="2" width="48.6640625" customWidth="1"/>
    <col min="3" max="3" width="42.44140625" customWidth="1"/>
  </cols>
  <sheetData>
    <row r="2" spans="2:6">
      <c r="B2" s="223" t="s">
        <v>3329</v>
      </c>
    </row>
    <row r="3" spans="2:6">
      <c r="B3" t="s">
        <v>3330</v>
      </c>
      <c r="C3" s="298" t="s">
        <v>3335</v>
      </c>
      <c r="D3" t="s">
        <v>3336</v>
      </c>
    </row>
    <row r="4" spans="2:6">
      <c r="B4" t="s">
        <v>3331</v>
      </c>
      <c r="C4" s="292">
        <v>1212.7</v>
      </c>
    </row>
    <row r="5" spans="2:6">
      <c r="B5" t="s">
        <v>3332</v>
      </c>
      <c r="C5" s="292">
        <v>-1212.7</v>
      </c>
    </row>
    <row r="6" spans="2:6">
      <c r="B6" t="s">
        <v>3333</v>
      </c>
      <c r="C6" s="292">
        <v>0</v>
      </c>
      <c r="D6" t="s">
        <v>3338</v>
      </c>
    </row>
    <row r="7" spans="2:6">
      <c r="B7" t="s">
        <v>3334</v>
      </c>
      <c r="C7" s="292" t="s">
        <v>3337</v>
      </c>
      <c r="D7" s="221" t="s">
        <v>3339</v>
      </c>
    </row>
    <row r="9" spans="2:6">
      <c r="B9" s="223" t="s">
        <v>3345</v>
      </c>
    </row>
    <row r="10" spans="2:6">
      <c r="B10" s="221" t="s">
        <v>3330</v>
      </c>
      <c r="C10" s="298" t="s">
        <v>3342</v>
      </c>
    </row>
    <row r="11" spans="2:6">
      <c r="B11" t="s">
        <v>3340</v>
      </c>
      <c r="C11" s="293">
        <v>15</v>
      </c>
      <c r="F11" s="291"/>
    </row>
    <row r="12" spans="2:6">
      <c r="B12" s="221" t="s">
        <v>3341</v>
      </c>
      <c r="C12" s="293">
        <v>-15</v>
      </c>
    </row>
    <row r="14" spans="2:6">
      <c r="B14" s="223" t="s">
        <v>3343</v>
      </c>
    </row>
    <row r="15" spans="2:6">
      <c r="B15" s="221" t="s">
        <v>3330</v>
      </c>
      <c r="C15" s="298" t="s">
        <v>3344</v>
      </c>
    </row>
    <row r="16" spans="2:6">
      <c r="B16" s="221" t="s">
        <v>3340</v>
      </c>
      <c r="C16" s="294">
        <v>15</v>
      </c>
    </row>
    <row r="17" spans="2:3">
      <c r="B17" s="221" t="s">
        <v>3341</v>
      </c>
      <c r="C17" s="294">
        <v>-15</v>
      </c>
    </row>
    <row r="19" spans="2:3">
      <c r="B19" s="223" t="s">
        <v>3346</v>
      </c>
    </row>
    <row r="20" spans="2:3">
      <c r="B20" s="221" t="s">
        <v>3330</v>
      </c>
      <c r="C20" s="298" t="s">
        <v>3349</v>
      </c>
    </row>
    <row r="21" spans="2:3">
      <c r="B21" s="221" t="s">
        <v>3347</v>
      </c>
      <c r="C21" s="295">
        <v>5</v>
      </c>
    </row>
    <row r="22" spans="2:3">
      <c r="B22" s="221" t="s">
        <v>3332</v>
      </c>
      <c r="C22" s="295">
        <v>-4</v>
      </c>
    </row>
    <row r="23" spans="2:3">
      <c r="B23" t="s">
        <v>3348</v>
      </c>
      <c r="C23" s="295">
        <v>0</v>
      </c>
    </row>
    <row r="25" spans="2:3">
      <c r="B25" s="223" t="s">
        <v>3350</v>
      </c>
    </row>
    <row r="26" spans="2:3">
      <c r="B26" s="296">
        <v>5</v>
      </c>
      <c r="C26" s="298" t="s">
        <v>3351</v>
      </c>
    </row>
    <row r="27" spans="2:3">
      <c r="B27" s="297">
        <v>300</v>
      </c>
      <c r="C27" s="298" t="s">
        <v>3352</v>
      </c>
    </row>
  </sheetData>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118DF-9991-C847-B912-21F1A0860483}">
  <sheetPr>
    <pageSetUpPr fitToPage="1"/>
  </sheetPr>
  <dimension ref="A1:D801"/>
  <sheetViews>
    <sheetView zoomScaleNormal="100" workbookViewId="0"/>
  </sheetViews>
  <sheetFormatPr defaultColWidth="8.77734375" defaultRowHeight="14.4"/>
  <cols>
    <col min="1" max="1" width="14.44140625" style="221" bestFit="1" customWidth="1"/>
    <col min="2" max="2" width="12" style="221" bestFit="1" customWidth="1"/>
    <col min="3" max="3" width="12.44140625" style="221" bestFit="1" customWidth="1"/>
    <col min="4" max="4" width="35" style="221" bestFit="1" customWidth="1"/>
    <col min="5" max="5" width="29.77734375" style="221" customWidth="1"/>
    <col min="6" max="16384" width="8.77734375" style="221"/>
  </cols>
  <sheetData>
    <row r="1" spans="1:4">
      <c r="A1" t="s">
        <v>3353</v>
      </c>
      <c r="B1" s="223"/>
      <c r="C1" s="223"/>
      <c r="D1" s="223"/>
    </row>
    <row r="2" spans="1:4">
      <c r="A2" t="s">
        <v>3354</v>
      </c>
    </row>
    <row r="3" spans="1:4">
      <c r="A3" t="s">
        <v>3355</v>
      </c>
    </row>
    <row r="4" spans="1:4">
      <c r="A4" t="s">
        <v>3356</v>
      </c>
    </row>
    <row r="5" spans="1:4">
      <c r="A5" t="s">
        <v>3357</v>
      </c>
    </row>
    <row r="6" spans="1:4">
      <c r="A6" t="s">
        <v>3358</v>
      </c>
    </row>
    <row r="7" spans="1:4">
      <c r="A7" t="s">
        <v>3359</v>
      </c>
    </row>
    <row r="8" spans="1:4">
      <c r="A8" t="s">
        <v>3360</v>
      </c>
    </row>
    <row r="9" spans="1:4">
      <c r="A9" t="s">
        <v>3361</v>
      </c>
    </row>
    <row r="10" spans="1:4">
      <c r="A10" t="s">
        <v>3362</v>
      </c>
    </row>
    <row r="11" spans="1:4">
      <c r="A11" t="s">
        <v>3363</v>
      </c>
    </row>
    <row r="12" spans="1:4">
      <c r="A12" t="s">
        <v>3364</v>
      </c>
    </row>
    <row r="13" spans="1:4">
      <c r="A13" t="s">
        <v>3365</v>
      </c>
    </row>
    <row r="14" spans="1:4">
      <c r="A14" t="s">
        <v>3366</v>
      </c>
    </row>
    <row r="15" spans="1:4">
      <c r="A15" t="s">
        <v>3367</v>
      </c>
    </row>
    <row r="16" spans="1:4">
      <c r="A16" t="s">
        <v>3368</v>
      </c>
    </row>
    <row r="17" spans="1:1">
      <c r="A17" t="s">
        <v>3369</v>
      </c>
    </row>
    <row r="18" spans="1:1">
      <c r="A18" t="s">
        <v>3370</v>
      </c>
    </row>
    <row r="19" spans="1:1">
      <c r="A19" t="s">
        <v>3371</v>
      </c>
    </row>
    <row r="20" spans="1:1">
      <c r="A20" t="s">
        <v>3372</v>
      </c>
    </row>
    <row r="21" spans="1:1">
      <c r="A21" t="s">
        <v>3373</v>
      </c>
    </row>
    <row r="22" spans="1:1">
      <c r="A22" t="s">
        <v>3374</v>
      </c>
    </row>
    <row r="23" spans="1:1">
      <c r="A23" t="s">
        <v>3375</v>
      </c>
    </row>
    <row r="24" spans="1:1">
      <c r="A24" t="s">
        <v>3376</v>
      </c>
    </row>
    <row r="25" spans="1:1">
      <c r="A25" t="s">
        <v>3377</v>
      </c>
    </row>
    <row r="26" spans="1:1">
      <c r="A26" t="s">
        <v>3378</v>
      </c>
    </row>
    <row r="27" spans="1:1">
      <c r="A27" t="s">
        <v>3379</v>
      </c>
    </row>
    <row r="28" spans="1:1">
      <c r="A28" t="s">
        <v>3380</v>
      </c>
    </row>
    <row r="29" spans="1:1">
      <c r="A29" t="s">
        <v>3381</v>
      </c>
    </row>
    <row r="30" spans="1:1">
      <c r="A30" t="s">
        <v>3382</v>
      </c>
    </row>
    <row r="31" spans="1:1">
      <c r="A31" t="s">
        <v>3383</v>
      </c>
    </row>
    <row r="32" spans="1:1">
      <c r="A32" t="s">
        <v>3384</v>
      </c>
    </row>
    <row r="33" spans="1:1">
      <c r="A33" t="s">
        <v>3385</v>
      </c>
    </row>
    <row r="34" spans="1:1">
      <c r="A34" t="s">
        <v>3386</v>
      </c>
    </row>
    <row r="35" spans="1:1">
      <c r="A35" t="s">
        <v>3387</v>
      </c>
    </row>
    <row r="36" spans="1:1">
      <c r="A36" t="s">
        <v>3388</v>
      </c>
    </row>
    <row r="37" spans="1:1">
      <c r="A37" t="s">
        <v>3389</v>
      </c>
    </row>
    <row r="38" spans="1:1">
      <c r="A38" t="s">
        <v>3390</v>
      </c>
    </row>
    <row r="39" spans="1:1">
      <c r="A39" t="s">
        <v>3391</v>
      </c>
    </row>
    <row r="40" spans="1:1">
      <c r="A40" t="s">
        <v>3392</v>
      </c>
    </row>
    <row r="41" spans="1:1">
      <c r="A41" t="s">
        <v>3393</v>
      </c>
    </row>
    <row r="42" spans="1:1">
      <c r="A42" t="s">
        <v>3394</v>
      </c>
    </row>
    <row r="43" spans="1:1">
      <c r="A43" t="s">
        <v>3395</v>
      </c>
    </row>
    <row r="44" spans="1:1">
      <c r="A44" t="s">
        <v>3396</v>
      </c>
    </row>
    <row r="45" spans="1:1">
      <c r="A45" t="s">
        <v>3397</v>
      </c>
    </row>
    <row r="46" spans="1:1">
      <c r="A46" t="s">
        <v>3398</v>
      </c>
    </row>
    <row r="47" spans="1:1">
      <c r="A47" t="s">
        <v>3399</v>
      </c>
    </row>
    <row r="48" spans="1:1">
      <c r="A48" t="s">
        <v>3400</v>
      </c>
    </row>
    <row r="49" spans="1:1">
      <c r="A49" t="s">
        <v>3401</v>
      </c>
    </row>
    <row r="50" spans="1:1">
      <c r="A50" t="s">
        <v>3402</v>
      </c>
    </row>
    <row r="51" spans="1:1">
      <c r="A51" t="s">
        <v>3403</v>
      </c>
    </row>
    <row r="52" spans="1:1">
      <c r="A52" t="s">
        <v>3404</v>
      </c>
    </row>
    <row r="53" spans="1:1">
      <c r="A53" t="s">
        <v>3405</v>
      </c>
    </row>
    <row r="54" spans="1:1">
      <c r="A54" t="s">
        <v>3406</v>
      </c>
    </row>
    <row r="55" spans="1:1">
      <c r="A55" t="s">
        <v>3407</v>
      </c>
    </row>
    <row r="56" spans="1:1">
      <c r="A56" t="s">
        <v>3408</v>
      </c>
    </row>
    <row r="57" spans="1:1">
      <c r="A57" t="s">
        <v>3409</v>
      </c>
    </row>
    <row r="58" spans="1:1">
      <c r="A58" t="s">
        <v>3410</v>
      </c>
    </row>
    <row r="59" spans="1:1">
      <c r="A59" t="s">
        <v>3411</v>
      </c>
    </row>
    <row r="60" spans="1:1">
      <c r="A60" t="s">
        <v>3412</v>
      </c>
    </row>
    <row r="61" spans="1:1">
      <c r="A61" t="s">
        <v>3413</v>
      </c>
    </row>
    <row r="62" spans="1:1">
      <c r="A62" t="s">
        <v>3414</v>
      </c>
    </row>
    <row r="63" spans="1:1">
      <c r="A63" t="s">
        <v>3415</v>
      </c>
    </row>
    <row r="64" spans="1:1">
      <c r="A64" t="s">
        <v>3416</v>
      </c>
    </row>
    <row r="65" spans="1:1">
      <c r="A65" t="s">
        <v>3417</v>
      </c>
    </row>
    <row r="66" spans="1:1">
      <c r="A66" t="s">
        <v>3418</v>
      </c>
    </row>
    <row r="67" spans="1:1">
      <c r="A67" t="s">
        <v>3419</v>
      </c>
    </row>
    <row r="68" spans="1:1">
      <c r="A68" t="s">
        <v>3420</v>
      </c>
    </row>
    <row r="69" spans="1:1">
      <c r="A69" t="s">
        <v>3421</v>
      </c>
    </row>
    <row r="70" spans="1:1">
      <c r="A70" t="s">
        <v>3422</v>
      </c>
    </row>
    <row r="71" spans="1:1">
      <c r="A71" t="s">
        <v>3423</v>
      </c>
    </row>
    <row r="72" spans="1:1">
      <c r="A72" t="s">
        <v>3424</v>
      </c>
    </row>
    <row r="73" spans="1:1">
      <c r="A73" t="s">
        <v>3425</v>
      </c>
    </row>
    <row r="74" spans="1:1">
      <c r="A74" t="s">
        <v>3426</v>
      </c>
    </row>
    <row r="75" spans="1:1">
      <c r="A75" t="s">
        <v>3427</v>
      </c>
    </row>
    <row r="76" spans="1:1">
      <c r="A76" t="s">
        <v>3428</v>
      </c>
    </row>
    <row r="77" spans="1:1">
      <c r="A77" t="s">
        <v>3429</v>
      </c>
    </row>
    <row r="78" spans="1:1">
      <c r="A78" t="s">
        <v>3430</v>
      </c>
    </row>
    <row r="79" spans="1:1">
      <c r="A79" t="s">
        <v>3431</v>
      </c>
    </row>
    <row r="80" spans="1:1">
      <c r="A80" t="s">
        <v>3432</v>
      </c>
    </row>
    <row r="81" spans="1:1">
      <c r="A81" t="s">
        <v>3433</v>
      </c>
    </row>
    <row r="82" spans="1:1">
      <c r="A82" t="s">
        <v>3434</v>
      </c>
    </row>
    <row r="83" spans="1:1">
      <c r="A83" t="s">
        <v>3435</v>
      </c>
    </row>
    <row r="84" spans="1:1">
      <c r="A84" t="s">
        <v>3436</v>
      </c>
    </row>
    <row r="85" spans="1:1">
      <c r="A85" t="s">
        <v>3437</v>
      </c>
    </row>
    <row r="86" spans="1:1">
      <c r="A86" t="s">
        <v>3438</v>
      </c>
    </row>
    <row r="87" spans="1:1">
      <c r="A87" t="s">
        <v>3439</v>
      </c>
    </row>
    <row r="88" spans="1:1">
      <c r="A88" t="s">
        <v>3440</v>
      </c>
    </row>
    <row r="89" spans="1:1">
      <c r="A89" t="s">
        <v>3441</v>
      </c>
    </row>
    <row r="90" spans="1:1">
      <c r="A90" t="s">
        <v>3442</v>
      </c>
    </row>
    <row r="91" spans="1:1">
      <c r="A91" t="s">
        <v>3443</v>
      </c>
    </row>
    <row r="92" spans="1:1">
      <c r="A92" t="s">
        <v>3444</v>
      </c>
    </row>
    <row r="93" spans="1:1">
      <c r="A93" t="s">
        <v>3445</v>
      </c>
    </row>
    <row r="94" spans="1:1">
      <c r="A94" t="s">
        <v>3446</v>
      </c>
    </row>
    <row r="95" spans="1:1">
      <c r="A95" t="s">
        <v>3447</v>
      </c>
    </row>
    <row r="96" spans="1:1">
      <c r="A96" t="s">
        <v>3448</v>
      </c>
    </row>
    <row r="97" spans="1:1">
      <c r="A97" t="s">
        <v>3449</v>
      </c>
    </row>
    <row r="98" spans="1:1">
      <c r="A98" t="s">
        <v>3450</v>
      </c>
    </row>
    <row r="99" spans="1:1">
      <c r="A99" t="s">
        <v>3451</v>
      </c>
    </row>
    <row r="100" spans="1:1">
      <c r="A100" t="s">
        <v>3452</v>
      </c>
    </row>
    <row r="101" spans="1:1">
      <c r="A101" t="s">
        <v>3453</v>
      </c>
    </row>
    <row r="102" spans="1:1">
      <c r="A102" t="s">
        <v>3454</v>
      </c>
    </row>
    <row r="103" spans="1:1">
      <c r="A103" t="s">
        <v>3455</v>
      </c>
    </row>
    <row r="104" spans="1:1">
      <c r="A104" t="s">
        <v>3456</v>
      </c>
    </row>
    <row r="105" spans="1:1">
      <c r="A105" t="s">
        <v>3457</v>
      </c>
    </row>
    <row r="106" spans="1:1">
      <c r="A106" t="s">
        <v>3458</v>
      </c>
    </row>
    <row r="107" spans="1:1">
      <c r="A107" t="s">
        <v>3459</v>
      </c>
    </row>
    <row r="108" spans="1:1">
      <c r="A108" t="s">
        <v>3460</v>
      </c>
    </row>
    <row r="109" spans="1:1">
      <c r="A109" t="s">
        <v>3461</v>
      </c>
    </row>
    <row r="110" spans="1:1">
      <c r="A110" t="s">
        <v>3462</v>
      </c>
    </row>
    <row r="111" spans="1:1">
      <c r="A111" t="s">
        <v>3463</v>
      </c>
    </row>
    <row r="112" spans="1:1">
      <c r="A112" t="s">
        <v>3464</v>
      </c>
    </row>
    <row r="113" spans="1:1">
      <c r="A113" t="s">
        <v>3465</v>
      </c>
    </row>
    <row r="114" spans="1:1">
      <c r="A114" t="s">
        <v>3466</v>
      </c>
    </row>
    <row r="115" spans="1:1">
      <c r="A115" t="s">
        <v>3467</v>
      </c>
    </row>
    <row r="116" spans="1:1">
      <c r="A116" t="s">
        <v>3468</v>
      </c>
    </row>
    <row r="117" spans="1:1">
      <c r="A117" t="s">
        <v>3469</v>
      </c>
    </row>
    <row r="118" spans="1:1">
      <c r="A118" t="s">
        <v>3470</v>
      </c>
    </row>
    <row r="119" spans="1:1">
      <c r="A119" t="s">
        <v>3471</v>
      </c>
    </row>
    <row r="120" spans="1:1">
      <c r="A120" t="s">
        <v>3472</v>
      </c>
    </row>
    <row r="121" spans="1:1">
      <c r="A121" t="s">
        <v>3473</v>
      </c>
    </row>
    <row r="122" spans="1:1">
      <c r="A122" t="s">
        <v>3474</v>
      </c>
    </row>
    <row r="123" spans="1:1">
      <c r="A123" t="s">
        <v>3475</v>
      </c>
    </row>
    <row r="124" spans="1:1">
      <c r="A124" t="s">
        <v>3476</v>
      </c>
    </row>
    <row r="125" spans="1:1">
      <c r="A125" t="s">
        <v>3477</v>
      </c>
    </row>
    <row r="126" spans="1:1">
      <c r="A126" t="s">
        <v>3478</v>
      </c>
    </row>
    <row r="127" spans="1:1">
      <c r="A127" t="s">
        <v>3479</v>
      </c>
    </row>
    <row r="128" spans="1:1">
      <c r="A128" t="s">
        <v>3480</v>
      </c>
    </row>
    <row r="129" spans="1:1">
      <c r="A129" t="s">
        <v>3481</v>
      </c>
    </row>
    <row r="130" spans="1:1">
      <c r="A130" t="s">
        <v>3482</v>
      </c>
    </row>
    <row r="131" spans="1:1">
      <c r="A131" t="s">
        <v>3483</v>
      </c>
    </row>
    <row r="132" spans="1:1">
      <c r="A132" t="s">
        <v>3484</v>
      </c>
    </row>
    <row r="133" spans="1:1">
      <c r="A133" t="s">
        <v>3485</v>
      </c>
    </row>
    <row r="134" spans="1:1">
      <c r="A134" t="s">
        <v>3486</v>
      </c>
    </row>
    <row r="135" spans="1:1">
      <c r="A135" t="s">
        <v>3487</v>
      </c>
    </row>
    <row r="136" spans="1:1">
      <c r="A136" t="s">
        <v>3488</v>
      </c>
    </row>
    <row r="137" spans="1:1">
      <c r="A137" t="s">
        <v>3489</v>
      </c>
    </row>
    <row r="138" spans="1:1">
      <c r="A138" t="s">
        <v>3490</v>
      </c>
    </row>
    <row r="139" spans="1:1">
      <c r="A139" t="s">
        <v>3491</v>
      </c>
    </row>
    <row r="140" spans="1:1">
      <c r="A140" t="s">
        <v>3492</v>
      </c>
    </row>
    <row r="141" spans="1:1">
      <c r="A141" t="s">
        <v>3493</v>
      </c>
    </row>
    <row r="142" spans="1:1">
      <c r="A142" t="s">
        <v>3494</v>
      </c>
    </row>
    <row r="143" spans="1:1">
      <c r="A143" t="s">
        <v>3495</v>
      </c>
    </row>
    <row r="144" spans="1:1">
      <c r="A144" t="s">
        <v>3496</v>
      </c>
    </row>
    <row r="145" spans="1:1">
      <c r="A145" t="s">
        <v>3497</v>
      </c>
    </row>
    <row r="146" spans="1:1">
      <c r="A146" t="s">
        <v>3498</v>
      </c>
    </row>
    <row r="147" spans="1:1">
      <c r="A147" t="s">
        <v>3499</v>
      </c>
    </row>
    <row r="148" spans="1:1">
      <c r="A148" t="s">
        <v>3500</v>
      </c>
    </row>
    <row r="149" spans="1:1">
      <c r="A149" t="s">
        <v>3501</v>
      </c>
    </row>
    <row r="150" spans="1:1">
      <c r="A150" t="s">
        <v>3502</v>
      </c>
    </row>
    <row r="151" spans="1:1">
      <c r="A151" t="s">
        <v>3503</v>
      </c>
    </row>
    <row r="152" spans="1:1">
      <c r="A152" t="s">
        <v>3504</v>
      </c>
    </row>
    <row r="153" spans="1:1">
      <c r="A153" t="s">
        <v>3505</v>
      </c>
    </row>
    <row r="154" spans="1:1">
      <c r="A154" t="s">
        <v>3506</v>
      </c>
    </row>
    <row r="155" spans="1:1">
      <c r="A155" t="s">
        <v>3507</v>
      </c>
    </row>
    <row r="156" spans="1:1">
      <c r="A156" t="s">
        <v>3508</v>
      </c>
    </row>
    <row r="157" spans="1:1">
      <c r="A157" t="s">
        <v>3509</v>
      </c>
    </row>
    <row r="158" spans="1:1">
      <c r="A158" t="s">
        <v>3510</v>
      </c>
    </row>
    <row r="159" spans="1:1">
      <c r="A159" t="s">
        <v>3511</v>
      </c>
    </row>
    <row r="160" spans="1:1">
      <c r="A160" t="s">
        <v>3512</v>
      </c>
    </row>
    <row r="161" spans="1:1">
      <c r="A161" t="s">
        <v>3513</v>
      </c>
    </row>
    <row r="162" spans="1:1">
      <c r="A162" t="s">
        <v>3514</v>
      </c>
    </row>
    <row r="163" spans="1:1">
      <c r="A163" t="s">
        <v>3515</v>
      </c>
    </row>
    <row r="164" spans="1:1">
      <c r="A164" t="s">
        <v>3516</v>
      </c>
    </row>
    <row r="165" spans="1:1">
      <c r="A165" t="s">
        <v>3517</v>
      </c>
    </row>
    <row r="166" spans="1:1">
      <c r="A166" t="s">
        <v>3518</v>
      </c>
    </row>
    <row r="167" spans="1:1">
      <c r="A167" t="s">
        <v>3519</v>
      </c>
    </row>
    <row r="168" spans="1:1">
      <c r="A168" t="s">
        <v>3520</v>
      </c>
    </row>
    <row r="169" spans="1:1">
      <c r="A169" t="s">
        <v>3521</v>
      </c>
    </row>
    <row r="170" spans="1:1">
      <c r="A170" t="s">
        <v>3522</v>
      </c>
    </row>
    <row r="171" spans="1:1">
      <c r="A171" t="s">
        <v>3523</v>
      </c>
    </row>
    <row r="172" spans="1:1">
      <c r="A172" t="s">
        <v>3524</v>
      </c>
    </row>
    <row r="173" spans="1:1">
      <c r="A173" t="s">
        <v>3525</v>
      </c>
    </row>
    <row r="174" spans="1:1">
      <c r="A174" t="s">
        <v>3526</v>
      </c>
    </row>
    <row r="175" spans="1:1">
      <c r="A175" t="s">
        <v>3527</v>
      </c>
    </row>
    <row r="176" spans="1:1">
      <c r="A176" t="s">
        <v>3528</v>
      </c>
    </row>
    <row r="177" spans="1:1">
      <c r="A177" t="s">
        <v>3529</v>
      </c>
    </row>
    <row r="178" spans="1:1">
      <c r="A178" t="s">
        <v>3530</v>
      </c>
    </row>
    <row r="179" spans="1:1">
      <c r="A179" t="s">
        <v>3531</v>
      </c>
    </row>
    <row r="180" spans="1:1">
      <c r="A180" t="s">
        <v>3532</v>
      </c>
    </row>
    <row r="181" spans="1:1">
      <c r="A181" t="s">
        <v>3533</v>
      </c>
    </row>
    <row r="182" spans="1:1">
      <c r="A182" t="s">
        <v>3534</v>
      </c>
    </row>
    <row r="183" spans="1:1">
      <c r="A183" t="s">
        <v>3535</v>
      </c>
    </row>
    <row r="184" spans="1:1">
      <c r="A184" t="s">
        <v>3536</v>
      </c>
    </row>
    <row r="185" spans="1:1">
      <c r="A185" t="s">
        <v>3537</v>
      </c>
    </row>
    <row r="186" spans="1:1">
      <c r="A186" t="s">
        <v>3538</v>
      </c>
    </row>
    <row r="187" spans="1:1">
      <c r="A187" t="s">
        <v>3539</v>
      </c>
    </row>
    <row r="188" spans="1:1">
      <c r="A188" t="s">
        <v>3540</v>
      </c>
    </row>
    <row r="189" spans="1:1">
      <c r="A189" t="s">
        <v>3541</v>
      </c>
    </row>
    <row r="190" spans="1:1">
      <c r="A190" t="s">
        <v>3542</v>
      </c>
    </row>
    <row r="191" spans="1:1">
      <c r="A191" t="s">
        <v>3543</v>
      </c>
    </row>
    <row r="192" spans="1:1">
      <c r="A192" t="s">
        <v>3544</v>
      </c>
    </row>
    <row r="193" spans="1:1">
      <c r="A193" t="s">
        <v>3545</v>
      </c>
    </row>
    <row r="194" spans="1:1">
      <c r="A194" t="s">
        <v>3546</v>
      </c>
    </row>
    <row r="195" spans="1:1">
      <c r="A195" t="s">
        <v>3547</v>
      </c>
    </row>
    <row r="196" spans="1:1">
      <c r="A196" t="s">
        <v>3548</v>
      </c>
    </row>
    <row r="197" spans="1:1">
      <c r="A197" t="s">
        <v>3549</v>
      </c>
    </row>
    <row r="198" spans="1:1">
      <c r="A198" t="s">
        <v>3550</v>
      </c>
    </row>
    <row r="199" spans="1:1">
      <c r="A199" t="s">
        <v>3551</v>
      </c>
    </row>
    <row r="200" spans="1:1">
      <c r="A200" t="s">
        <v>3552</v>
      </c>
    </row>
    <row r="201" spans="1:1">
      <c r="A201" t="s">
        <v>3553</v>
      </c>
    </row>
    <row r="202" spans="1:1">
      <c r="A202" t="s">
        <v>3554</v>
      </c>
    </row>
    <row r="203" spans="1:1">
      <c r="A203" t="s">
        <v>3555</v>
      </c>
    </row>
    <row r="204" spans="1:1">
      <c r="A204" t="s">
        <v>3556</v>
      </c>
    </row>
    <row r="205" spans="1:1">
      <c r="A205" t="s">
        <v>3557</v>
      </c>
    </row>
    <row r="206" spans="1:1">
      <c r="A206" t="s">
        <v>3558</v>
      </c>
    </row>
    <row r="207" spans="1:1">
      <c r="A207" t="s">
        <v>3559</v>
      </c>
    </row>
    <row r="208" spans="1:1">
      <c r="A208" t="s">
        <v>3560</v>
      </c>
    </row>
    <row r="209" spans="1:1">
      <c r="A209" t="s">
        <v>3561</v>
      </c>
    </row>
    <row r="210" spans="1:1">
      <c r="A210" t="s">
        <v>3562</v>
      </c>
    </row>
    <row r="211" spans="1:1">
      <c r="A211" t="s">
        <v>3563</v>
      </c>
    </row>
    <row r="212" spans="1:1">
      <c r="A212" t="s">
        <v>3564</v>
      </c>
    </row>
    <row r="213" spans="1:1">
      <c r="A213" t="s">
        <v>3565</v>
      </c>
    </row>
    <row r="214" spans="1:1">
      <c r="A214" t="s">
        <v>3566</v>
      </c>
    </row>
    <row r="215" spans="1:1">
      <c r="A215" t="s">
        <v>3567</v>
      </c>
    </row>
    <row r="216" spans="1:1">
      <c r="A216" t="s">
        <v>3568</v>
      </c>
    </row>
    <row r="217" spans="1:1">
      <c r="A217" t="s">
        <v>3569</v>
      </c>
    </row>
    <row r="218" spans="1:1">
      <c r="A218" t="s">
        <v>3570</v>
      </c>
    </row>
    <row r="219" spans="1:1">
      <c r="A219" t="s">
        <v>3571</v>
      </c>
    </row>
    <row r="220" spans="1:1">
      <c r="A220" t="s">
        <v>3572</v>
      </c>
    </row>
    <row r="221" spans="1:1">
      <c r="A221" t="s">
        <v>3573</v>
      </c>
    </row>
    <row r="222" spans="1:1">
      <c r="A222" t="s">
        <v>3574</v>
      </c>
    </row>
    <row r="223" spans="1:1">
      <c r="A223" t="s">
        <v>3575</v>
      </c>
    </row>
    <row r="224" spans="1:1">
      <c r="A224" t="s">
        <v>3576</v>
      </c>
    </row>
    <row r="225" spans="1:1">
      <c r="A225" t="s">
        <v>3577</v>
      </c>
    </row>
    <row r="226" spans="1:1">
      <c r="A226" t="s">
        <v>3578</v>
      </c>
    </row>
    <row r="227" spans="1:1">
      <c r="A227" t="s">
        <v>3579</v>
      </c>
    </row>
    <row r="228" spans="1:1">
      <c r="A228" t="s">
        <v>3580</v>
      </c>
    </row>
    <row r="229" spans="1:1">
      <c r="A229" t="s">
        <v>3581</v>
      </c>
    </row>
    <row r="230" spans="1:1">
      <c r="A230" t="s">
        <v>3582</v>
      </c>
    </row>
    <row r="231" spans="1:1">
      <c r="A231" t="s">
        <v>3583</v>
      </c>
    </row>
    <row r="232" spans="1:1">
      <c r="A232" t="s">
        <v>3584</v>
      </c>
    </row>
    <row r="233" spans="1:1">
      <c r="A233" t="s">
        <v>3585</v>
      </c>
    </row>
    <row r="234" spans="1:1">
      <c r="A234" t="s">
        <v>3586</v>
      </c>
    </row>
    <row r="235" spans="1:1">
      <c r="A235" t="s">
        <v>3587</v>
      </c>
    </row>
    <row r="236" spans="1:1">
      <c r="A236" t="s">
        <v>3588</v>
      </c>
    </row>
    <row r="237" spans="1:1">
      <c r="A237" t="s">
        <v>3589</v>
      </c>
    </row>
    <row r="238" spans="1:1">
      <c r="A238" t="s">
        <v>3590</v>
      </c>
    </row>
    <row r="239" spans="1:1">
      <c r="A239" t="s">
        <v>3591</v>
      </c>
    </row>
    <row r="240" spans="1:1">
      <c r="A240" t="s">
        <v>3592</v>
      </c>
    </row>
    <row r="241" spans="1:1">
      <c r="A241" t="s">
        <v>3593</v>
      </c>
    </row>
    <row r="242" spans="1:1">
      <c r="A242" t="s">
        <v>3594</v>
      </c>
    </row>
    <row r="243" spans="1:1">
      <c r="A243" t="s">
        <v>3595</v>
      </c>
    </row>
    <row r="244" spans="1:1">
      <c r="A244" t="s">
        <v>3596</v>
      </c>
    </row>
    <row r="245" spans="1:1">
      <c r="A245" t="s">
        <v>3597</v>
      </c>
    </row>
    <row r="246" spans="1:1">
      <c r="A246" t="s">
        <v>3598</v>
      </c>
    </row>
    <row r="247" spans="1:1">
      <c r="A247" t="s">
        <v>3599</v>
      </c>
    </row>
    <row r="248" spans="1:1">
      <c r="A248" t="s">
        <v>3600</v>
      </c>
    </row>
    <row r="249" spans="1:1">
      <c r="A249" t="s">
        <v>3601</v>
      </c>
    </row>
    <row r="250" spans="1:1">
      <c r="A250" t="s">
        <v>3602</v>
      </c>
    </row>
    <row r="251" spans="1:1">
      <c r="A251" t="s">
        <v>3603</v>
      </c>
    </row>
    <row r="252" spans="1:1">
      <c r="A252" t="s">
        <v>3604</v>
      </c>
    </row>
    <row r="253" spans="1:1">
      <c r="A253" t="s">
        <v>3605</v>
      </c>
    </row>
    <row r="254" spans="1:1">
      <c r="A254" t="s">
        <v>3606</v>
      </c>
    </row>
    <row r="255" spans="1:1">
      <c r="A255" t="s">
        <v>3607</v>
      </c>
    </row>
    <row r="256" spans="1:1">
      <c r="A256" t="s">
        <v>3608</v>
      </c>
    </row>
    <row r="257" spans="1:1">
      <c r="A257" t="s">
        <v>3609</v>
      </c>
    </row>
    <row r="258" spans="1:1">
      <c r="A258" t="s">
        <v>3610</v>
      </c>
    </row>
    <row r="259" spans="1:1">
      <c r="A259" t="s">
        <v>3611</v>
      </c>
    </row>
    <row r="260" spans="1:1">
      <c r="A260" t="s">
        <v>3612</v>
      </c>
    </row>
    <row r="261" spans="1:1">
      <c r="A261" t="s">
        <v>3613</v>
      </c>
    </row>
    <row r="262" spans="1:1">
      <c r="A262" t="s">
        <v>3614</v>
      </c>
    </row>
    <row r="263" spans="1:1">
      <c r="A263" t="s">
        <v>3615</v>
      </c>
    </row>
    <row r="264" spans="1:1">
      <c r="A264" t="s">
        <v>3616</v>
      </c>
    </row>
    <row r="265" spans="1:1">
      <c r="A265" t="s">
        <v>3617</v>
      </c>
    </row>
    <row r="266" spans="1:1">
      <c r="A266" t="s">
        <v>3618</v>
      </c>
    </row>
    <row r="267" spans="1:1">
      <c r="A267" t="s">
        <v>3619</v>
      </c>
    </row>
    <row r="268" spans="1:1">
      <c r="A268" t="s">
        <v>3620</v>
      </c>
    </row>
    <row r="269" spans="1:1">
      <c r="A269" t="s">
        <v>3621</v>
      </c>
    </row>
    <row r="270" spans="1:1">
      <c r="A270" t="s">
        <v>3622</v>
      </c>
    </row>
    <row r="271" spans="1:1">
      <c r="A271" t="s">
        <v>3623</v>
      </c>
    </row>
    <row r="272" spans="1:1">
      <c r="A272" t="s">
        <v>3624</v>
      </c>
    </row>
    <row r="273" spans="1:1">
      <c r="A273" t="s">
        <v>3625</v>
      </c>
    </row>
    <row r="274" spans="1:1">
      <c r="A274" t="s">
        <v>3626</v>
      </c>
    </row>
    <row r="275" spans="1:1">
      <c r="A275" t="s">
        <v>3627</v>
      </c>
    </row>
    <row r="276" spans="1:1">
      <c r="A276" t="s">
        <v>3628</v>
      </c>
    </row>
    <row r="277" spans="1:1">
      <c r="A277" t="s">
        <v>3629</v>
      </c>
    </row>
    <row r="278" spans="1:1">
      <c r="A278" t="s">
        <v>3630</v>
      </c>
    </row>
    <row r="279" spans="1:1">
      <c r="A279" t="s">
        <v>3631</v>
      </c>
    </row>
    <row r="280" spans="1:1">
      <c r="A280" t="s">
        <v>3632</v>
      </c>
    </row>
    <row r="281" spans="1:1">
      <c r="A281" t="s">
        <v>3633</v>
      </c>
    </row>
    <row r="282" spans="1:1">
      <c r="A282" t="s">
        <v>3634</v>
      </c>
    </row>
    <row r="283" spans="1:1">
      <c r="A283" t="s">
        <v>3635</v>
      </c>
    </row>
    <row r="284" spans="1:1">
      <c r="A284" t="s">
        <v>3636</v>
      </c>
    </row>
    <row r="285" spans="1:1">
      <c r="A285" t="s">
        <v>3637</v>
      </c>
    </row>
    <row r="286" spans="1:1">
      <c r="A286" t="s">
        <v>3638</v>
      </c>
    </row>
    <row r="287" spans="1:1">
      <c r="A287" t="s">
        <v>3639</v>
      </c>
    </row>
    <row r="288" spans="1:1">
      <c r="A288" t="s">
        <v>3640</v>
      </c>
    </row>
    <row r="289" spans="1:1">
      <c r="A289" t="s">
        <v>3641</v>
      </c>
    </row>
    <row r="290" spans="1:1">
      <c r="A290" t="s">
        <v>3642</v>
      </c>
    </row>
    <row r="291" spans="1:1">
      <c r="A291" t="s">
        <v>3643</v>
      </c>
    </row>
    <row r="292" spans="1:1">
      <c r="A292" t="s">
        <v>3644</v>
      </c>
    </row>
    <row r="293" spans="1:1">
      <c r="A293" t="s">
        <v>3645</v>
      </c>
    </row>
    <row r="294" spans="1:1">
      <c r="A294" t="s">
        <v>3646</v>
      </c>
    </row>
    <row r="295" spans="1:1">
      <c r="A295" t="s">
        <v>3647</v>
      </c>
    </row>
    <row r="296" spans="1:1">
      <c r="A296" t="s">
        <v>3648</v>
      </c>
    </row>
    <row r="297" spans="1:1">
      <c r="A297" t="s">
        <v>3649</v>
      </c>
    </row>
    <row r="298" spans="1:1">
      <c r="A298" t="s">
        <v>3650</v>
      </c>
    </row>
    <row r="299" spans="1:1">
      <c r="A299" t="s">
        <v>3651</v>
      </c>
    </row>
    <row r="300" spans="1:1">
      <c r="A300" t="s">
        <v>3652</v>
      </c>
    </row>
    <row r="301" spans="1:1">
      <c r="A301" t="s">
        <v>3653</v>
      </c>
    </row>
    <row r="302" spans="1:1">
      <c r="A302" t="s">
        <v>3654</v>
      </c>
    </row>
    <row r="303" spans="1:1">
      <c r="A303" t="s">
        <v>3655</v>
      </c>
    </row>
    <row r="304" spans="1:1">
      <c r="A304" t="s">
        <v>3656</v>
      </c>
    </row>
    <row r="305" spans="1:1">
      <c r="A305" t="s">
        <v>3657</v>
      </c>
    </row>
    <row r="306" spans="1:1">
      <c r="A306" t="s">
        <v>3658</v>
      </c>
    </row>
    <row r="307" spans="1:1">
      <c r="A307" t="s">
        <v>3659</v>
      </c>
    </row>
    <row r="308" spans="1:1">
      <c r="A308" t="s">
        <v>3660</v>
      </c>
    </row>
    <row r="309" spans="1:1">
      <c r="A309" t="s">
        <v>3661</v>
      </c>
    </row>
    <row r="310" spans="1:1">
      <c r="A310" t="s">
        <v>3662</v>
      </c>
    </row>
    <row r="311" spans="1:1">
      <c r="A311" t="s">
        <v>3663</v>
      </c>
    </row>
    <row r="312" spans="1:1">
      <c r="A312" t="s">
        <v>3664</v>
      </c>
    </row>
    <row r="313" spans="1:1">
      <c r="A313" t="s">
        <v>3665</v>
      </c>
    </row>
    <row r="314" spans="1:1">
      <c r="A314" t="s">
        <v>3666</v>
      </c>
    </row>
    <row r="315" spans="1:1">
      <c r="A315" t="s">
        <v>3667</v>
      </c>
    </row>
    <row r="316" spans="1:1">
      <c r="A316" t="s">
        <v>3668</v>
      </c>
    </row>
    <row r="317" spans="1:1">
      <c r="A317" t="s">
        <v>3669</v>
      </c>
    </row>
    <row r="318" spans="1:1">
      <c r="A318" t="s">
        <v>3670</v>
      </c>
    </row>
    <row r="319" spans="1:1">
      <c r="A319" t="s">
        <v>3671</v>
      </c>
    </row>
    <row r="320" spans="1:1">
      <c r="A320" t="s">
        <v>3672</v>
      </c>
    </row>
    <row r="321" spans="1:1">
      <c r="A321" t="s">
        <v>3673</v>
      </c>
    </row>
    <row r="322" spans="1:1">
      <c r="A322" t="s">
        <v>3674</v>
      </c>
    </row>
    <row r="323" spans="1:1">
      <c r="A323" t="s">
        <v>3675</v>
      </c>
    </row>
    <row r="324" spans="1:1">
      <c r="A324" t="s">
        <v>3676</v>
      </c>
    </row>
    <row r="325" spans="1:1">
      <c r="A325" t="s">
        <v>3677</v>
      </c>
    </row>
    <row r="326" spans="1:1">
      <c r="A326" t="s">
        <v>3678</v>
      </c>
    </row>
    <row r="327" spans="1:1">
      <c r="A327" t="s">
        <v>3679</v>
      </c>
    </row>
    <row r="328" spans="1:1">
      <c r="A328" t="s">
        <v>3680</v>
      </c>
    </row>
    <row r="329" spans="1:1">
      <c r="A329" t="s">
        <v>3681</v>
      </c>
    </row>
    <row r="330" spans="1:1">
      <c r="A330" t="s">
        <v>3682</v>
      </c>
    </row>
    <row r="331" spans="1:1">
      <c r="A331" t="s">
        <v>3683</v>
      </c>
    </row>
    <row r="332" spans="1:1">
      <c r="A332" t="s">
        <v>3684</v>
      </c>
    </row>
    <row r="333" spans="1:1">
      <c r="A333" t="s">
        <v>3685</v>
      </c>
    </row>
    <row r="334" spans="1:1">
      <c r="A334" t="s">
        <v>3686</v>
      </c>
    </row>
    <row r="335" spans="1:1">
      <c r="A335" t="s">
        <v>3687</v>
      </c>
    </row>
    <row r="336" spans="1:1">
      <c r="A336" t="s">
        <v>3688</v>
      </c>
    </row>
    <row r="337" spans="1:1">
      <c r="A337" t="s">
        <v>3689</v>
      </c>
    </row>
    <row r="338" spans="1:1">
      <c r="A338" t="s">
        <v>3690</v>
      </c>
    </row>
    <row r="339" spans="1:1">
      <c r="A339" t="s">
        <v>3691</v>
      </c>
    </row>
    <row r="340" spans="1:1">
      <c r="A340" t="s">
        <v>3692</v>
      </c>
    </row>
    <row r="341" spans="1:1">
      <c r="A341" t="s">
        <v>3693</v>
      </c>
    </row>
    <row r="342" spans="1:1">
      <c r="A342" t="s">
        <v>3694</v>
      </c>
    </row>
    <row r="343" spans="1:1">
      <c r="A343" t="s">
        <v>3695</v>
      </c>
    </row>
    <row r="344" spans="1:1">
      <c r="A344" t="s">
        <v>3696</v>
      </c>
    </row>
    <row r="345" spans="1:1">
      <c r="A345" t="s">
        <v>3697</v>
      </c>
    </row>
    <row r="346" spans="1:1">
      <c r="A346" t="s">
        <v>3698</v>
      </c>
    </row>
    <row r="347" spans="1:1">
      <c r="A347" t="s">
        <v>3699</v>
      </c>
    </row>
    <row r="348" spans="1:1">
      <c r="A348" t="s">
        <v>3700</v>
      </c>
    </row>
    <row r="349" spans="1:1">
      <c r="A349" t="s">
        <v>3701</v>
      </c>
    </row>
    <row r="350" spans="1:1">
      <c r="A350" t="s">
        <v>3702</v>
      </c>
    </row>
    <row r="351" spans="1:1">
      <c r="A351" t="s">
        <v>3703</v>
      </c>
    </row>
    <row r="352" spans="1:1">
      <c r="A352" t="s">
        <v>3704</v>
      </c>
    </row>
    <row r="353" spans="1:1">
      <c r="A353" t="s">
        <v>3705</v>
      </c>
    </row>
    <row r="354" spans="1:1">
      <c r="A354" t="s">
        <v>3706</v>
      </c>
    </row>
    <row r="355" spans="1:1">
      <c r="A355" t="s">
        <v>3707</v>
      </c>
    </row>
    <row r="356" spans="1:1">
      <c r="A356" t="s">
        <v>3708</v>
      </c>
    </row>
    <row r="357" spans="1:1">
      <c r="A357" t="s">
        <v>3709</v>
      </c>
    </row>
    <row r="358" spans="1:1">
      <c r="A358" t="s">
        <v>3710</v>
      </c>
    </row>
    <row r="359" spans="1:1">
      <c r="A359" t="s">
        <v>3711</v>
      </c>
    </row>
    <row r="360" spans="1:1">
      <c r="A360" t="s">
        <v>3712</v>
      </c>
    </row>
    <row r="361" spans="1:1">
      <c r="A361" t="s">
        <v>3713</v>
      </c>
    </row>
    <row r="362" spans="1:1">
      <c r="A362" t="s">
        <v>3714</v>
      </c>
    </row>
    <row r="363" spans="1:1">
      <c r="A363" t="s">
        <v>3715</v>
      </c>
    </row>
    <row r="364" spans="1:1">
      <c r="A364" t="s">
        <v>3716</v>
      </c>
    </row>
    <row r="365" spans="1:1">
      <c r="A365" t="s">
        <v>3717</v>
      </c>
    </row>
    <row r="366" spans="1:1">
      <c r="A366" t="s">
        <v>3718</v>
      </c>
    </row>
    <row r="367" spans="1:1">
      <c r="A367" t="s">
        <v>3719</v>
      </c>
    </row>
    <row r="368" spans="1:1">
      <c r="A368" t="s">
        <v>3720</v>
      </c>
    </row>
    <row r="369" spans="1:1">
      <c r="A369" t="s">
        <v>3721</v>
      </c>
    </row>
    <row r="370" spans="1:1">
      <c r="A370" t="s">
        <v>3722</v>
      </c>
    </row>
    <row r="371" spans="1:1">
      <c r="A371" t="s">
        <v>3723</v>
      </c>
    </row>
    <row r="372" spans="1:1">
      <c r="A372" t="s">
        <v>3724</v>
      </c>
    </row>
    <row r="373" spans="1:1">
      <c r="A373" t="s">
        <v>3725</v>
      </c>
    </row>
    <row r="374" spans="1:1">
      <c r="A374" t="s">
        <v>3726</v>
      </c>
    </row>
    <row r="375" spans="1:1">
      <c r="A375" t="s">
        <v>3727</v>
      </c>
    </row>
    <row r="376" spans="1:1">
      <c r="A376" t="s">
        <v>3728</v>
      </c>
    </row>
    <row r="377" spans="1:1">
      <c r="A377" t="s">
        <v>3729</v>
      </c>
    </row>
    <row r="378" spans="1:1">
      <c r="A378" t="s">
        <v>3730</v>
      </c>
    </row>
    <row r="379" spans="1:1">
      <c r="A379" t="s">
        <v>3731</v>
      </c>
    </row>
    <row r="380" spans="1:1">
      <c r="A380" t="s">
        <v>3732</v>
      </c>
    </row>
    <row r="381" spans="1:1">
      <c r="A381" t="s">
        <v>3733</v>
      </c>
    </row>
    <row r="382" spans="1:1">
      <c r="A382" t="s">
        <v>3734</v>
      </c>
    </row>
    <row r="383" spans="1:1">
      <c r="A383" t="s">
        <v>3735</v>
      </c>
    </row>
    <row r="384" spans="1:1">
      <c r="A384" t="s">
        <v>3736</v>
      </c>
    </row>
    <row r="385" spans="1:1">
      <c r="A385" t="s">
        <v>3737</v>
      </c>
    </row>
    <row r="386" spans="1:1">
      <c r="A386" t="s">
        <v>3738</v>
      </c>
    </row>
    <row r="387" spans="1:1">
      <c r="A387" t="s">
        <v>3739</v>
      </c>
    </row>
    <row r="388" spans="1:1">
      <c r="A388" t="s">
        <v>3740</v>
      </c>
    </row>
    <row r="389" spans="1:1">
      <c r="A389" t="s">
        <v>3741</v>
      </c>
    </row>
    <row r="390" spans="1:1">
      <c r="A390" t="s">
        <v>3742</v>
      </c>
    </row>
    <row r="391" spans="1:1">
      <c r="A391" t="s">
        <v>3743</v>
      </c>
    </row>
    <row r="392" spans="1:1">
      <c r="A392" t="s">
        <v>3744</v>
      </c>
    </row>
    <row r="393" spans="1:1">
      <c r="A393" t="s">
        <v>3745</v>
      </c>
    </row>
    <row r="394" spans="1:1">
      <c r="A394" t="s">
        <v>3746</v>
      </c>
    </row>
    <row r="395" spans="1:1">
      <c r="A395" t="s">
        <v>3747</v>
      </c>
    </row>
    <row r="396" spans="1:1">
      <c r="A396" t="s">
        <v>3748</v>
      </c>
    </row>
    <row r="397" spans="1:1">
      <c r="A397" t="s">
        <v>3749</v>
      </c>
    </row>
    <row r="398" spans="1:1">
      <c r="A398" t="s">
        <v>3750</v>
      </c>
    </row>
    <row r="399" spans="1:1">
      <c r="A399" t="s">
        <v>3751</v>
      </c>
    </row>
    <row r="400" spans="1:1">
      <c r="A400" t="s">
        <v>3752</v>
      </c>
    </row>
    <row r="401" spans="1:1">
      <c r="A401" t="s">
        <v>3753</v>
      </c>
    </row>
    <row r="402" spans="1:1">
      <c r="A402" t="s">
        <v>3754</v>
      </c>
    </row>
    <row r="403" spans="1:1">
      <c r="A403" t="s">
        <v>3755</v>
      </c>
    </row>
    <row r="404" spans="1:1">
      <c r="A404" t="s">
        <v>3756</v>
      </c>
    </row>
    <row r="405" spans="1:1">
      <c r="A405" t="s">
        <v>3757</v>
      </c>
    </row>
    <row r="406" spans="1:1">
      <c r="A406" t="s">
        <v>3758</v>
      </c>
    </row>
    <row r="407" spans="1:1">
      <c r="A407" t="s">
        <v>3759</v>
      </c>
    </row>
    <row r="408" spans="1:1">
      <c r="A408" t="s">
        <v>3760</v>
      </c>
    </row>
    <row r="409" spans="1:1">
      <c r="A409" t="s">
        <v>3761</v>
      </c>
    </row>
    <row r="410" spans="1:1">
      <c r="A410" t="s">
        <v>3762</v>
      </c>
    </row>
    <row r="411" spans="1:1">
      <c r="A411" t="s">
        <v>3763</v>
      </c>
    </row>
    <row r="412" spans="1:1">
      <c r="A412" t="s">
        <v>3764</v>
      </c>
    </row>
    <row r="413" spans="1:1">
      <c r="A413" t="s">
        <v>3765</v>
      </c>
    </row>
    <row r="414" spans="1:1">
      <c r="A414" t="s">
        <v>3766</v>
      </c>
    </row>
    <row r="415" spans="1:1">
      <c r="A415" t="s">
        <v>3767</v>
      </c>
    </row>
    <row r="416" spans="1:1">
      <c r="A416" t="s">
        <v>3768</v>
      </c>
    </row>
    <row r="417" spans="1:1">
      <c r="A417" t="s">
        <v>3769</v>
      </c>
    </row>
    <row r="418" spans="1:1">
      <c r="A418" t="s">
        <v>3770</v>
      </c>
    </row>
    <row r="419" spans="1:1">
      <c r="A419" t="s">
        <v>3771</v>
      </c>
    </row>
    <row r="420" spans="1:1">
      <c r="A420" t="s">
        <v>3772</v>
      </c>
    </row>
    <row r="421" spans="1:1">
      <c r="A421" t="s">
        <v>3773</v>
      </c>
    </row>
    <row r="422" spans="1:1">
      <c r="A422" t="s">
        <v>3774</v>
      </c>
    </row>
    <row r="423" spans="1:1">
      <c r="A423" t="s">
        <v>3775</v>
      </c>
    </row>
    <row r="424" spans="1:1">
      <c r="A424" t="s">
        <v>3776</v>
      </c>
    </row>
    <row r="425" spans="1:1">
      <c r="A425" t="s">
        <v>3777</v>
      </c>
    </row>
    <row r="426" spans="1:1">
      <c r="A426" t="s">
        <v>3778</v>
      </c>
    </row>
    <row r="427" spans="1:1">
      <c r="A427" t="s">
        <v>3779</v>
      </c>
    </row>
    <row r="428" spans="1:1">
      <c r="A428" t="s">
        <v>3780</v>
      </c>
    </row>
    <row r="429" spans="1:1">
      <c r="A429" t="s">
        <v>3781</v>
      </c>
    </row>
    <row r="430" spans="1:1">
      <c r="A430" t="s">
        <v>3782</v>
      </c>
    </row>
    <row r="431" spans="1:1">
      <c r="A431" t="s">
        <v>3783</v>
      </c>
    </row>
    <row r="432" spans="1:1">
      <c r="A432" t="s">
        <v>3784</v>
      </c>
    </row>
    <row r="433" spans="1:1">
      <c r="A433" t="s">
        <v>3785</v>
      </c>
    </row>
    <row r="434" spans="1:1">
      <c r="A434" t="s">
        <v>3786</v>
      </c>
    </row>
    <row r="435" spans="1:1">
      <c r="A435" t="s">
        <v>3787</v>
      </c>
    </row>
    <row r="436" spans="1:1">
      <c r="A436" t="s">
        <v>3788</v>
      </c>
    </row>
    <row r="437" spans="1:1">
      <c r="A437" t="s">
        <v>3789</v>
      </c>
    </row>
    <row r="438" spans="1:1">
      <c r="A438" t="s">
        <v>3790</v>
      </c>
    </row>
    <row r="439" spans="1:1">
      <c r="A439" t="s">
        <v>3791</v>
      </c>
    </row>
    <row r="440" spans="1:1">
      <c r="A440" t="s">
        <v>3792</v>
      </c>
    </row>
    <row r="441" spans="1:1">
      <c r="A441" t="s">
        <v>3793</v>
      </c>
    </row>
    <row r="442" spans="1:1">
      <c r="A442" t="s">
        <v>3794</v>
      </c>
    </row>
    <row r="443" spans="1:1">
      <c r="A443" t="s">
        <v>3795</v>
      </c>
    </row>
    <row r="444" spans="1:1">
      <c r="A444" t="s">
        <v>3796</v>
      </c>
    </row>
    <row r="445" spans="1:1">
      <c r="A445" t="s">
        <v>3797</v>
      </c>
    </row>
    <row r="446" spans="1:1">
      <c r="A446" t="s">
        <v>3798</v>
      </c>
    </row>
    <row r="447" spans="1:1">
      <c r="A447" t="s">
        <v>3799</v>
      </c>
    </row>
    <row r="448" spans="1:1">
      <c r="A448" t="s">
        <v>3800</v>
      </c>
    </row>
    <row r="449" spans="1:1">
      <c r="A449" t="s">
        <v>3801</v>
      </c>
    </row>
    <row r="450" spans="1:1">
      <c r="A450" t="s">
        <v>3802</v>
      </c>
    </row>
    <row r="451" spans="1:1">
      <c r="A451" t="s">
        <v>3803</v>
      </c>
    </row>
    <row r="452" spans="1:1">
      <c r="A452" t="s">
        <v>3804</v>
      </c>
    </row>
    <row r="453" spans="1:1">
      <c r="A453" t="s">
        <v>3805</v>
      </c>
    </row>
    <row r="454" spans="1:1">
      <c r="A454" t="s">
        <v>3806</v>
      </c>
    </row>
    <row r="455" spans="1:1">
      <c r="A455" t="s">
        <v>3807</v>
      </c>
    </row>
    <row r="456" spans="1:1">
      <c r="A456" t="s">
        <v>3808</v>
      </c>
    </row>
    <row r="457" spans="1:1">
      <c r="A457" t="s">
        <v>3809</v>
      </c>
    </row>
    <row r="458" spans="1:1">
      <c r="A458" t="s">
        <v>3810</v>
      </c>
    </row>
    <row r="459" spans="1:1">
      <c r="A459" t="s">
        <v>3811</v>
      </c>
    </row>
    <row r="460" spans="1:1">
      <c r="A460" t="s">
        <v>3812</v>
      </c>
    </row>
    <row r="461" spans="1:1">
      <c r="A461" t="s">
        <v>3813</v>
      </c>
    </row>
    <row r="462" spans="1:1">
      <c r="A462" t="s">
        <v>3814</v>
      </c>
    </row>
    <row r="463" spans="1:1">
      <c r="A463" t="s">
        <v>3815</v>
      </c>
    </row>
    <row r="464" spans="1:1">
      <c r="A464" t="s">
        <v>3816</v>
      </c>
    </row>
    <row r="465" spans="1:1">
      <c r="A465" t="s">
        <v>3817</v>
      </c>
    </row>
    <row r="466" spans="1:1">
      <c r="A466" t="s">
        <v>3818</v>
      </c>
    </row>
    <row r="467" spans="1:1">
      <c r="A467" t="s">
        <v>3819</v>
      </c>
    </row>
    <row r="468" spans="1:1">
      <c r="A468" t="s">
        <v>3820</v>
      </c>
    </row>
    <row r="469" spans="1:1">
      <c r="A469" t="s">
        <v>3821</v>
      </c>
    </row>
    <row r="470" spans="1:1">
      <c r="A470" t="s">
        <v>3822</v>
      </c>
    </row>
    <row r="471" spans="1:1">
      <c r="A471" t="s">
        <v>3823</v>
      </c>
    </row>
    <row r="472" spans="1:1">
      <c r="A472" t="s">
        <v>3824</v>
      </c>
    </row>
    <row r="473" spans="1:1">
      <c r="A473" t="s">
        <v>3825</v>
      </c>
    </row>
    <row r="474" spans="1:1">
      <c r="A474" t="s">
        <v>3826</v>
      </c>
    </row>
    <row r="475" spans="1:1">
      <c r="A475" t="s">
        <v>3827</v>
      </c>
    </row>
    <row r="476" spans="1:1">
      <c r="A476" t="s">
        <v>3828</v>
      </c>
    </row>
    <row r="477" spans="1:1">
      <c r="A477" t="s">
        <v>3829</v>
      </c>
    </row>
    <row r="478" spans="1:1">
      <c r="A478" t="s">
        <v>3830</v>
      </c>
    </row>
    <row r="479" spans="1:1">
      <c r="A479" t="s">
        <v>3831</v>
      </c>
    </row>
    <row r="480" spans="1:1">
      <c r="A480" t="s">
        <v>3832</v>
      </c>
    </row>
    <row r="481" spans="1:1">
      <c r="A481" t="s">
        <v>3833</v>
      </c>
    </row>
    <row r="482" spans="1:1">
      <c r="A482" t="s">
        <v>3834</v>
      </c>
    </row>
    <row r="483" spans="1:1">
      <c r="A483" t="s">
        <v>3835</v>
      </c>
    </row>
    <row r="484" spans="1:1">
      <c r="A484" t="s">
        <v>3836</v>
      </c>
    </row>
    <row r="485" spans="1:1">
      <c r="A485" t="s">
        <v>3837</v>
      </c>
    </row>
    <row r="486" spans="1:1">
      <c r="A486" t="s">
        <v>3838</v>
      </c>
    </row>
    <row r="487" spans="1:1">
      <c r="A487" t="s">
        <v>3839</v>
      </c>
    </row>
    <row r="488" spans="1:1">
      <c r="A488" t="s">
        <v>3840</v>
      </c>
    </row>
    <row r="489" spans="1:1">
      <c r="A489" t="s">
        <v>3841</v>
      </c>
    </row>
    <row r="490" spans="1:1">
      <c r="A490" t="s">
        <v>3842</v>
      </c>
    </row>
    <row r="491" spans="1:1">
      <c r="A491" t="s">
        <v>3843</v>
      </c>
    </row>
    <row r="492" spans="1:1">
      <c r="A492" t="s">
        <v>3844</v>
      </c>
    </row>
    <row r="493" spans="1:1">
      <c r="A493" t="s">
        <v>3845</v>
      </c>
    </row>
    <row r="494" spans="1:1">
      <c r="A494" t="s">
        <v>3846</v>
      </c>
    </row>
    <row r="495" spans="1:1">
      <c r="A495" t="s">
        <v>3847</v>
      </c>
    </row>
    <row r="496" spans="1:1">
      <c r="A496" t="s">
        <v>3848</v>
      </c>
    </row>
    <row r="497" spans="1:1">
      <c r="A497" t="s">
        <v>3849</v>
      </c>
    </row>
    <row r="498" spans="1:1">
      <c r="A498" t="s">
        <v>3850</v>
      </c>
    </row>
    <row r="499" spans="1:1">
      <c r="A499" t="s">
        <v>3851</v>
      </c>
    </row>
    <row r="500" spans="1:1">
      <c r="A500" t="s">
        <v>3852</v>
      </c>
    </row>
    <row r="501" spans="1:1">
      <c r="A501" t="s">
        <v>3853</v>
      </c>
    </row>
    <row r="502" spans="1:1">
      <c r="A502" t="s">
        <v>3854</v>
      </c>
    </row>
    <row r="503" spans="1:1">
      <c r="A503" t="s">
        <v>3855</v>
      </c>
    </row>
    <row r="504" spans="1:1">
      <c r="A504" t="s">
        <v>3856</v>
      </c>
    </row>
    <row r="505" spans="1:1">
      <c r="A505" t="s">
        <v>3857</v>
      </c>
    </row>
    <row r="506" spans="1:1">
      <c r="A506" t="s">
        <v>3858</v>
      </c>
    </row>
    <row r="507" spans="1:1">
      <c r="A507" t="s">
        <v>3859</v>
      </c>
    </row>
    <row r="508" spans="1:1">
      <c r="A508" t="s">
        <v>3860</v>
      </c>
    </row>
    <row r="509" spans="1:1">
      <c r="A509" t="s">
        <v>3861</v>
      </c>
    </row>
    <row r="510" spans="1:1">
      <c r="A510" t="s">
        <v>3862</v>
      </c>
    </row>
    <row r="511" spans="1:1">
      <c r="A511" t="s">
        <v>3863</v>
      </c>
    </row>
    <row r="512" spans="1:1">
      <c r="A512" t="s">
        <v>3864</v>
      </c>
    </row>
    <row r="513" spans="1:1">
      <c r="A513" t="s">
        <v>3865</v>
      </c>
    </row>
    <row r="514" spans="1:1">
      <c r="A514" t="s">
        <v>3866</v>
      </c>
    </row>
    <row r="515" spans="1:1">
      <c r="A515" t="s">
        <v>3867</v>
      </c>
    </row>
    <row r="516" spans="1:1">
      <c r="A516" t="s">
        <v>3868</v>
      </c>
    </row>
    <row r="517" spans="1:1">
      <c r="A517" t="s">
        <v>3869</v>
      </c>
    </row>
    <row r="518" spans="1:1">
      <c r="A518" t="s">
        <v>3870</v>
      </c>
    </row>
    <row r="519" spans="1:1">
      <c r="A519" t="s">
        <v>3871</v>
      </c>
    </row>
    <row r="520" spans="1:1">
      <c r="A520" t="s">
        <v>3872</v>
      </c>
    </row>
    <row r="521" spans="1:1">
      <c r="A521" t="s">
        <v>3873</v>
      </c>
    </row>
    <row r="522" spans="1:1">
      <c r="A522" t="s">
        <v>3874</v>
      </c>
    </row>
    <row r="523" spans="1:1">
      <c r="A523" t="s">
        <v>3875</v>
      </c>
    </row>
    <row r="524" spans="1:1">
      <c r="A524" t="s">
        <v>3876</v>
      </c>
    </row>
    <row r="525" spans="1:1">
      <c r="A525" t="s">
        <v>3877</v>
      </c>
    </row>
    <row r="526" spans="1:1">
      <c r="A526" t="s">
        <v>3878</v>
      </c>
    </row>
    <row r="527" spans="1:1">
      <c r="A527" t="s">
        <v>3879</v>
      </c>
    </row>
    <row r="528" spans="1:1">
      <c r="A528" t="s">
        <v>3880</v>
      </c>
    </row>
    <row r="529" spans="1:1">
      <c r="A529" t="s">
        <v>3881</v>
      </c>
    </row>
    <row r="530" spans="1:1">
      <c r="A530" t="s">
        <v>3882</v>
      </c>
    </row>
    <row r="531" spans="1:1">
      <c r="A531" t="s">
        <v>3883</v>
      </c>
    </row>
    <row r="532" spans="1:1">
      <c r="A532" t="s">
        <v>3884</v>
      </c>
    </row>
    <row r="533" spans="1:1">
      <c r="A533" t="s">
        <v>3885</v>
      </c>
    </row>
    <row r="534" spans="1:1">
      <c r="A534" t="s">
        <v>3886</v>
      </c>
    </row>
    <row r="535" spans="1:1">
      <c r="A535" t="s">
        <v>3887</v>
      </c>
    </row>
    <row r="536" spans="1:1">
      <c r="A536" t="s">
        <v>3888</v>
      </c>
    </row>
    <row r="537" spans="1:1">
      <c r="A537" t="s">
        <v>3889</v>
      </c>
    </row>
    <row r="538" spans="1:1">
      <c r="A538" t="s">
        <v>3890</v>
      </c>
    </row>
    <row r="539" spans="1:1">
      <c r="A539" t="s">
        <v>3891</v>
      </c>
    </row>
    <row r="540" spans="1:1">
      <c r="A540" t="s">
        <v>3892</v>
      </c>
    </row>
    <row r="541" spans="1:1">
      <c r="A541" t="s">
        <v>3893</v>
      </c>
    </row>
    <row r="542" spans="1:1">
      <c r="A542" t="s">
        <v>3894</v>
      </c>
    </row>
    <row r="543" spans="1:1">
      <c r="A543" t="s">
        <v>3895</v>
      </c>
    </row>
    <row r="544" spans="1:1">
      <c r="A544" t="s">
        <v>3896</v>
      </c>
    </row>
    <row r="545" spans="1:1">
      <c r="A545" t="s">
        <v>3897</v>
      </c>
    </row>
    <row r="546" spans="1:1">
      <c r="A546" t="s">
        <v>3898</v>
      </c>
    </row>
    <row r="547" spans="1:1">
      <c r="A547" t="s">
        <v>3899</v>
      </c>
    </row>
    <row r="548" spans="1:1">
      <c r="A548" t="s">
        <v>3900</v>
      </c>
    </row>
    <row r="549" spans="1:1">
      <c r="A549" t="s">
        <v>3901</v>
      </c>
    </row>
    <row r="550" spans="1:1">
      <c r="A550" t="s">
        <v>3902</v>
      </c>
    </row>
    <row r="551" spans="1:1">
      <c r="A551" t="s">
        <v>3903</v>
      </c>
    </row>
    <row r="552" spans="1:1">
      <c r="A552" t="s">
        <v>3904</v>
      </c>
    </row>
    <row r="553" spans="1:1">
      <c r="A553" t="s">
        <v>3905</v>
      </c>
    </row>
    <row r="554" spans="1:1">
      <c r="A554" t="s">
        <v>3906</v>
      </c>
    </row>
    <row r="555" spans="1:1">
      <c r="A555" t="s">
        <v>3907</v>
      </c>
    </row>
    <row r="556" spans="1:1">
      <c r="A556" t="s">
        <v>3908</v>
      </c>
    </row>
    <row r="557" spans="1:1">
      <c r="A557" t="s">
        <v>3909</v>
      </c>
    </row>
    <row r="558" spans="1:1">
      <c r="A558" t="s">
        <v>3910</v>
      </c>
    </row>
    <row r="559" spans="1:1">
      <c r="A559" t="s">
        <v>3911</v>
      </c>
    </row>
    <row r="560" spans="1:1">
      <c r="A560" t="s">
        <v>3912</v>
      </c>
    </row>
    <row r="561" spans="1:1">
      <c r="A561" t="s">
        <v>3913</v>
      </c>
    </row>
    <row r="562" spans="1:1">
      <c r="A562" t="s">
        <v>3914</v>
      </c>
    </row>
    <row r="563" spans="1:1">
      <c r="A563" t="s">
        <v>3915</v>
      </c>
    </row>
    <row r="564" spans="1:1">
      <c r="A564" t="s">
        <v>3916</v>
      </c>
    </row>
    <row r="565" spans="1:1">
      <c r="A565" t="s">
        <v>3917</v>
      </c>
    </row>
    <row r="566" spans="1:1">
      <c r="A566" t="s">
        <v>3918</v>
      </c>
    </row>
    <row r="567" spans="1:1">
      <c r="A567" t="s">
        <v>3919</v>
      </c>
    </row>
    <row r="568" spans="1:1">
      <c r="A568" t="s">
        <v>3920</v>
      </c>
    </row>
    <row r="569" spans="1:1">
      <c r="A569" t="s">
        <v>3921</v>
      </c>
    </row>
    <row r="570" spans="1:1">
      <c r="A570" t="s">
        <v>3922</v>
      </c>
    </row>
    <row r="571" spans="1:1">
      <c r="A571" t="s">
        <v>3923</v>
      </c>
    </row>
    <row r="572" spans="1:1">
      <c r="A572" t="s">
        <v>3924</v>
      </c>
    </row>
    <row r="573" spans="1:1">
      <c r="A573" t="s">
        <v>3925</v>
      </c>
    </row>
    <row r="574" spans="1:1">
      <c r="A574" t="s">
        <v>3926</v>
      </c>
    </row>
    <row r="575" spans="1:1">
      <c r="A575" t="s">
        <v>3927</v>
      </c>
    </row>
    <row r="576" spans="1:1">
      <c r="A576" t="s">
        <v>3928</v>
      </c>
    </row>
    <row r="577" spans="1:1">
      <c r="A577" t="s">
        <v>3929</v>
      </c>
    </row>
    <row r="578" spans="1:1">
      <c r="A578" t="s">
        <v>3930</v>
      </c>
    </row>
    <row r="579" spans="1:1">
      <c r="A579" t="s">
        <v>3931</v>
      </c>
    </row>
    <row r="580" spans="1:1">
      <c r="A580" t="s">
        <v>3932</v>
      </c>
    </row>
    <row r="581" spans="1:1">
      <c r="A581" t="s">
        <v>3933</v>
      </c>
    </row>
    <row r="582" spans="1:1">
      <c r="A582" t="s">
        <v>3934</v>
      </c>
    </row>
    <row r="583" spans="1:1">
      <c r="A583" t="s">
        <v>3935</v>
      </c>
    </row>
    <row r="584" spans="1:1">
      <c r="A584" t="s">
        <v>3936</v>
      </c>
    </row>
    <row r="585" spans="1:1">
      <c r="A585" t="s">
        <v>3937</v>
      </c>
    </row>
    <row r="586" spans="1:1">
      <c r="A586" t="s">
        <v>3938</v>
      </c>
    </row>
    <row r="587" spans="1:1">
      <c r="A587" t="s">
        <v>3939</v>
      </c>
    </row>
    <row r="588" spans="1:1">
      <c r="A588" t="s">
        <v>3940</v>
      </c>
    </row>
    <row r="589" spans="1:1">
      <c r="A589" t="s">
        <v>3941</v>
      </c>
    </row>
    <row r="590" spans="1:1">
      <c r="A590" t="s">
        <v>3942</v>
      </c>
    </row>
    <row r="591" spans="1:1">
      <c r="A591" t="s">
        <v>3943</v>
      </c>
    </row>
    <row r="592" spans="1:1">
      <c r="A592" t="s">
        <v>3944</v>
      </c>
    </row>
    <row r="593" spans="1:1">
      <c r="A593" t="s">
        <v>3945</v>
      </c>
    </row>
    <row r="594" spans="1:1">
      <c r="A594" t="s">
        <v>3946</v>
      </c>
    </row>
    <row r="595" spans="1:1">
      <c r="A595" t="s">
        <v>3947</v>
      </c>
    </row>
    <row r="596" spans="1:1">
      <c r="A596" t="s">
        <v>3948</v>
      </c>
    </row>
    <row r="597" spans="1:1">
      <c r="A597" t="s">
        <v>3949</v>
      </c>
    </row>
    <row r="598" spans="1:1">
      <c r="A598" t="s">
        <v>3950</v>
      </c>
    </row>
    <row r="599" spans="1:1">
      <c r="A599" t="s">
        <v>3951</v>
      </c>
    </row>
    <row r="600" spans="1:1">
      <c r="A600" t="s">
        <v>3952</v>
      </c>
    </row>
    <row r="601" spans="1:1">
      <c r="A601" t="s">
        <v>3953</v>
      </c>
    </row>
    <row r="602" spans="1:1">
      <c r="A602" t="s">
        <v>3954</v>
      </c>
    </row>
    <row r="603" spans="1:1">
      <c r="A603" t="s">
        <v>3955</v>
      </c>
    </row>
    <row r="604" spans="1:1">
      <c r="A604" t="s">
        <v>3956</v>
      </c>
    </row>
    <row r="605" spans="1:1">
      <c r="A605" t="s">
        <v>3957</v>
      </c>
    </row>
    <row r="606" spans="1:1">
      <c r="A606" t="s">
        <v>3958</v>
      </c>
    </row>
    <row r="607" spans="1:1">
      <c r="A607" t="s">
        <v>3959</v>
      </c>
    </row>
    <row r="608" spans="1:1">
      <c r="A608" t="s">
        <v>3960</v>
      </c>
    </row>
    <row r="609" spans="1:1">
      <c r="A609" t="s">
        <v>3961</v>
      </c>
    </row>
    <row r="610" spans="1:1">
      <c r="A610" t="s">
        <v>3962</v>
      </c>
    </row>
    <row r="611" spans="1:1">
      <c r="A611" t="s">
        <v>3963</v>
      </c>
    </row>
    <row r="612" spans="1:1">
      <c r="A612" t="s">
        <v>3964</v>
      </c>
    </row>
    <row r="613" spans="1:1">
      <c r="A613" t="s">
        <v>3965</v>
      </c>
    </row>
    <row r="614" spans="1:1">
      <c r="A614" t="s">
        <v>3966</v>
      </c>
    </row>
    <row r="615" spans="1:1">
      <c r="A615" t="s">
        <v>3967</v>
      </c>
    </row>
    <row r="616" spans="1:1">
      <c r="A616" t="s">
        <v>3968</v>
      </c>
    </row>
    <row r="617" spans="1:1">
      <c r="A617" t="s">
        <v>3969</v>
      </c>
    </row>
    <row r="618" spans="1:1">
      <c r="A618" t="s">
        <v>3970</v>
      </c>
    </row>
    <row r="619" spans="1:1">
      <c r="A619" t="s">
        <v>3971</v>
      </c>
    </row>
    <row r="620" spans="1:1">
      <c r="A620" t="s">
        <v>3972</v>
      </c>
    </row>
    <row r="621" spans="1:1">
      <c r="A621" t="s">
        <v>3973</v>
      </c>
    </row>
    <row r="622" spans="1:1">
      <c r="A622" t="s">
        <v>3974</v>
      </c>
    </row>
    <row r="623" spans="1:1">
      <c r="A623" t="s">
        <v>3975</v>
      </c>
    </row>
    <row r="624" spans="1:1">
      <c r="A624" t="s">
        <v>3976</v>
      </c>
    </row>
    <row r="625" spans="1:1">
      <c r="A625" t="s">
        <v>3977</v>
      </c>
    </row>
    <row r="626" spans="1:1">
      <c r="A626" t="s">
        <v>3978</v>
      </c>
    </row>
    <row r="627" spans="1:1">
      <c r="A627" t="s">
        <v>3979</v>
      </c>
    </row>
    <row r="628" spans="1:1">
      <c r="A628" t="s">
        <v>3980</v>
      </c>
    </row>
    <row r="629" spans="1:1">
      <c r="A629" t="s">
        <v>3981</v>
      </c>
    </row>
    <row r="630" spans="1:1">
      <c r="A630" t="s">
        <v>3982</v>
      </c>
    </row>
    <row r="631" spans="1:1">
      <c r="A631" t="s">
        <v>3983</v>
      </c>
    </row>
    <row r="632" spans="1:1">
      <c r="A632" t="s">
        <v>3984</v>
      </c>
    </row>
    <row r="633" spans="1:1">
      <c r="A633" t="s">
        <v>3985</v>
      </c>
    </row>
    <row r="634" spans="1:1">
      <c r="A634" t="s">
        <v>3986</v>
      </c>
    </row>
    <row r="635" spans="1:1">
      <c r="A635" t="s">
        <v>3987</v>
      </c>
    </row>
    <row r="636" spans="1:1">
      <c r="A636" t="s">
        <v>3988</v>
      </c>
    </row>
    <row r="637" spans="1:1">
      <c r="A637" t="s">
        <v>3989</v>
      </c>
    </row>
    <row r="638" spans="1:1">
      <c r="A638" t="s">
        <v>3990</v>
      </c>
    </row>
    <row r="639" spans="1:1">
      <c r="A639" t="s">
        <v>3991</v>
      </c>
    </row>
    <row r="640" spans="1:1">
      <c r="A640" t="s">
        <v>3992</v>
      </c>
    </row>
    <row r="641" spans="1:1">
      <c r="A641" t="s">
        <v>3993</v>
      </c>
    </row>
    <row r="642" spans="1:1">
      <c r="A642" t="s">
        <v>3994</v>
      </c>
    </row>
    <row r="643" spans="1:1">
      <c r="A643" t="s">
        <v>3995</v>
      </c>
    </row>
    <row r="644" spans="1:1">
      <c r="A644" t="s">
        <v>3996</v>
      </c>
    </row>
    <row r="645" spans="1:1">
      <c r="A645" t="s">
        <v>3997</v>
      </c>
    </row>
    <row r="646" spans="1:1">
      <c r="A646" t="s">
        <v>3998</v>
      </c>
    </row>
    <row r="647" spans="1:1">
      <c r="A647" t="s">
        <v>3999</v>
      </c>
    </row>
    <row r="648" spans="1:1">
      <c r="A648" t="s">
        <v>4000</v>
      </c>
    </row>
    <row r="649" spans="1:1">
      <c r="A649" t="s">
        <v>4001</v>
      </c>
    </row>
    <row r="650" spans="1:1">
      <c r="A650" t="s">
        <v>4002</v>
      </c>
    </row>
    <row r="651" spans="1:1">
      <c r="A651" t="s">
        <v>4003</v>
      </c>
    </row>
    <row r="652" spans="1:1">
      <c r="A652" t="s">
        <v>4004</v>
      </c>
    </row>
    <row r="653" spans="1:1">
      <c r="A653" t="s">
        <v>4005</v>
      </c>
    </row>
    <row r="654" spans="1:1">
      <c r="A654" t="s">
        <v>4006</v>
      </c>
    </row>
    <row r="655" spans="1:1">
      <c r="A655" t="s">
        <v>4007</v>
      </c>
    </row>
    <row r="656" spans="1:1">
      <c r="A656" t="s">
        <v>4008</v>
      </c>
    </row>
    <row r="657" spans="1:1">
      <c r="A657" t="s">
        <v>4009</v>
      </c>
    </row>
    <row r="658" spans="1:1">
      <c r="A658" t="s">
        <v>4010</v>
      </c>
    </row>
    <row r="659" spans="1:1">
      <c r="A659" t="s">
        <v>4011</v>
      </c>
    </row>
    <row r="660" spans="1:1">
      <c r="A660" t="s">
        <v>4012</v>
      </c>
    </row>
    <row r="661" spans="1:1">
      <c r="A661" t="s">
        <v>4013</v>
      </c>
    </row>
    <row r="662" spans="1:1">
      <c r="A662" t="s">
        <v>4014</v>
      </c>
    </row>
    <row r="663" spans="1:1">
      <c r="A663" t="s">
        <v>4015</v>
      </c>
    </row>
    <row r="664" spans="1:1">
      <c r="A664" t="s">
        <v>4016</v>
      </c>
    </row>
    <row r="665" spans="1:1">
      <c r="A665" t="s">
        <v>4017</v>
      </c>
    </row>
    <row r="666" spans="1:1">
      <c r="A666" t="s">
        <v>4018</v>
      </c>
    </row>
    <row r="667" spans="1:1">
      <c r="A667" t="s">
        <v>4019</v>
      </c>
    </row>
    <row r="668" spans="1:1">
      <c r="A668" t="s">
        <v>4020</v>
      </c>
    </row>
    <row r="669" spans="1:1">
      <c r="A669" t="s">
        <v>4021</v>
      </c>
    </row>
    <row r="670" spans="1:1">
      <c r="A670" t="s">
        <v>4022</v>
      </c>
    </row>
    <row r="671" spans="1:1">
      <c r="A671" t="s">
        <v>4023</v>
      </c>
    </row>
    <row r="672" spans="1:1">
      <c r="A672" t="s">
        <v>4024</v>
      </c>
    </row>
    <row r="673" spans="1:1">
      <c r="A673" t="s">
        <v>4025</v>
      </c>
    </row>
    <row r="674" spans="1:1">
      <c r="A674" t="s">
        <v>4026</v>
      </c>
    </row>
    <row r="675" spans="1:1">
      <c r="A675" t="s">
        <v>4027</v>
      </c>
    </row>
    <row r="676" spans="1:1">
      <c r="A676" t="s">
        <v>4028</v>
      </c>
    </row>
    <row r="677" spans="1:1">
      <c r="A677" t="s">
        <v>4029</v>
      </c>
    </row>
    <row r="678" spans="1:1">
      <c r="A678" t="s">
        <v>4030</v>
      </c>
    </row>
    <row r="679" spans="1:1">
      <c r="A679" t="s">
        <v>4031</v>
      </c>
    </row>
    <row r="680" spans="1:1">
      <c r="A680" t="s">
        <v>4032</v>
      </c>
    </row>
    <row r="681" spans="1:1">
      <c r="A681" t="s">
        <v>4033</v>
      </c>
    </row>
    <row r="682" spans="1:1">
      <c r="A682" t="s">
        <v>4034</v>
      </c>
    </row>
    <row r="683" spans="1:1">
      <c r="A683" t="s">
        <v>4035</v>
      </c>
    </row>
    <row r="684" spans="1:1">
      <c r="A684" t="s">
        <v>4036</v>
      </c>
    </row>
    <row r="685" spans="1:1">
      <c r="A685" t="s">
        <v>4037</v>
      </c>
    </row>
    <row r="686" spans="1:1">
      <c r="A686" t="s">
        <v>4038</v>
      </c>
    </row>
    <row r="687" spans="1:1">
      <c r="A687" t="s">
        <v>4039</v>
      </c>
    </row>
    <row r="688" spans="1:1">
      <c r="A688" t="s">
        <v>4040</v>
      </c>
    </row>
    <row r="689" spans="1:1">
      <c r="A689" t="s">
        <v>4041</v>
      </c>
    </row>
    <row r="690" spans="1:1">
      <c r="A690" t="s">
        <v>4042</v>
      </c>
    </row>
    <row r="691" spans="1:1">
      <c r="A691" t="s">
        <v>4043</v>
      </c>
    </row>
    <row r="692" spans="1:1">
      <c r="A692" t="s">
        <v>4044</v>
      </c>
    </row>
    <row r="693" spans="1:1">
      <c r="A693" t="s">
        <v>4045</v>
      </c>
    </row>
    <row r="694" spans="1:1">
      <c r="A694" t="s">
        <v>4046</v>
      </c>
    </row>
    <row r="695" spans="1:1">
      <c r="A695" t="s">
        <v>4047</v>
      </c>
    </row>
    <row r="696" spans="1:1">
      <c r="A696" t="s">
        <v>4048</v>
      </c>
    </row>
    <row r="697" spans="1:1">
      <c r="A697" t="s">
        <v>4049</v>
      </c>
    </row>
    <row r="698" spans="1:1">
      <c r="A698" t="s">
        <v>4050</v>
      </c>
    </row>
    <row r="699" spans="1:1">
      <c r="A699" t="s">
        <v>4051</v>
      </c>
    </row>
    <row r="700" spans="1:1">
      <c r="A700" t="s">
        <v>4052</v>
      </c>
    </row>
    <row r="701" spans="1:1">
      <c r="A701" t="s">
        <v>4053</v>
      </c>
    </row>
    <row r="702" spans="1:1">
      <c r="A702" t="s">
        <v>4054</v>
      </c>
    </row>
    <row r="703" spans="1:1">
      <c r="A703" t="s">
        <v>4055</v>
      </c>
    </row>
    <row r="704" spans="1:1">
      <c r="A704" t="s">
        <v>4056</v>
      </c>
    </row>
    <row r="705" spans="1:1">
      <c r="A705" t="s">
        <v>4057</v>
      </c>
    </row>
    <row r="706" spans="1:1">
      <c r="A706" t="s">
        <v>4058</v>
      </c>
    </row>
    <row r="707" spans="1:1">
      <c r="A707" t="s">
        <v>4059</v>
      </c>
    </row>
    <row r="708" spans="1:1">
      <c r="A708" t="s">
        <v>4060</v>
      </c>
    </row>
    <row r="709" spans="1:1">
      <c r="A709" t="s">
        <v>4061</v>
      </c>
    </row>
    <row r="710" spans="1:1">
      <c r="A710" t="s">
        <v>4062</v>
      </c>
    </row>
    <row r="711" spans="1:1">
      <c r="A711" t="s">
        <v>4063</v>
      </c>
    </row>
    <row r="712" spans="1:1">
      <c r="A712" t="s">
        <v>4064</v>
      </c>
    </row>
    <row r="713" spans="1:1">
      <c r="A713" t="s">
        <v>4065</v>
      </c>
    </row>
    <row r="714" spans="1:1">
      <c r="A714" t="s">
        <v>4066</v>
      </c>
    </row>
    <row r="715" spans="1:1">
      <c r="A715" t="s">
        <v>4067</v>
      </c>
    </row>
    <row r="716" spans="1:1">
      <c r="A716" t="s">
        <v>4068</v>
      </c>
    </row>
    <row r="717" spans="1:1">
      <c r="A717" t="s">
        <v>4069</v>
      </c>
    </row>
    <row r="718" spans="1:1">
      <c r="A718" t="s">
        <v>4070</v>
      </c>
    </row>
    <row r="719" spans="1:1">
      <c r="A719" t="s">
        <v>4071</v>
      </c>
    </row>
    <row r="720" spans="1:1">
      <c r="A720" t="s">
        <v>4072</v>
      </c>
    </row>
    <row r="721" spans="1:1">
      <c r="A721" t="s">
        <v>4073</v>
      </c>
    </row>
    <row r="722" spans="1:1">
      <c r="A722" t="s">
        <v>4074</v>
      </c>
    </row>
    <row r="723" spans="1:1">
      <c r="A723" t="s">
        <v>4075</v>
      </c>
    </row>
    <row r="724" spans="1:1">
      <c r="A724" t="s">
        <v>4076</v>
      </c>
    </row>
    <row r="725" spans="1:1">
      <c r="A725" t="s">
        <v>4077</v>
      </c>
    </row>
    <row r="726" spans="1:1">
      <c r="A726" t="s">
        <v>4078</v>
      </c>
    </row>
    <row r="727" spans="1:1">
      <c r="A727" t="s">
        <v>4079</v>
      </c>
    </row>
    <row r="728" spans="1:1">
      <c r="A728" t="s">
        <v>4080</v>
      </c>
    </row>
    <row r="729" spans="1:1">
      <c r="A729" t="s">
        <v>4081</v>
      </c>
    </row>
    <row r="730" spans="1:1">
      <c r="A730" t="s">
        <v>4082</v>
      </c>
    </row>
    <row r="731" spans="1:1">
      <c r="A731" t="s">
        <v>4083</v>
      </c>
    </row>
    <row r="732" spans="1:1">
      <c r="A732" t="s">
        <v>4084</v>
      </c>
    </row>
    <row r="733" spans="1:1">
      <c r="A733" t="s">
        <v>4085</v>
      </c>
    </row>
    <row r="734" spans="1:1">
      <c r="A734" t="s">
        <v>4086</v>
      </c>
    </row>
    <row r="735" spans="1:1">
      <c r="A735" t="s">
        <v>4087</v>
      </c>
    </row>
    <row r="736" spans="1:1">
      <c r="A736" t="s">
        <v>4088</v>
      </c>
    </row>
    <row r="737" spans="1:1">
      <c r="A737" t="s">
        <v>4089</v>
      </c>
    </row>
    <row r="738" spans="1:1">
      <c r="A738" t="s">
        <v>4090</v>
      </c>
    </row>
    <row r="739" spans="1:1">
      <c r="A739" t="s">
        <v>4091</v>
      </c>
    </row>
    <row r="740" spans="1:1">
      <c r="A740" t="s">
        <v>4092</v>
      </c>
    </row>
    <row r="741" spans="1:1">
      <c r="A741" t="s">
        <v>4093</v>
      </c>
    </row>
    <row r="742" spans="1:1">
      <c r="A742" t="s">
        <v>4094</v>
      </c>
    </row>
    <row r="743" spans="1:1">
      <c r="A743" t="s">
        <v>4095</v>
      </c>
    </row>
    <row r="744" spans="1:1">
      <c r="A744" t="s">
        <v>4096</v>
      </c>
    </row>
    <row r="745" spans="1:1">
      <c r="A745" t="s">
        <v>4097</v>
      </c>
    </row>
    <row r="746" spans="1:1">
      <c r="A746" t="s">
        <v>4098</v>
      </c>
    </row>
    <row r="747" spans="1:1">
      <c r="A747" t="s">
        <v>4099</v>
      </c>
    </row>
    <row r="748" spans="1:1">
      <c r="A748" t="s">
        <v>4100</v>
      </c>
    </row>
    <row r="749" spans="1:1">
      <c r="A749" t="s">
        <v>4101</v>
      </c>
    </row>
    <row r="750" spans="1:1">
      <c r="A750" t="s">
        <v>4102</v>
      </c>
    </row>
    <row r="751" spans="1:1">
      <c r="A751" t="s">
        <v>4103</v>
      </c>
    </row>
    <row r="752" spans="1:1">
      <c r="A752" t="s">
        <v>4104</v>
      </c>
    </row>
    <row r="753" spans="1:1">
      <c r="A753" t="s">
        <v>4105</v>
      </c>
    </row>
    <row r="754" spans="1:1">
      <c r="A754" t="s">
        <v>4106</v>
      </c>
    </row>
    <row r="755" spans="1:1">
      <c r="A755" t="s">
        <v>4107</v>
      </c>
    </row>
    <row r="756" spans="1:1">
      <c r="A756" t="s">
        <v>4108</v>
      </c>
    </row>
    <row r="757" spans="1:1">
      <c r="A757" t="s">
        <v>4109</v>
      </c>
    </row>
    <row r="758" spans="1:1">
      <c r="A758" t="s">
        <v>4110</v>
      </c>
    </row>
    <row r="759" spans="1:1">
      <c r="A759" t="s">
        <v>4111</v>
      </c>
    </row>
    <row r="760" spans="1:1">
      <c r="A760" t="s">
        <v>4112</v>
      </c>
    </row>
    <row r="761" spans="1:1">
      <c r="A761" t="s">
        <v>4113</v>
      </c>
    </row>
    <row r="762" spans="1:1">
      <c r="A762" t="s">
        <v>4114</v>
      </c>
    </row>
    <row r="763" spans="1:1">
      <c r="A763" t="s">
        <v>4115</v>
      </c>
    </row>
    <row r="764" spans="1:1">
      <c r="A764" t="s">
        <v>4116</v>
      </c>
    </row>
    <row r="765" spans="1:1">
      <c r="A765" t="s">
        <v>4117</v>
      </c>
    </row>
    <row r="766" spans="1:1">
      <c r="A766" t="s">
        <v>4118</v>
      </c>
    </row>
    <row r="767" spans="1:1">
      <c r="A767" t="s">
        <v>4119</v>
      </c>
    </row>
    <row r="768" spans="1:1">
      <c r="A768" t="s">
        <v>4120</v>
      </c>
    </row>
    <row r="769" spans="1:1">
      <c r="A769" t="s">
        <v>4121</v>
      </c>
    </row>
    <row r="770" spans="1:1">
      <c r="A770" t="s">
        <v>4122</v>
      </c>
    </row>
    <row r="771" spans="1:1">
      <c r="A771" t="s">
        <v>4123</v>
      </c>
    </row>
    <row r="772" spans="1:1">
      <c r="A772" t="s">
        <v>4124</v>
      </c>
    </row>
    <row r="773" spans="1:1">
      <c r="A773" t="s">
        <v>4125</v>
      </c>
    </row>
    <row r="774" spans="1:1">
      <c r="A774" t="s">
        <v>4126</v>
      </c>
    </row>
    <row r="775" spans="1:1">
      <c r="A775" t="s">
        <v>4127</v>
      </c>
    </row>
    <row r="776" spans="1:1">
      <c r="A776" t="s">
        <v>4128</v>
      </c>
    </row>
    <row r="777" spans="1:1">
      <c r="A777" t="s">
        <v>4129</v>
      </c>
    </row>
    <row r="778" spans="1:1">
      <c r="A778" t="s">
        <v>4130</v>
      </c>
    </row>
    <row r="779" spans="1:1">
      <c r="A779" t="s">
        <v>4131</v>
      </c>
    </row>
    <row r="780" spans="1:1">
      <c r="A780" t="s">
        <v>4132</v>
      </c>
    </row>
    <row r="781" spans="1:1">
      <c r="A781" t="s">
        <v>4133</v>
      </c>
    </row>
    <row r="782" spans="1:1">
      <c r="A782" t="s">
        <v>4134</v>
      </c>
    </row>
    <row r="783" spans="1:1">
      <c r="A783" t="s">
        <v>4135</v>
      </c>
    </row>
    <row r="784" spans="1:1">
      <c r="A784" t="s">
        <v>4136</v>
      </c>
    </row>
    <row r="785" spans="1:1">
      <c r="A785" t="s">
        <v>4137</v>
      </c>
    </row>
    <row r="786" spans="1:1">
      <c r="A786" t="s">
        <v>4138</v>
      </c>
    </row>
    <row r="787" spans="1:1">
      <c r="A787" t="s">
        <v>4139</v>
      </c>
    </row>
    <row r="788" spans="1:1">
      <c r="A788" t="s">
        <v>4140</v>
      </c>
    </row>
    <row r="789" spans="1:1">
      <c r="A789" t="s">
        <v>4141</v>
      </c>
    </row>
    <row r="790" spans="1:1">
      <c r="A790" t="s">
        <v>4142</v>
      </c>
    </row>
    <row r="791" spans="1:1">
      <c r="A791" t="s">
        <v>4143</v>
      </c>
    </row>
    <row r="792" spans="1:1">
      <c r="A792" t="s">
        <v>4144</v>
      </c>
    </row>
    <row r="793" spans="1:1">
      <c r="A793" t="s">
        <v>4145</v>
      </c>
    </row>
    <row r="794" spans="1:1">
      <c r="A794" t="s">
        <v>4146</v>
      </c>
    </row>
    <row r="795" spans="1:1">
      <c r="A795" t="s">
        <v>4147</v>
      </c>
    </row>
    <row r="796" spans="1:1">
      <c r="A796" t="s">
        <v>4148</v>
      </c>
    </row>
    <row r="797" spans="1:1">
      <c r="A797" t="s">
        <v>4149</v>
      </c>
    </row>
    <row r="798" spans="1:1">
      <c r="A798" t="s">
        <v>4150</v>
      </c>
    </row>
    <row r="799" spans="1:1">
      <c r="A799" t="s">
        <v>4151</v>
      </c>
    </row>
    <row r="800" spans="1:1">
      <c r="A800" t="s">
        <v>4152</v>
      </c>
    </row>
    <row r="801" spans="1:1">
      <c r="A801" t="s">
        <v>4153</v>
      </c>
    </row>
  </sheetData>
  <printOptions horizontalCentered="1" verticalCentered="1"/>
  <pageMargins left="0.2" right="0.2" top="0.5" bottom="0.5" header="0.3" footer="0.25"/>
  <pageSetup scale="95" fitToHeight="20" orientation="portrait" r:id="rId1"/>
  <headerFooter>
    <oddHeader>&amp;L&amp;A</oddHeader>
    <oddFooter>&amp;L&amp;D &amp;T&amp;C&amp;F&amp;R&amp;P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2"/>
  <dimension ref="B2:H15"/>
  <sheetViews>
    <sheetView zoomScaleNormal="100" workbookViewId="0"/>
  </sheetViews>
  <sheetFormatPr defaultColWidth="9.109375" defaultRowHeight="14.4"/>
  <cols>
    <col min="1" max="1" width="9.109375" style="221"/>
    <col min="2" max="2" width="69.33203125" style="221" bestFit="1" customWidth="1"/>
    <col min="3" max="3" width="33.6640625" style="221" customWidth="1"/>
    <col min="4" max="5" width="9.109375" style="221"/>
    <col min="6" max="6" width="10.6640625" style="221" bestFit="1" customWidth="1"/>
    <col min="7" max="16384" width="9.109375" style="221"/>
  </cols>
  <sheetData>
    <row r="2" spans="2:8">
      <c r="B2" s="105" t="s">
        <v>369</v>
      </c>
      <c r="C2" s="209" t="s">
        <v>248</v>
      </c>
      <c r="D2" s="222"/>
    </row>
    <row r="3" spans="2:8">
      <c r="B3" s="105" t="s">
        <v>370</v>
      </c>
      <c r="C3" s="235">
        <v>41802</v>
      </c>
      <c r="D3" s="222"/>
      <c r="E3" s="222"/>
    </row>
    <row r="5" spans="2:8">
      <c r="B5" s="223" t="s">
        <v>371</v>
      </c>
    </row>
    <row r="6" spans="2:8">
      <c r="B6" s="105" t="s">
        <v>372</v>
      </c>
      <c r="C6" s="210" t="str">
        <f>"Income Statement for "&amp;C2</f>
        <v>Income Statement for Apple</v>
      </c>
      <c r="D6" s="113"/>
      <c r="E6" s="114"/>
      <c r="F6" s="222"/>
      <c r="G6" s="222"/>
      <c r="H6" s="222"/>
    </row>
    <row r="7" spans="2:8">
      <c r="B7" s="45" t="s">
        <v>373</v>
      </c>
      <c r="C7" s="210" t="str">
        <f>"Share price as of "&amp;TEXT(C3,"mm/dd/yy")</f>
        <v>Share price as of 06/12/14</v>
      </c>
      <c r="D7" s="211"/>
      <c r="E7" s="212"/>
      <c r="F7" s="222" t="s">
        <v>374</v>
      </c>
    </row>
    <row r="9" spans="2:8">
      <c r="B9" s="223" t="s">
        <v>375</v>
      </c>
      <c r="C9" s="221" t="s">
        <v>380</v>
      </c>
    </row>
    <row r="10" spans="2:8">
      <c r="B10" s="221" t="s">
        <v>376</v>
      </c>
      <c r="C10" s="213">
        <v>5</v>
      </c>
      <c r="F10" s="160"/>
    </row>
    <row r="11" spans="2:8">
      <c r="B11" s="221" t="s">
        <v>377</v>
      </c>
      <c r="C11" s="215">
        <v>5</v>
      </c>
    </row>
    <row r="12" spans="2:8">
      <c r="B12" s="221" t="s">
        <v>378</v>
      </c>
      <c r="C12" s="214">
        <v>6</v>
      </c>
    </row>
    <row r="14" spans="2:8">
      <c r="B14" s="223" t="s">
        <v>379</v>
      </c>
    </row>
    <row r="15" spans="2:8" ht="72">
      <c r="B15" s="93" t="s">
        <v>382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3">
    <pageSetUpPr fitToPage="1"/>
  </sheetPr>
  <dimension ref="A1:F1001"/>
  <sheetViews>
    <sheetView zoomScaleNormal="100" workbookViewId="0">
      <selection sqref="A1:XFD1048576"/>
    </sheetView>
  </sheetViews>
  <sheetFormatPr defaultColWidth="8.77734375" defaultRowHeight="14.4"/>
  <cols>
    <col min="1" max="1" width="14.44140625" bestFit="1" customWidth="1"/>
    <col min="2" max="2" width="12" bestFit="1" customWidth="1"/>
    <col min="3" max="3" width="12.44140625" bestFit="1" customWidth="1"/>
    <col min="4" max="4" width="35" bestFit="1" customWidth="1"/>
    <col min="5" max="6" width="10.6640625" bestFit="1" customWidth="1"/>
  </cols>
  <sheetData>
    <row r="1" spans="1:6">
      <c r="A1" s="223" t="s">
        <v>290</v>
      </c>
      <c r="B1" s="223" t="s">
        <v>3321</v>
      </c>
      <c r="C1" s="223" t="s">
        <v>3320</v>
      </c>
      <c r="D1" s="223" t="s">
        <v>3319</v>
      </c>
      <c r="E1" s="223" t="s">
        <v>390</v>
      </c>
      <c r="F1" s="223" t="s">
        <v>3318</v>
      </c>
    </row>
    <row r="2" spans="1:6">
      <c r="A2" s="221" t="s">
        <v>1598</v>
      </c>
      <c r="B2" s="221">
        <v>6381514279721320</v>
      </c>
      <c r="C2" s="221" t="s">
        <v>1464</v>
      </c>
      <c r="D2" s="221" t="s">
        <v>3317</v>
      </c>
      <c r="E2" s="160">
        <v>42422</v>
      </c>
      <c r="F2" s="221" t="s">
        <v>3316</v>
      </c>
    </row>
    <row r="3" spans="1:6">
      <c r="A3" s="221" t="s">
        <v>2957</v>
      </c>
      <c r="B3" s="221">
        <v>3556270769238780</v>
      </c>
      <c r="C3" s="221" t="s">
        <v>929</v>
      </c>
      <c r="D3" s="221" t="s">
        <v>3315</v>
      </c>
      <c r="E3" s="160">
        <v>42215</v>
      </c>
      <c r="F3" s="221" t="s">
        <v>3314</v>
      </c>
    </row>
    <row r="4" spans="1:6">
      <c r="A4" s="221" t="s">
        <v>3257</v>
      </c>
      <c r="B4" s="221">
        <v>4911890049709590</v>
      </c>
      <c r="C4" s="221" t="s">
        <v>1753</v>
      </c>
      <c r="D4" s="221" t="s">
        <v>3313</v>
      </c>
      <c r="E4" s="160">
        <v>42221</v>
      </c>
      <c r="F4" s="221" t="s">
        <v>3312</v>
      </c>
    </row>
    <row r="5" spans="1:6">
      <c r="A5" s="221" t="s">
        <v>1060</v>
      </c>
      <c r="B5" s="221">
        <v>30469336552667</v>
      </c>
      <c r="C5" s="221" t="s">
        <v>1099</v>
      </c>
      <c r="D5" s="221" t="s">
        <v>3311</v>
      </c>
      <c r="E5" s="160">
        <v>42405</v>
      </c>
      <c r="F5" s="221" t="s">
        <v>3310</v>
      </c>
    </row>
    <row r="6" spans="1:6">
      <c r="A6" s="221" t="s">
        <v>1111</v>
      </c>
      <c r="B6" s="221">
        <v>5100175947323730</v>
      </c>
      <c r="C6" s="221" t="s">
        <v>1578</v>
      </c>
      <c r="D6" s="221" t="s">
        <v>3309</v>
      </c>
      <c r="E6" s="160">
        <v>42307</v>
      </c>
      <c r="F6" s="221" t="s">
        <v>3308</v>
      </c>
    </row>
    <row r="7" spans="1:6">
      <c r="A7" s="221" t="s">
        <v>1261</v>
      </c>
      <c r="B7" s="221">
        <v>4508739183045940</v>
      </c>
      <c r="C7" s="221" t="s">
        <v>1218</v>
      </c>
      <c r="D7" s="221" t="s">
        <v>3307</v>
      </c>
      <c r="E7" s="160">
        <v>42426</v>
      </c>
      <c r="F7" s="221" t="s">
        <v>3306</v>
      </c>
    </row>
    <row r="8" spans="1:6">
      <c r="A8" s="221" t="s">
        <v>1465</v>
      </c>
      <c r="B8" s="221">
        <v>201750521290020</v>
      </c>
      <c r="C8" s="221" t="s">
        <v>845</v>
      </c>
      <c r="D8" s="221" t="s">
        <v>3305</v>
      </c>
      <c r="E8" s="160">
        <v>42391</v>
      </c>
      <c r="F8" s="221" t="s">
        <v>3304</v>
      </c>
    </row>
    <row r="9" spans="1:6">
      <c r="A9" s="221" t="s">
        <v>2157</v>
      </c>
      <c r="B9" s="221">
        <v>5363430243781990</v>
      </c>
      <c r="C9" s="221" t="s">
        <v>1532</v>
      </c>
      <c r="D9" s="221" t="s">
        <v>3303</v>
      </c>
      <c r="E9" s="160">
        <v>42231</v>
      </c>
      <c r="F9" s="221" t="s">
        <v>3302</v>
      </c>
    </row>
    <row r="10" spans="1:6">
      <c r="A10" s="221" t="s">
        <v>862</v>
      </c>
      <c r="B10" s="221">
        <v>5002356316849190</v>
      </c>
      <c r="C10" s="221" t="s">
        <v>895</v>
      </c>
      <c r="D10" s="221" t="s">
        <v>3301</v>
      </c>
      <c r="E10" s="160">
        <v>42216</v>
      </c>
      <c r="F10" s="221" t="s">
        <v>3300</v>
      </c>
    </row>
    <row r="11" spans="1:6">
      <c r="A11" s="221" t="s">
        <v>858</v>
      </c>
      <c r="B11" s="221">
        <v>5602220997668680</v>
      </c>
      <c r="C11" s="221" t="s">
        <v>591</v>
      </c>
      <c r="D11" s="221" t="s">
        <v>3299</v>
      </c>
      <c r="E11" s="160">
        <v>42155</v>
      </c>
      <c r="F11" s="221" t="s">
        <v>3298</v>
      </c>
    </row>
    <row r="12" spans="1:6">
      <c r="A12" s="221" t="s">
        <v>2356</v>
      </c>
      <c r="B12" s="221">
        <v>201755343992703</v>
      </c>
      <c r="C12" s="221" t="s">
        <v>918</v>
      </c>
      <c r="D12" s="221" t="s">
        <v>3297</v>
      </c>
      <c r="E12" s="160">
        <v>42244</v>
      </c>
      <c r="F12" s="221" t="s">
        <v>3296</v>
      </c>
    </row>
    <row r="13" spans="1:6">
      <c r="A13" s="221" t="s">
        <v>1613</v>
      </c>
      <c r="B13" s="221">
        <v>3589121434543920</v>
      </c>
      <c r="C13" s="221" t="s">
        <v>1464</v>
      </c>
      <c r="D13" s="221" t="s">
        <v>3295</v>
      </c>
      <c r="E13" s="160">
        <v>42361</v>
      </c>
      <c r="F13" s="221" t="s">
        <v>3294</v>
      </c>
    </row>
    <row r="14" spans="1:6">
      <c r="A14" s="221" t="s">
        <v>811</v>
      </c>
      <c r="B14" s="221">
        <v>3566265579897190</v>
      </c>
      <c r="C14" s="221" t="s">
        <v>1869</v>
      </c>
      <c r="D14" s="221" t="s">
        <v>3293</v>
      </c>
      <c r="E14" s="160">
        <v>42301</v>
      </c>
      <c r="F14" s="221" t="s">
        <v>3292</v>
      </c>
    </row>
    <row r="15" spans="1:6">
      <c r="A15" s="221" t="s">
        <v>957</v>
      </c>
      <c r="B15" s="221">
        <v>4041378064398</v>
      </c>
      <c r="C15" s="221" t="s">
        <v>876</v>
      </c>
      <c r="D15" s="221" t="s">
        <v>3291</v>
      </c>
      <c r="E15" s="160">
        <v>42105</v>
      </c>
      <c r="F15" s="221" t="s">
        <v>3290</v>
      </c>
    </row>
    <row r="16" spans="1:6">
      <c r="A16" s="221" t="s">
        <v>3289</v>
      </c>
      <c r="B16" s="221">
        <v>5179011062018160</v>
      </c>
      <c r="C16" s="221" t="s">
        <v>821</v>
      </c>
      <c r="D16" s="221" t="s">
        <v>3288</v>
      </c>
      <c r="E16" s="160">
        <v>42415</v>
      </c>
      <c r="F16" s="221" t="s">
        <v>3287</v>
      </c>
    </row>
    <row r="17" spans="1:6">
      <c r="A17" s="221" t="s">
        <v>1505</v>
      </c>
      <c r="B17" s="221">
        <v>6762513757169920</v>
      </c>
      <c r="C17" s="221" t="s">
        <v>1500</v>
      </c>
      <c r="D17" s="221" t="s">
        <v>3286</v>
      </c>
      <c r="E17" s="160">
        <v>42285</v>
      </c>
      <c r="F17" s="221" t="s">
        <v>3285</v>
      </c>
    </row>
    <row r="18" spans="1:6">
      <c r="A18" s="221" t="s">
        <v>972</v>
      </c>
      <c r="B18" s="221">
        <v>374288182788769</v>
      </c>
      <c r="C18" s="221" t="s">
        <v>1404</v>
      </c>
      <c r="D18" s="221" t="s">
        <v>3284</v>
      </c>
      <c r="E18" s="160">
        <v>42114</v>
      </c>
      <c r="F18" s="221" t="s">
        <v>3283</v>
      </c>
    </row>
    <row r="19" spans="1:6">
      <c r="A19" s="221" t="s">
        <v>899</v>
      </c>
      <c r="B19" s="221">
        <v>3543515291376560</v>
      </c>
      <c r="C19" s="221" t="s">
        <v>1188</v>
      </c>
      <c r="D19" s="221" t="s">
        <v>3282</v>
      </c>
      <c r="E19" s="160">
        <v>42114</v>
      </c>
      <c r="F19" s="221" t="s">
        <v>3281</v>
      </c>
    </row>
    <row r="20" spans="1:6">
      <c r="A20" s="221" t="s">
        <v>1192</v>
      </c>
      <c r="B20" s="221">
        <v>5602256919621000</v>
      </c>
      <c r="C20" s="221" t="s">
        <v>1777</v>
      </c>
      <c r="D20" s="221" t="s">
        <v>3280</v>
      </c>
      <c r="E20" s="160">
        <v>42414</v>
      </c>
      <c r="F20" s="221" t="s">
        <v>3279</v>
      </c>
    </row>
    <row r="21" spans="1:6">
      <c r="A21" s="221" t="s">
        <v>1261</v>
      </c>
      <c r="B21" s="221">
        <v>201506979730598</v>
      </c>
      <c r="C21" s="221" t="s">
        <v>1260</v>
      </c>
      <c r="D21" s="221" t="s">
        <v>3278</v>
      </c>
      <c r="E21" s="160">
        <v>42281</v>
      </c>
      <c r="F21" s="221" t="s">
        <v>3277</v>
      </c>
    </row>
    <row r="22" spans="1:6">
      <c r="A22" s="221" t="s">
        <v>1023</v>
      </c>
      <c r="B22" s="221">
        <v>201893387117265</v>
      </c>
      <c r="C22" s="221" t="s">
        <v>1218</v>
      </c>
      <c r="D22" s="221" t="s">
        <v>3276</v>
      </c>
      <c r="E22" s="160">
        <v>42408</v>
      </c>
      <c r="F22" s="221" t="s">
        <v>3275</v>
      </c>
    </row>
    <row r="23" spans="1:6">
      <c r="A23" s="221" t="s">
        <v>1680</v>
      </c>
      <c r="B23" s="221">
        <v>6373877686233440</v>
      </c>
      <c r="C23" s="221" t="s">
        <v>2376</v>
      </c>
      <c r="D23" s="221" t="s">
        <v>3274</v>
      </c>
      <c r="E23" s="160">
        <v>42136</v>
      </c>
      <c r="F23" s="221" t="s">
        <v>3273</v>
      </c>
    </row>
    <row r="24" spans="1:6">
      <c r="A24" s="221" t="s">
        <v>2314</v>
      </c>
      <c r="B24" s="221">
        <v>3582088819473860</v>
      </c>
      <c r="C24" s="221" t="s">
        <v>1404</v>
      </c>
      <c r="D24" s="221" t="s">
        <v>3272</v>
      </c>
      <c r="E24" s="160">
        <v>42453</v>
      </c>
      <c r="F24" s="221" t="s">
        <v>3271</v>
      </c>
    </row>
    <row r="25" spans="1:6">
      <c r="A25" s="221" t="s">
        <v>1081</v>
      </c>
      <c r="B25" s="221">
        <v>6393411762607550</v>
      </c>
      <c r="C25" s="221" t="s">
        <v>758</v>
      </c>
      <c r="D25" s="221" t="s">
        <v>3270</v>
      </c>
      <c r="E25" s="160">
        <v>42179</v>
      </c>
      <c r="F25" s="221" t="s">
        <v>3269</v>
      </c>
    </row>
    <row r="26" spans="1:6">
      <c r="A26" s="221" t="s">
        <v>2921</v>
      </c>
      <c r="B26" s="221">
        <v>378907149661894</v>
      </c>
      <c r="C26" s="221" t="s">
        <v>918</v>
      </c>
      <c r="D26" s="221" t="s">
        <v>3268</v>
      </c>
      <c r="E26" s="160">
        <v>42101</v>
      </c>
      <c r="F26" s="221" t="s">
        <v>3267</v>
      </c>
    </row>
    <row r="27" spans="1:6">
      <c r="A27" s="221" t="s">
        <v>3266</v>
      </c>
      <c r="B27" s="221">
        <v>6759845309474640</v>
      </c>
      <c r="C27" s="221" t="s">
        <v>869</v>
      </c>
      <c r="D27" s="221" t="s">
        <v>3265</v>
      </c>
      <c r="E27" s="160">
        <v>42377</v>
      </c>
      <c r="F27" s="221" t="s">
        <v>3264</v>
      </c>
    </row>
    <row r="28" spans="1:6">
      <c r="A28" s="221" t="s">
        <v>1081</v>
      </c>
      <c r="B28" s="221">
        <v>6.3340719449045801E+18</v>
      </c>
      <c r="C28" s="221" t="s">
        <v>1444</v>
      </c>
      <c r="D28" s="221" t="s">
        <v>3263</v>
      </c>
      <c r="E28" s="160">
        <v>42191</v>
      </c>
      <c r="F28" s="221" t="s">
        <v>3262</v>
      </c>
    </row>
    <row r="29" spans="1:6">
      <c r="A29" s="221" t="s">
        <v>1290</v>
      </c>
      <c r="B29" s="221">
        <v>3570318913220950</v>
      </c>
      <c r="C29" s="221" t="s">
        <v>2778</v>
      </c>
      <c r="D29" s="221" t="s">
        <v>3261</v>
      </c>
      <c r="E29" s="160">
        <v>42235</v>
      </c>
      <c r="F29" s="221" t="s">
        <v>3260</v>
      </c>
    </row>
    <row r="30" spans="1:6">
      <c r="A30" s="221" t="s">
        <v>2091</v>
      </c>
      <c r="B30" s="221">
        <v>3576301638468690</v>
      </c>
      <c r="C30" s="221" t="s">
        <v>3029</v>
      </c>
      <c r="D30" s="221" t="s">
        <v>3259</v>
      </c>
      <c r="E30" s="160">
        <v>42355</v>
      </c>
      <c r="F30" s="221" t="s">
        <v>3258</v>
      </c>
    </row>
    <row r="31" spans="1:6">
      <c r="A31" s="221" t="s">
        <v>3257</v>
      </c>
      <c r="B31" s="221">
        <v>6.3044778269365E+16</v>
      </c>
      <c r="C31" s="221" t="s">
        <v>2607</v>
      </c>
      <c r="D31" s="221" t="s">
        <v>3256</v>
      </c>
      <c r="E31" s="160">
        <v>42252</v>
      </c>
      <c r="F31" s="221" t="s">
        <v>3255</v>
      </c>
    </row>
    <row r="32" spans="1:6">
      <c r="A32" s="221" t="s">
        <v>1445</v>
      </c>
      <c r="B32" s="221">
        <v>5500463663258850</v>
      </c>
      <c r="C32" s="221" t="s">
        <v>1753</v>
      </c>
      <c r="D32" s="221" t="s">
        <v>3254</v>
      </c>
      <c r="E32" s="160">
        <v>42184</v>
      </c>
      <c r="F32" s="221" t="s">
        <v>3253</v>
      </c>
    </row>
    <row r="33" spans="1:6">
      <c r="A33" s="221" t="s">
        <v>1484</v>
      </c>
      <c r="B33" s="221">
        <v>5168310719910350</v>
      </c>
      <c r="C33" s="221" t="s">
        <v>1232</v>
      </c>
      <c r="D33" s="221" t="s">
        <v>3252</v>
      </c>
      <c r="E33" s="160">
        <v>42158</v>
      </c>
      <c r="F33" s="221" t="s">
        <v>3251</v>
      </c>
    </row>
    <row r="34" spans="1:6">
      <c r="A34" s="221" t="s">
        <v>2356</v>
      </c>
      <c r="B34" s="221">
        <v>3565392250388170</v>
      </c>
      <c r="C34" s="221" t="s">
        <v>1413</v>
      </c>
      <c r="D34" s="221" t="s">
        <v>3250</v>
      </c>
      <c r="E34" s="160">
        <v>42195</v>
      </c>
      <c r="F34" s="221" t="s">
        <v>3249</v>
      </c>
    </row>
    <row r="35" spans="1:6">
      <c r="A35" s="221" t="s">
        <v>2457</v>
      </c>
      <c r="B35" s="221">
        <v>30549829499136</v>
      </c>
      <c r="C35" s="221" t="s">
        <v>1777</v>
      </c>
      <c r="D35" s="221" t="s">
        <v>3248</v>
      </c>
      <c r="E35" s="160">
        <v>42230</v>
      </c>
      <c r="F35" s="221" t="s">
        <v>3247</v>
      </c>
    </row>
    <row r="36" spans="1:6">
      <c r="A36" s="221" t="s">
        <v>1474</v>
      </c>
      <c r="B36" s="221">
        <v>3557142996430070</v>
      </c>
      <c r="C36" s="221" t="s">
        <v>1363</v>
      </c>
      <c r="D36" s="221" t="s">
        <v>3246</v>
      </c>
      <c r="E36" s="160">
        <v>42242</v>
      </c>
      <c r="F36" s="221" t="s">
        <v>3245</v>
      </c>
    </row>
    <row r="37" spans="1:6">
      <c r="A37" s="221" t="s">
        <v>1183</v>
      </c>
      <c r="B37" s="221">
        <v>6331102207794780</v>
      </c>
      <c r="C37" s="221" t="s">
        <v>1092</v>
      </c>
      <c r="D37" s="221" t="s">
        <v>3244</v>
      </c>
      <c r="E37" s="160">
        <v>42443</v>
      </c>
      <c r="F37" s="221" t="s">
        <v>3243</v>
      </c>
    </row>
    <row r="38" spans="1:6">
      <c r="A38" s="221" t="s">
        <v>877</v>
      </c>
      <c r="B38" s="221">
        <v>374622647446326</v>
      </c>
      <c r="C38" s="221" t="s">
        <v>853</v>
      </c>
      <c r="D38" s="221" t="s">
        <v>3242</v>
      </c>
      <c r="E38" s="160">
        <v>42415</v>
      </c>
      <c r="F38" s="221" t="s">
        <v>3241</v>
      </c>
    </row>
    <row r="39" spans="1:6">
      <c r="A39" s="221" t="s">
        <v>846</v>
      </c>
      <c r="B39" s="221">
        <v>3545527207488320</v>
      </c>
      <c r="C39" s="221" t="s">
        <v>1675</v>
      </c>
      <c r="D39" s="221" t="s">
        <v>3240</v>
      </c>
      <c r="E39" s="160">
        <v>42228</v>
      </c>
      <c r="F39" s="221" t="s">
        <v>3239</v>
      </c>
    </row>
    <row r="40" spans="1:6">
      <c r="A40" s="221" t="s">
        <v>1966</v>
      </c>
      <c r="B40" s="221">
        <v>3550594662630530</v>
      </c>
      <c r="C40" s="221" t="s">
        <v>1055</v>
      </c>
      <c r="D40" s="221" t="s">
        <v>3238</v>
      </c>
      <c r="E40" s="160">
        <v>42115</v>
      </c>
      <c r="F40" s="221" t="s">
        <v>3237</v>
      </c>
    </row>
    <row r="41" spans="1:6">
      <c r="A41" s="221" t="s">
        <v>2049</v>
      </c>
      <c r="B41" s="221">
        <v>3536485357118850</v>
      </c>
      <c r="C41" s="221" t="s">
        <v>1171</v>
      </c>
      <c r="D41" s="221" t="s">
        <v>3236</v>
      </c>
      <c r="E41" s="160">
        <v>42170</v>
      </c>
      <c r="F41" s="221" t="s">
        <v>3235</v>
      </c>
    </row>
    <row r="42" spans="1:6">
      <c r="A42" s="221" t="s">
        <v>2289</v>
      </c>
      <c r="B42" s="221">
        <v>5593422672225530</v>
      </c>
      <c r="C42" s="221" t="s">
        <v>3208</v>
      </c>
      <c r="D42" s="221" t="s">
        <v>3234</v>
      </c>
      <c r="E42" s="160">
        <v>42197</v>
      </c>
      <c r="F42" s="221" t="s">
        <v>3233</v>
      </c>
    </row>
    <row r="43" spans="1:6">
      <c r="A43" s="221" t="s">
        <v>2571</v>
      </c>
      <c r="B43" s="221">
        <v>337941980598576</v>
      </c>
      <c r="C43" s="221" t="s">
        <v>1155</v>
      </c>
      <c r="D43" s="221" t="s">
        <v>3232</v>
      </c>
      <c r="E43" s="160">
        <v>42140</v>
      </c>
      <c r="F43" s="221" t="s">
        <v>3231</v>
      </c>
    </row>
    <row r="44" spans="1:6">
      <c r="A44" s="221" t="s">
        <v>2353</v>
      </c>
      <c r="B44" s="221">
        <v>5.6022208383018202E+17</v>
      </c>
      <c r="C44" s="221" t="s">
        <v>2376</v>
      </c>
      <c r="D44" s="221" t="s">
        <v>3230</v>
      </c>
      <c r="E44" s="160">
        <v>42282</v>
      </c>
      <c r="F44" s="221" t="s">
        <v>3229</v>
      </c>
    </row>
    <row r="45" spans="1:6">
      <c r="A45" s="221" t="s">
        <v>1590</v>
      </c>
      <c r="B45" s="221">
        <v>374622769188490</v>
      </c>
      <c r="C45" s="221" t="s">
        <v>906</v>
      </c>
      <c r="D45" s="221" t="s">
        <v>3228</v>
      </c>
      <c r="E45" s="160">
        <v>42130</v>
      </c>
      <c r="F45" s="221" t="s">
        <v>3227</v>
      </c>
    </row>
    <row r="46" spans="1:6">
      <c r="A46" s="221" t="s">
        <v>1128</v>
      </c>
      <c r="B46" s="221">
        <v>5602229456942200</v>
      </c>
      <c r="C46" s="221" t="s">
        <v>2215</v>
      </c>
      <c r="D46" s="221" t="s">
        <v>3226</v>
      </c>
      <c r="E46" s="160">
        <v>42368</v>
      </c>
      <c r="F46" s="221" t="s">
        <v>3225</v>
      </c>
    </row>
    <row r="47" spans="1:6">
      <c r="A47" s="221" t="s">
        <v>2911</v>
      </c>
      <c r="B47" s="221">
        <v>3535441539054240</v>
      </c>
      <c r="C47" s="221" t="s">
        <v>2359</v>
      </c>
      <c r="D47" s="221" t="s">
        <v>3224</v>
      </c>
      <c r="E47" s="160">
        <v>42172</v>
      </c>
      <c r="F47" s="221" t="s">
        <v>3223</v>
      </c>
    </row>
    <row r="48" spans="1:6">
      <c r="A48" s="221" t="s">
        <v>751</v>
      </c>
      <c r="B48" s="221">
        <v>4913482299640450</v>
      </c>
      <c r="C48" s="221" t="s">
        <v>1400</v>
      </c>
      <c r="D48" s="221" t="s">
        <v>3222</v>
      </c>
      <c r="E48" s="160">
        <v>42406</v>
      </c>
      <c r="F48" s="221" t="s">
        <v>3221</v>
      </c>
    </row>
    <row r="49" spans="1:6">
      <c r="A49" s="221" t="s">
        <v>846</v>
      </c>
      <c r="B49" s="221">
        <v>5216270492499400</v>
      </c>
      <c r="C49" s="221" t="s">
        <v>1413</v>
      </c>
      <c r="D49" s="221" t="s">
        <v>3220</v>
      </c>
      <c r="E49" s="160">
        <v>42337</v>
      </c>
      <c r="F49" s="221" t="s">
        <v>3219</v>
      </c>
    </row>
    <row r="50" spans="1:6">
      <c r="A50" s="221" t="s">
        <v>1488</v>
      </c>
      <c r="B50" s="221">
        <v>5598247378923960</v>
      </c>
      <c r="C50" s="221" t="s">
        <v>1164</v>
      </c>
      <c r="D50" s="221" t="s">
        <v>3218</v>
      </c>
      <c r="E50" s="160">
        <v>42283</v>
      </c>
      <c r="F50" s="221" t="s">
        <v>3217</v>
      </c>
    </row>
    <row r="51" spans="1:6">
      <c r="A51" s="221" t="s">
        <v>3144</v>
      </c>
      <c r="B51" s="221">
        <v>4911676866838220</v>
      </c>
      <c r="C51" s="221" t="s">
        <v>2440</v>
      </c>
      <c r="D51" s="221" t="s">
        <v>3216</v>
      </c>
      <c r="E51" s="160">
        <v>42218</v>
      </c>
      <c r="F51" s="221" t="s">
        <v>3215</v>
      </c>
    </row>
    <row r="52" spans="1:6">
      <c r="A52" s="221" t="s">
        <v>1284</v>
      </c>
      <c r="B52" s="221">
        <v>5.6102902603447603E+17</v>
      </c>
      <c r="C52" s="221" t="s">
        <v>2380</v>
      </c>
      <c r="D52" s="221" t="s">
        <v>3214</v>
      </c>
      <c r="E52" s="160">
        <v>42206</v>
      </c>
      <c r="F52" s="221" t="s">
        <v>3213</v>
      </c>
    </row>
    <row r="53" spans="1:6">
      <c r="A53" s="221" t="s">
        <v>2169</v>
      </c>
      <c r="B53" s="221">
        <v>3589325221286570</v>
      </c>
      <c r="C53" s="221" t="s">
        <v>1532</v>
      </c>
      <c r="D53" s="221" t="s">
        <v>3212</v>
      </c>
      <c r="E53" s="160">
        <v>42154</v>
      </c>
      <c r="F53" s="221" t="s">
        <v>3211</v>
      </c>
    </row>
    <row r="54" spans="1:6">
      <c r="A54" s="221" t="s">
        <v>2160</v>
      </c>
      <c r="B54" s="221">
        <v>5100142375777570</v>
      </c>
      <c r="C54" s="221" t="s">
        <v>1464</v>
      </c>
      <c r="D54" s="221" t="s">
        <v>3210</v>
      </c>
      <c r="E54" s="160">
        <v>42344</v>
      </c>
      <c r="F54" s="221" t="s">
        <v>3209</v>
      </c>
    </row>
    <row r="55" spans="1:6">
      <c r="A55" s="221" t="s">
        <v>1864</v>
      </c>
      <c r="B55" s="221">
        <v>5569373961714390</v>
      </c>
      <c r="C55" s="221" t="s">
        <v>3208</v>
      </c>
      <c r="D55" s="221" t="s">
        <v>3207</v>
      </c>
      <c r="E55" s="160">
        <v>42417</v>
      </c>
      <c r="F55" s="221" t="s">
        <v>3206</v>
      </c>
    </row>
    <row r="56" spans="1:6">
      <c r="A56" s="221" t="s">
        <v>2220</v>
      </c>
      <c r="B56" s="221">
        <v>6331104418832210</v>
      </c>
      <c r="C56" s="221" t="s">
        <v>1940</v>
      </c>
      <c r="D56" s="221" t="s">
        <v>3205</v>
      </c>
      <c r="E56" s="160">
        <v>42326</v>
      </c>
      <c r="F56" s="221" t="s">
        <v>3204</v>
      </c>
    </row>
    <row r="57" spans="1:6">
      <c r="A57" s="221" t="s">
        <v>1448</v>
      </c>
      <c r="B57" s="221">
        <v>6.7596917815877696E+17</v>
      </c>
      <c r="C57" s="221" t="s">
        <v>1578</v>
      </c>
      <c r="D57" s="221" t="s">
        <v>3203</v>
      </c>
      <c r="E57" s="160">
        <v>42321</v>
      </c>
      <c r="F57" s="221" t="s">
        <v>3202</v>
      </c>
    </row>
    <row r="58" spans="1:6">
      <c r="A58" s="221" t="s">
        <v>3201</v>
      </c>
      <c r="B58" s="221">
        <v>5893711920530440</v>
      </c>
      <c r="C58" s="221" t="s">
        <v>1063</v>
      </c>
      <c r="D58" s="221" t="s">
        <v>3200</v>
      </c>
      <c r="E58" s="160">
        <v>42414</v>
      </c>
      <c r="F58" s="221" t="s">
        <v>3199</v>
      </c>
    </row>
    <row r="59" spans="1:6">
      <c r="A59" s="221" t="s">
        <v>1505</v>
      </c>
      <c r="B59" s="221">
        <v>30448327901992</v>
      </c>
      <c r="C59" s="221" t="s">
        <v>2678</v>
      </c>
      <c r="D59" s="221" t="s">
        <v>3198</v>
      </c>
      <c r="E59" s="160">
        <v>42134</v>
      </c>
      <c r="F59" s="221" t="s">
        <v>3197</v>
      </c>
    </row>
    <row r="60" spans="1:6">
      <c r="A60" s="221" t="s">
        <v>1754</v>
      </c>
      <c r="B60" s="221">
        <v>4508228691917010</v>
      </c>
      <c r="C60" s="221" t="s">
        <v>1222</v>
      </c>
      <c r="D60" s="221" t="s">
        <v>3196</v>
      </c>
      <c r="E60" s="160">
        <v>42175</v>
      </c>
      <c r="F60" s="221" t="s">
        <v>3195</v>
      </c>
    </row>
    <row r="61" spans="1:6">
      <c r="A61" s="221" t="s">
        <v>858</v>
      </c>
      <c r="B61" s="221">
        <v>3581032286927300</v>
      </c>
      <c r="C61" s="221" t="s">
        <v>933</v>
      </c>
      <c r="D61" s="221" t="s">
        <v>3194</v>
      </c>
      <c r="E61" s="160">
        <v>42357</v>
      </c>
      <c r="F61" s="221" t="s">
        <v>3193</v>
      </c>
    </row>
    <row r="62" spans="1:6">
      <c r="A62" s="221" t="s">
        <v>1293</v>
      </c>
      <c r="B62" s="221">
        <v>5392869021129060</v>
      </c>
      <c r="C62" s="221" t="s">
        <v>1424</v>
      </c>
      <c r="D62" s="221" t="s">
        <v>3192</v>
      </c>
      <c r="E62" s="160">
        <v>42292</v>
      </c>
      <c r="F62" s="221" t="s">
        <v>3191</v>
      </c>
    </row>
    <row r="63" spans="1:6">
      <c r="A63" s="221" t="s">
        <v>3190</v>
      </c>
      <c r="B63" s="221">
        <v>5149985027013930</v>
      </c>
      <c r="C63" s="221" t="s">
        <v>876</v>
      </c>
      <c r="D63" s="221" t="s">
        <v>3189</v>
      </c>
      <c r="E63" s="160">
        <v>42258</v>
      </c>
      <c r="F63" s="221" t="s">
        <v>3188</v>
      </c>
    </row>
    <row r="64" spans="1:6">
      <c r="A64" s="221" t="s">
        <v>815</v>
      </c>
      <c r="B64" s="221">
        <v>6374267639869580</v>
      </c>
      <c r="C64" s="221" t="s">
        <v>1321</v>
      </c>
      <c r="D64" s="221" t="s">
        <v>3187</v>
      </c>
      <c r="E64" s="160">
        <v>42287</v>
      </c>
      <c r="F64" s="221" t="s">
        <v>3186</v>
      </c>
    </row>
    <row r="65" spans="1:6">
      <c r="A65" s="221" t="s">
        <v>1346</v>
      </c>
      <c r="B65" s="221">
        <v>6.33110784869056E+17</v>
      </c>
      <c r="C65" s="221" t="s">
        <v>1749</v>
      </c>
      <c r="D65" s="221" t="s">
        <v>3185</v>
      </c>
      <c r="E65" s="160">
        <v>42314</v>
      </c>
      <c r="F65" s="221" t="s">
        <v>3184</v>
      </c>
    </row>
    <row r="66" spans="1:6">
      <c r="A66" s="221" t="s">
        <v>1658</v>
      </c>
      <c r="B66" s="221">
        <v>30162824094132</v>
      </c>
      <c r="C66" s="221" t="s">
        <v>825</v>
      </c>
      <c r="D66" s="221" t="s">
        <v>3183</v>
      </c>
      <c r="E66" s="160">
        <v>42328</v>
      </c>
      <c r="F66" s="221" t="s">
        <v>3182</v>
      </c>
    </row>
    <row r="67" spans="1:6">
      <c r="A67" s="221" t="s">
        <v>2033</v>
      </c>
      <c r="B67" s="221">
        <v>3569025479000190</v>
      </c>
      <c r="C67" s="221" t="s">
        <v>810</v>
      </c>
      <c r="D67" s="221" t="s">
        <v>3181</v>
      </c>
      <c r="E67" s="160">
        <v>42422</v>
      </c>
      <c r="F67" s="221" t="s">
        <v>3180</v>
      </c>
    </row>
    <row r="68" spans="1:6">
      <c r="A68" s="221" t="s">
        <v>1827</v>
      </c>
      <c r="B68" s="221">
        <v>3576259086546010</v>
      </c>
      <c r="C68" s="221" t="s">
        <v>2359</v>
      </c>
      <c r="D68" s="221" t="s">
        <v>3179</v>
      </c>
      <c r="E68" s="160">
        <v>42204</v>
      </c>
      <c r="F68" s="221" t="s">
        <v>3178</v>
      </c>
    </row>
    <row r="69" spans="1:6">
      <c r="A69" s="221" t="s">
        <v>2700</v>
      </c>
      <c r="B69" s="221">
        <v>5100176731470710</v>
      </c>
      <c r="C69" s="221" t="s">
        <v>1419</v>
      </c>
      <c r="D69" s="221" t="s">
        <v>3177</v>
      </c>
      <c r="E69" s="160">
        <v>42242</v>
      </c>
      <c r="F69" s="221" t="s">
        <v>3176</v>
      </c>
    </row>
    <row r="70" spans="1:6">
      <c r="A70" s="221" t="s">
        <v>3175</v>
      </c>
      <c r="B70" s="221">
        <v>5610535395107200</v>
      </c>
      <c r="C70" s="221" t="s">
        <v>1260</v>
      </c>
      <c r="D70" s="221" t="s">
        <v>3174</v>
      </c>
      <c r="E70" s="160">
        <v>42341</v>
      </c>
      <c r="F70" s="221" t="s">
        <v>3173</v>
      </c>
    </row>
    <row r="71" spans="1:6">
      <c r="A71" s="221" t="s">
        <v>2203</v>
      </c>
      <c r="B71" s="221">
        <v>3545818193596800</v>
      </c>
      <c r="C71" s="221" t="s">
        <v>1578</v>
      </c>
      <c r="D71" s="221" t="s">
        <v>3172</v>
      </c>
      <c r="E71" s="160">
        <v>42301</v>
      </c>
      <c r="F71" s="221" t="s">
        <v>3171</v>
      </c>
    </row>
    <row r="72" spans="1:6">
      <c r="A72" s="221" t="s">
        <v>1491</v>
      </c>
      <c r="B72" s="221">
        <v>6.0449372504801894E+17</v>
      </c>
      <c r="C72" s="221" t="s">
        <v>1392</v>
      </c>
      <c r="D72" s="221" t="s">
        <v>3170</v>
      </c>
      <c r="E72" s="160">
        <v>42355</v>
      </c>
      <c r="F72" s="221" t="s">
        <v>3169</v>
      </c>
    </row>
    <row r="73" spans="1:6">
      <c r="A73" s="221" t="s">
        <v>1891</v>
      </c>
      <c r="B73" s="221">
        <v>3577928383833000</v>
      </c>
      <c r="C73" s="221" t="s">
        <v>869</v>
      </c>
      <c r="D73" s="221" t="s">
        <v>3168</v>
      </c>
      <c r="E73" s="160">
        <v>42112</v>
      </c>
      <c r="F73" s="221" t="s">
        <v>3167</v>
      </c>
    </row>
    <row r="74" spans="1:6">
      <c r="A74" s="221" t="s">
        <v>1948</v>
      </c>
      <c r="B74" s="221">
        <v>5571355315968930</v>
      </c>
      <c r="C74" s="221" t="s">
        <v>1084</v>
      </c>
      <c r="D74" s="221" t="s">
        <v>3166</v>
      </c>
      <c r="E74" s="160">
        <v>42363</v>
      </c>
      <c r="F74" s="221" t="s">
        <v>3165</v>
      </c>
    </row>
    <row r="75" spans="1:6">
      <c r="A75" s="221" t="s">
        <v>1048</v>
      </c>
      <c r="B75" s="221">
        <v>3557717096961700</v>
      </c>
      <c r="C75" s="221" t="s">
        <v>1695</v>
      </c>
      <c r="D75" s="221" t="s">
        <v>3164</v>
      </c>
      <c r="E75" s="160">
        <v>42217</v>
      </c>
      <c r="F75" s="221" t="s">
        <v>3163</v>
      </c>
    </row>
    <row r="76" spans="1:6">
      <c r="A76" s="221" t="s">
        <v>892</v>
      </c>
      <c r="B76" s="221">
        <v>5.6022546230994E+16</v>
      </c>
      <c r="C76" s="221" t="s">
        <v>1120</v>
      </c>
      <c r="D76" s="221" t="s">
        <v>3162</v>
      </c>
      <c r="E76" s="160">
        <v>42351</v>
      </c>
      <c r="F76" s="221" t="s">
        <v>3161</v>
      </c>
    </row>
    <row r="77" spans="1:6">
      <c r="A77" s="221" t="s">
        <v>2033</v>
      </c>
      <c r="B77" s="221">
        <v>6.7591320372594701E+17</v>
      </c>
      <c r="C77" s="221" t="s">
        <v>1188</v>
      </c>
      <c r="D77" s="221" t="s">
        <v>3160</v>
      </c>
      <c r="E77" s="160">
        <v>42152</v>
      </c>
      <c r="F77" s="221" t="s">
        <v>3159</v>
      </c>
    </row>
    <row r="78" spans="1:6">
      <c r="A78" s="221" t="s">
        <v>1676</v>
      </c>
      <c r="B78" s="221">
        <v>5599110178429930</v>
      </c>
      <c r="C78" s="221" t="s">
        <v>1356</v>
      </c>
      <c r="D78" s="221" t="s">
        <v>3158</v>
      </c>
      <c r="E78" s="160">
        <v>42107</v>
      </c>
      <c r="F78" s="221" t="s">
        <v>3157</v>
      </c>
    </row>
    <row r="79" spans="1:6">
      <c r="A79" s="221" t="s">
        <v>982</v>
      </c>
      <c r="B79" s="221">
        <v>3589964866089470</v>
      </c>
      <c r="C79" s="221" t="s">
        <v>914</v>
      </c>
      <c r="D79" s="221" t="s">
        <v>3156</v>
      </c>
      <c r="E79" s="160">
        <v>42207</v>
      </c>
      <c r="F79" s="221" t="s">
        <v>3155</v>
      </c>
    </row>
    <row r="80" spans="1:6">
      <c r="A80" s="221" t="s">
        <v>1894</v>
      </c>
      <c r="B80" s="221">
        <v>5048374375325850</v>
      </c>
      <c r="C80" s="221" t="s">
        <v>1317</v>
      </c>
      <c r="D80" s="221" t="s">
        <v>3154</v>
      </c>
      <c r="E80" s="160">
        <v>42344</v>
      </c>
      <c r="F80" s="221" t="s">
        <v>3153</v>
      </c>
    </row>
    <row r="81" spans="1:6">
      <c r="A81" s="221" t="s">
        <v>1307</v>
      </c>
      <c r="B81" s="221">
        <v>6.70604546980546E+16</v>
      </c>
      <c r="C81" s="221" t="s">
        <v>1232</v>
      </c>
      <c r="D81" s="221" t="s">
        <v>3152</v>
      </c>
      <c r="E81" s="160">
        <v>42298</v>
      </c>
      <c r="F81" s="221" t="s">
        <v>3151</v>
      </c>
    </row>
    <row r="82" spans="1:6">
      <c r="A82" s="221" t="s">
        <v>938</v>
      </c>
      <c r="B82" s="221">
        <v>3529835618407840</v>
      </c>
      <c r="C82" s="221" t="s">
        <v>833</v>
      </c>
      <c r="D82" s="221" t="s">
        <v>3150</v>
      </c>
      <c r="E82" s="160">
        <v>42381</v>
      </c>
      <c r="F82" s="221" t="s">
        <v>3149</v>
      </c>
    </row>
    <row r="83" spans="1:6">
      <c r="A83" s="221" t="s">
        <v>2739</v>
      </c>
      <c r="B83" s="221">
        <v>5248916564807370</v>
      </c>
      <c r="C83" s="221" t="s">
        <v>2040</v>
      </c>
      <c r="D83" s="221" t="s">
        <v>3148</v>
      </c>
      <c r="E83" s="160">
        <v>42198</v>
      </c>
      <c r="F83" s="221" t="s">
        <v>3147</v>
      </c>
    </row>
    <row r="84" spans="1:6">
      <c r="A84" s="221" t="s">
        <v>2703</v>
      </c>
      <c r="B84" s="221">
        <v>374622568368038</v>
      </c>
      <c r="C84" s="221" t="s">
        <v>1434</v>
      </c>
      <c r="D84" s="221" t="s">
        <v>3146</v>
      </c>
      <c r="E84" s="160">
        <v>42348</v>
      </c>
      <c r="F84" s="221" t="s">
        <v>3145</v>
      </c>
    </row>
    <row r="85" spans="1:6">
      <c r="A85" s="221" t="s">
        <v>3144</v>
      </c>
      <c r="B85" s="221">
        <v>30001703908550</v>
      </c>
      <c r="C85" s="221" t="s">
        <v>1099</v>
      </c>
      <c r="D85" s="221" t="s">
        <v>3143</v>
      </c>
      <c r="E85" s="160">
        <v>42150</v>
      </c>
      <c r="F85" s="221" t="s">
        <v>3142</v>
      </c>
    </row>
    <row r="86" spans="1:6">
      <c r="A86" s="221" t="s">
        <v>2504</v>
      </c>
      <c r="B86" s="221">
        <v>5100142582629430</v>
      </c>
      <c r="C86" s="221" t="s">
        <v>1508</v>
      </c>
      <c r="D86" s="221" t="s">
        <v>3141</v>
      </c>
      <c r="E86" s="160">
        <v>42136</v>
      </c>
      <c r="F86" s="221" t="s">
        <v>3140</v>
      </c>
    </row>
    <row r="87" spans="1:6">
      <c r="A87" s="221" t="s">
        <v>2824</v>
      </c>
      <c r="B87" s="221">
        <v>201698168787966</v>
      </c>
      <c r="C87" s="221" t="s">
        <v>2665</v>
      </c>
      <c r="D87" s="221" t="s">
        <v>3139</v>
      </c>
      <c r="E87" s="160">
        <v>42412</v>
      </c>
      <c r="F87" s="221" t="s">
        <v>3138</v>
      </c>
    </row>
    <row r="88" spans="1:6">
      <c r="A88" s="221" t="s">
        <v>1257</v>
      </c>
      <c r="B88" s="221">
        <v>3555790349733850</v>
      </c>
      <c r="C88" s="221" t="s">
        <v>1080</v>
      </c>
      <c r="D88" s="221" t="s">
        <v>3137</v>
      </c>
      <c r="E88" s="160">
        <v>42250</v>
      </c>
      <c r="F88" s="221" t="s">
        <v>3136</v>
      </c>
    </row>
    <row r="89" spans="1:6">
      <c r="A89" s="221" t="s">
        <v>1672</v>
      </c>
      <c r="B89" s="221">
        <v>4508004509179840</v>
      </c>
      <c r="C89" s="221" t="s">
        <v>2472</v>
      </c>
      <c r="D89" s="221" t="s">
        <v>3135</v>
      </c>
      <c r="E89" s="160">
        <v>42208</v>
      </c>
      <c r="F89" s="221" t="s">
        <v>3134</v>
      </c>
    </row>
    <row r="90" spans="1:6">
      <c r="A90" s="221" t="s">
        <v>989</v>
      </c>
      <c r="B90" s="221">
        <v>5.6107913919151104E+18</v>
      </c>
      <c r="C90" s="221" t="s">
        <v>1070</v>
      </c>
      <c r="D90" s="221" t="s">
        <v>3133</v>
      </c>
      <c r="E90" s="160">
        <v>42155</v>
      </c>
      <c r="F90" s="221" t="s">
        <v>3132</v>
      </c>
    </row>
    <row r="91" spans="1:6">
      <c r="A91" s="221" t="s">
        <v>1168</v>
      </c>
      <c r="B91" s="221">
        <v>5.6104736004042404E+18</v>
      </c>
      <c r="C91" s="221" t="s">
        <v>1630</v>
      </c>
      <c r="D91" s="221" t="s">
        <v>3131</v>
      </c>
      <c r="E91" s="160">
        <v>42328</v>
      </c>
      <c r="F91" s="221" t="s">
        <v>3130</v>
      </c>
    </row>
    <row r="92" spans="1:6">
      <c r="A92" s="221" t="s">
        <v>1778</v>
      </c>
      <c r="B92" s="221">
        <v>3540837745651230</v>
      </c>
      <c r="C92" s="221" t="s">
        <v>891</v>
      </c>
      <c r="D92" s="221" t="s">
        <v>3129</v>
      </c>
      <c r="E92" s="160">
        <v>42228</v>
      </c>
      <c r="F92" s="221" t="s">
        <v>3128</v>
      </c>
    </row>
    <row r="93" spans="1:6">
      <c r="A93" s="221" t="s">
        <v>2559</v>
      </c>
      <c r="B93" s="221">
        <v>3542860257192290</v>
      </c>
      <c r="C93" s="221" t="s">
        <v>2163</v>
      </c>
      <c r="D93" s="221" t="s">
        <v>3127</v>
      </c>
      <c r="E93" s="160">
        <v>42333</v>
      </c>
      <c r="F93" s="221" t="s">
        <v>3126</v>
      </c>
    </row>
    <row r="94" spans="1:6">
      <c r="A94" s="221" t="s">
        <v>1445</v>
      </c>
      <c r="B94" s="221">
        <v>3540620289015150</v>
      </c>
      <c r="C94" s="221" t="s">
        <v>1253</v>
      </c>
      <c r="D94" s="221" t="s">
        <v>3125</v>
      </c>
      <c r="E94" s="160">
        <v>42398</v>
      </c>
      <c r="F94" s="221" t="s">
        <v>3124</v>
      </c>
    </row>
    <row r="95" spans="1:6">
      <c r="A95" s="221" t="s">
        <v>2829</v>
      </c>
      <c r="B95" s="221">
        <v>3569604106010720</v>
      </c>
      <c r="C95" s="221" t="s">
        <v>2426</v>
      </c>
      <c r="D95" s="221" t="s">
        <v>3123</v>
      </c>
      <c r="E95" s="160">
        <v>42320</v>
      </c>
      <c r="F95" s="221" t="s">
        <v>3122</v>
      </c>
    </row>
    <row r="96" spans="1:6">
      <c r="A96" s="221" t="s">
        <v>1364</v>
      </c>
      <c r="B96" s="221">
        <v>3563675371287660</v>
      </c>
      <c r="C96" s="221" t="s">
        <v>1360</v>
      </c>
      <c r="D96" s="221" t="s">
        <v>3121</v>
      </c>
      <c r="E96" s="160">
        <v>42141</v>
      </c>
      <c r="F96" s="221" t="s">
        <v>3120</v>
      </c>
    </row>
    <row r="97" spans="1:6">
      <c r="A97" s="221" t="s">
        <v>759</v>
      </c>
      <c r="B97" s="221">
        <v>3572795766669160</v>
      </c>
      <c r="C97" s="221" t="s">
        <v>1264</v>
      </c>
      <c r="D97" s="221" t="s">
        <v>3119</v>
      </c>
      <c r="E97" s="160">
        <v>42376</v>
      </c>
      <c r="F97" s="221" t="s">
        <v>3118</v>
      </c>
    </row>
    <row r="98" spans="1:6">
      <c r="A98" s="221" t="s">
        <v>2033</v>
      </c>
      <c r="B98" s="221">
        <v>3558438680172860</v>
      </c>
      <c r="C98" s="221" t="s">
        <v>1036</v>
      </c>
      <c r="D98" s="221" t="s">
        <v>3117</v>
      </c>
      <c r="E98" s="160">
        <v>42376</v>
      </c>
      <c r="F98" s="221" t="s">
        <v>3116</v>
      </c>
    </row>
    <row r="99" spans="1:6">
      <c r="A99" s="221" t="s">
        <v>2574</v>
      </c>
      <c r="B99" s="221">
        <v>5602250314474950</v>
      </c>
      <c r="C99" s="221" t="s">
        <v>2693</v>
      </c>
      <c r="D99" s="221" t="s">
        <v>3115</v>
      </c>
      <c r="E99" s="160">
        <v>42311</v>
      </c>
      <c r="F99" s="221" t="s">
        <v>3114</v>
      </c>
    </row>
    <row r="100" spans="1:6">
      <c r="A100" s="221" t="s">
        <v>1852</v>
      </c>
      <c r="B100" s="221">
        <v>3564496959774210</v>
      </c>
      <c r="C100" s="221" t="s">
        <v>3113</v>
      </c>
      <c r="D100" s="221" t="s">
        <v>3112</v>
      </c>
      <c r="E100" s="160">
        <v>42392</v>
      </c>
      <c r="F100" s="221" t="s">
        <v>3111</v>
      </c>
    </row>
    <row r="101" spans="1:6">
      <c r="A101" s="221" t="s">
        <v>755</v>
      </c>
      <c r="B101" s="221">
        <v>3555809501641300</v>
      </c>
      <c r="C101" s="221" t="s">
        <v>1055</v>
      </c>
      <c r="D101" s="221" t="s">
        <v>3110</v>
      </c>
      <c r="E101" s="160">
        <v>42425</v>
      </c>
      <c r="F101" s="221" t="s">
        <v>3109</v>
      </c>
    </row>
    <row r="102" spans="1:6">
      <c r="A102" s="221" t="s">
        <v>2172</v>
      </c>
      <c r="B102" s="221">
        <v>3530024330877820</v>
      </c>
      <c r="C102" s="221" t="s">
        <v>956</v>
      </c>
      <c r="D102" s="221" t="s">
        <v>3108</v>
      </c>
      <c r="E102" s="160">
        <v>42464</v>
      </c>
      <c r="F102" s="221" t="s">
        <v>3107</v>
      </c>
    </row>
    <row r="103" spans="1:6">
      <c r="A103" s="221" t="s">
        <v>811</v>
      </c>
      <c r="B103" s="221">
        <v>3531164548378170</v>
      </c>
      <c r="C103" s="221" t="s">
        <v>1739</v>
      </c>
      <c r="D103" s="221" t="s">
        <v>3106</v>
      </c>
      <c r="E103" s="160">
        <v>42204</v>
      </c>
      <c r="F103" s="221" t="s">
        <v>3105</v>
      </c>
    </row>
    <row r="104" spans="1:6">
      <c r="A104" s="221" t="s">
        <v>1085</v>
      </c>
      <c r="B104" s="221">
        <v>3548975659382700</v>
      </c>
      <c r="C104" s="221" t="s">
        <v>1232</v>
      </c>
      <c r="D104" s="221" t="s">
        <v>3104</v>
      </c>
      <c r="E104" s="160">
        <v>42222</v>
      </c>
      <c r="F104" s="221" t="s">
        <v>3103</v>
      </c>
    </row>
    <row r="105" spans="1:6">
      <c r="A105" s="221" t="s">
        <v>3102</v>
      </c>
      <c r="B105" s="221">
        <v>3530420499122360</v>
      </c>
      <c r="C105" s="221" t="s">
        <v>1264</v>
      </c>
      <c r="D105" s="221" t="s">
        <v>3101</v>
      </c>
      <c r="E105" s="160">
        <v>42227</v>
      </c>
      <c r="F105" s="221" t="s">
        <v>3100</v>
      </c>
    </row>
    <row r="106" spans="1:6">
      <c r="A106" s="221" t="s">
        <v>755</v>
      </c>
      <c r="B106" s="221">
        <v>4405430649591980</v>
      </c>
      <c r="C106" s="221" t="s">
        <v>1188</v>
      </c>
      <c r="D106" s="221" t="s">
        <v>3099</v>
      </c>
      <c r="E106" s="160">
        <v>42370</v>
      </c>
      <c r="F106" s="221" t="s">
        <v>3098</v>
      </c>
    </row>
    <row r="107" spans="1:6">
      <c r="A107" s="221" t="s">
        <v>2166</v>
      </c>
      <c r="B107" s="221">
        <v>5.0383427273020704E+16</v>
      </c>
      <c r="C107" s="221" t="s">
        <v>3029</v>
      </c>
      <c r="D107" s="221" t="s">
        <v>3097</v>
      </c>
      <c r="E107" s="160">
        <v>42256</v>
      </c>
      <c r="F107" s="221" t="s">
        <v>3096</v>
      </c>
    </row>
    <row r="108" spans="1:6">
      <c r="A108" s="221" t="s">
        <v>1800</v>
      </c>
      <c r="B108" s="221">
        <v>5602214716589160</v>
      </c>
      <c r="C108" s="221" t="s">
        <v>1287</v>
      </c>
      <c r="D108" s="221" t="s">
        <v>3095</v>
      </c>
      <c r="E108" s="160">
        <v>42154</v>
      </c>
      <c r="F108" s="221" t="s">
        <v>3094</v>
      </c>
    </row>
    <row r="109" spans="1:6">
      <c r="A109" s="221" t="s">
        <v>1550</v>
      </c>
      <c r="B109" s="221">
        <v>3538138428147820</v>
      </c>
      <c r="C109" s="221" t="s">
        <v>730</v>
      </c>
      <c r="D109" s="221" t="s">
        <v>3093</v>
      </c>
      <c r="E109" s="160">
        <v>42101</v>
      </c>
      <c r="F109" s="221" t="s">
        <v>3092</v>
      </c>
    </row>
    <row r="110" spans="1:6">
      <c r="A110" s="221" t="s">
        <v>1624</v>
      </c>
      <c r="B110" s="221">
        <v>3542031062197040</v>
      </c>
      <c r="C110" s="221" t="s">
        <v>978</v>
      </c>
      <c r="D110" s="221" t="s">
        <v>3091</v>
      </c>
      <c r="E110" s="160">
        <v>42168</v>
      </c>
      <c r="F110" s="221" t="s">
        <v>3090</v>
      </c>
    </row>
    <row r="111" spans="1:6">
      <c r="A111" s="221" t="s">
        <v>1590</v>
      </c>
      <c r="B111" s="221">
        <v>4.9052328531673702E+17</v>
      </c>
      <c r="C111" s="221" t="s">
        <v>1440</v>
      </c>
      <c r="D111" s="221" t="s">
        <v>3089</v>
      </c>
      <c r="E111" s="160">
        <v>42292</v>
      </c>
      <c r="F111" s="221" t="s">
        <v>3088</v>
      </c>
    </row>
    <row r="112" spans="1:6">
      <c r="A112" s="221" t="s">
        <v>1149</v>
      </c>
      <c r="B112" s="221">
        <v>3579482395238090</v>
      </c>
      <c r="C112" s="221" t="s">
        <v>2426</v>
      </c>
      <c r="D112" s="221" t="s">
        <v>3087</v>
      </c>
      <c r="E112" s="160">
        <v>42447</v>
      </c>
      <c r="F112" s="221" t="s">
        <v>3086</v>
      </c>
    </row>
    <row r="113" spans="1:6">
      <c r="A113" s="221" t="s">
        <v>795</v>
      </c>
      <c r="B113" s="221">
        <v>5048370425191680</v>
      </c>
      <c r="C113" s="221" t="s">
        <v>1749</v>
      </c>
      <c r="D113" s="221" t="s">
        <v>3085</v>
      </c>
      <c r="E113" s="160">
        <v>42441</v>
      </c>
      <c r="F113" s="221" t="s">
        <v>3084</v>
      </c>
    </row>
    <row r="114" spans="1:6">
      <c r="A114" s="221" t="s">
        <v>2571</v>
      </c>
      <c r="B114" s="221">
        <v>5020886597387330</v>
      </c>
      <c r="C114" s="221" t="s">
        <v>918</v>
      </c>
      <c r="D114" s="221" t="s">
        <v>3083</v>
      </c>
      <c r="E114" s="160">
        <v>42263</v>
      </c>
      <c r="F114" s="221" t="s">
        <v>3082</v>
      </c>
    </row>
    <row r="115" spans="1:6">
      <c r="A115" s="221" t="s">
        <v>1445</v>
      </c>
      <c r="B115" s="221">
        <v>3560200449759020</v>
      </c>
      <c r="C115" s="221" t="s">
        <v>2398</v>
      </c>
      <c r="D115" s="221" t="s">
        <v>3081</v>
      </c>
      <c r="E115" s="160">
        <v>42164</v>
      </c>
      <c r="F115" s="221" t="s">
        <v>3080</v>
      </c>
    </row>
    <row r="116" spans="1:6">
      <c r="A116" s="221" t="s">
        <v>1096</v>
      </c>
      <c r="B116" s="221">
        <v>4261560570882440</v>
      </c>
      <c r="C116" s="221" t="s">
        <v>1123</v>
      </c>
      <c r="D116" s="221" t="s">
        <v>3079</v>
      </c>
      <c r="E116" s="160">
        <v>42157</v>
      </c>
      <c r="F116" s="221" t="s">
        <v>3078</v>
      </c>
    </row>
    <row r="117" spans="1:6">
      <c r="A117" s="221" t="s">
        <v>2377</v>
      </c>
      <c r="B117" s="221">
        <v>3583935863554430</v>
      </c>
      <c r="C117" s="221" t="s">
        <v>2815</v>
      </c>
      <c r="D117" s="221" t="s">
        <v>3077</v>
      </c>
      <c r="E117" s="160">
        <v>42152</v>
      </c>
      <c r="F117" s="221" t="s">
        <v>3076</v>
      </c>
    </row>
    <row r="118" spans="1:6">
      <c r="A118" s="221" t="s">
        <v>1278</v>
      </c>
      <c r="B118" s="221">
        <v>201509363129591</v>
      </c>
      <c r="C118" s="221" t="s">
        <v>1969</v>
      </c>
      <c r="D118" s="221" t="s">
        <v>3075</v>
      </c>
      <c r="E118" s="160">
        <v>42415</v>
      </c>
      <c r="F118" s="221" t="s">
        <v>3074</v>
      </c>
    </row>
    <row r="119" spans="1:6">
      <c r="A119" s="221" t="s">
        <v>1569</v>
      </c>
      <c r="B119" s="221">
        <v>4.9035180302698998E+18</v>
      </c>
      <c r="C119" s="221" t="s">
        <v>754</v>
      </c>
      <c r="D119" s="221" t="s">
        <v>3073</v>
      </c>
      <c r="E119" s="160">
        <v>42396</v>
      </c>
      <c r="F119" s="221" t="s">
        <v>3072</v>
      </c>
    </row>
    <row r="120" spans="1:6">
      <c r="A120" s="221" t="s">
        <v>2166</v>
      </c>
      <c r="B120" s="221">
        <v>6.7627058496624704E+17</v>
      </c>
      <c r="C120" s="221" t="s">
        <v>782</v>
      </c>
      <c r="D120" s="221" t="s">
        <v>3071</v>
      </c>
      <c r="E120" s="160">
        <v>42125</v>
      </c>
      <c r="F120" s="221" t="s">
        <v>3070</v>
      </c>
    </row>
    <row r="121" spans="1:6">
      <c r="A121" s="221" t="s">
        <v>1212</v>
      </c>
      <c r="B121" s="221">
        <v>5100138266496770</v>
      </c>
      <c r="C121" s="221" t="s">
        <v>1188</v>
      </c>
      <c r="D121" s="221" t="s">
        <v>3069</v>
      </c>
      <c r="E121" s="160">
        <v>42392</v>
      </c>
      <c r="F121" s="221" t="s">
        <v>3068</v>
      </c>
    </row>
    <row r="122" spans="1:6">
      <c r="A122" s="221" t="s">
        <v>2700</v>
      </c>
      <c r="B122" s="221">
        <v>3575323671648430</v>
      </c>
      <c r="C122" s="221" t="s">
        <v>2409</v>
      </c>
      <c r="D122" s="221" t="s">
        <v>3067</v>
      </c>
      <c r="E122" s="160">
        <v>42410</v>
      </c>
      <c r="F122" s="221" t="s">
        <v>3066</v>
      </c>
    </row>
    <row r="123" spans="1:6">
      <c r="A123" s="221" t="s">
        <v>1056</v>
      </c>
      <c r="B123" s="221">
        <v>3554881898069930</v>
      </c>
      <c r="C123" s="221" t="s">
        <v>821</v>
      </c>
      <c r="D123" s="221" t="s">
        <v>3065</v>
      </c>
      <c r="E123" s="160">
        <v>42111</v>
      </c>
      <c r="F123" s="221" t="s">
        <v>3064</v>
      </c>
    </row>
    <row r="124" spans="1:6">
      <c r="A124" s="221" t="s">
        <v>1257</v>
      </c>
      <c r="B124" s="221">
        <v>201866015095582</v>
      </c>
      <c r="C124" s="221" t="s">
        <v>1026</v>
      </c>
      <c r="D124" s="221" t="s">
        <v>3063</v>
      </c>
      <c r="E124" s="160">
        <v>42236</v>
      </c>
      <c r="F124" s="221" t="s">
        <v>3062</v>
      </c>
    </row>
    <row r="125" spans="1:6">
      <c r="A125" s="221" t="s">
        <v>1544</v>
      </c>
      <c r="B125" s="221">
        <v>5610217032336300</v>
      </c>
      <c r="C125" s="221" t="s">
        <v>1586</v>
      </c>
      <c r="D125" s="221" t="s">
        <v>3061</v>
      </c>
      <c r="E125" s="160">
        <v>42242</v>
      </c>
      <c r="F125" s="221" t="s">
        <v>3060</v>
      </c>
    </row>
    <row r="126" spans="1:6">
      <c r="A126" s="221" t="s">
        <v>2033</v>
      </c>
      <c r="B126" s="221">
        <v>5002353410843060</v>
      </c>
      <c r="C126" s="221" t="s">
        <v>1267</v>
      </c>
      <c r="D126" s="221" t="s">
        <v>3059</v>
      </c>
      <c r="E126" s="160">
        <v>42189</v>
      </c>
      <c r="F126" s="221" t="s">
        <v>3058</v>
      </c>
    </row>
    <row r="127" spans="1:6">
      <c r="A127" s="221" t="s">
        <v>3057</v>
      </c>
      <c r="B127" s="221">
        <v>6397042892941590</v>
      </c>
      <c r="C127" s="221" t="s">
        <v>1789</v>
      </c>
      <c r="D127" s="221" t="s">
        <v>3056</v>
      </c>
      <c r="E127" s="160">
        <v>42195</v>
      </c>
      <c r="F127" s="221" t="s">
        <v>3055</v>
      </c>
    </row>
    <row r="128" spans="1:6">
      <c r="A128" s="221" t="s">
        <v>1605</v>
      </c>
      <c r="B128" s="221">
        <v>4405022331448170</v>
      </c>
      <c r="C128" s="221" t="s">
        <v>1063</v>
      </c>
      <c r="D128" s="221" t="s">
        <v>3054</v>
      </c>
      <c r="E128" s="160">
        <v>42418</v>
      </c>
      <c r="F128" s="221" t="s">
        <v>3053</v>
      </c>
    </row>
    <row r="129" spans="1:6">
      <c r="A129" s="221" t="s">
        <v>919</v>
      </c>
      <c r="B129" s="221">
        <v>3544822641291170</v>
      </c>
      <c r="C129" s="221" t="s">
        <v>1716</v>
      </c>
      <c r="D129" s="221" t="s">
        <v>3052</v>
      </c>
      <c r="E129" s="160">
        <v>42409</v>
      </c>
      <c r="F129" s="221" t="s">
        <v>3051</v>
      </c>
    </row>
    <row r="130" spans="1:6">
      <c r="A130" s="221" t="s">
        <v>1992</v>
      </c>
      <c r="B130" s="221">
        <v>4.9118793441364499E+17</v>
      </c>
      <c r="C130" s="221" t="s">
        <v>1373</v>
      </c>
      <c r="D130" s="221" t="s">
        <v>3050</v>
      </c>
      <c r="E130" s="160">
        <v>42397</v>
      </c>
      <c r="F130" s="221" t="s">
        <v>3049</v>
      </c>
    </row>
    <row r="131" spans="1:6">
      <c r="A131" s="221" t="s">
        <v>1208</v>
      </c>
      <c r="B131" s="221">
        <v>3537411378477460</v>
      </c>
      <c r="C131" s="221" t="s">
        <v>730</v>
      </c>
      <c r="D131" s="221" t="s">
        <v>3048</v>
      </c>
      <c r="E131" s="160">
        <v>42282</v>
      </c>
      <c r="F131" s="221" t="s">
        <v>3047</v>
      </c>
    </row>
    <row r="132" spans="1:6">
      <c r="A132" s="221" t="s">
        <v>1229</v>
      </c>
      <c r="B132" s="221">
        <v>5602218044818480</v>
      </c>
      <c r="C132" s="221" t="s">
        <v>1155</v>
      </c>
      <c r="D132" s="221" t="s">
        <v>3046</v>
      </c>
      <c r="E132" s="160">
        <v>42312</v>
      </c>
      <c r="F132" s="221" t="s">
        <v>3045</v>
      </c>
    </row>
    <row r="133" spans="1:6">
      <c r="A133" s="221" t="s">
        <v>3044</v>
      </c>
      <c r="B133" s="221">
        <v>5602245936339920</v>
      </c>
      <c r="C133" s="221" t="s">
        <v>1869</v>
      </c>
      <c r="D133" s="221" t="s">
        <v>3043</v>
      </c>
      <c r="E133" s="160">
        <v>42413</v>
      </c>
      <c r="F133" s="221" t="s">
        <v>3042</v>
      </c>
    </row>
    <row r="134" spans="1:6">
      <c r="A134" s="221" t="s">
        <v>1278</v>
      </c>
      <c r="B134" s="221">
        <v>3542997265551150</v>
      </c>
      <c r="C134" s="221" t="s">
        <v>1879</v>
      </c>
      <c r="D134" s="221" t="s">
        <v>3041</v>
      </c>
      <c r="E134" s="160">
        <v>42374</v>
      </c>
      <c r="F134" s="221" t="s">
        <v>3040</v>
      </c>
    </row>
    <row r="135" spans="1:6">
      <c r="A135" s="221" t="s">
        <v>1183</v>
      </c>
      <c r="B135" s="221">
        <v>3545459894964760</v>
      </c>
      <c r="C135" s="221" t="s">
        <v>902</v>
      </c>
      <c r="D135" s="221" t="s">
        <v>3039</v>
      </c>
      <c r="E135" s="160">
        <v>42185</v>
      </c>
      <c r="F135" s="221" t="s">
        <v>3038</v>
      </c>
    </row>
    <row r="136" spans="1:6">
      <c r="A136" s="221" t="s">
        <v>1537</v>
      </c>
      <c r="B136" s="221">
        <v>4041597514272860</v>
      </c>
      <c r="C136" s="221" t="s">
        <v>1182</v>
      </c>
      <c r="D136" s="221" t="s">
        <v>3037</v>
      </c>
      <c r="E136" s="160">
        <v>42342</v>
      </c>
      <c r="F136" s="221" t="s">
        <v>3036</v>
      </c>
    </row>
    <row r="137" spans="1:6">
      <c r="A137" s="221" t="s">
        <v>1135</v>
      </c>
      <c r="B137" s="221">
        <v>5.02082291562816E+18</v>
      </c>
      <c r="C137" s="221" t="s">
        <v>1560</v>
      </c>
      <c r="D137" s="221" t="s">
        <v>3035</v>
      </c>
      <c r="E137" s="160">
        <v>42172</v>
      </c>
      <c r="F137" s="221" t="s">
        <v>3034</v>
      </c>
    </row>
    <row r="138" spans="1:6">
      <c r="A138" s="221" t="s">
        <v>2968</v>
      </c>
      <c r="B138" s="221">
        <v>3567151571457470</v>
      </c>
      <c r="C138" s="221" t="s">
        <v>1080</v>
      </c>
      <c r="D138" s="221" t="s">
        <v>3033</v>
      </c>
      <c r="E138" s="160">
        <v>42168</v>
      </c>
      <c r="F138" s="221" t="s">
        <v>3032</v>
      </c>
    </row>
    <row r="139" spans="1:6">
      <c r="A139" s="221" t="s">
        <v>1343</v>
      </c>
      <c r="B139" s="221">
        <v>3580278541276170</v>
      </c>
      <c r="C139" s="221" t="s">
        <v>2163</v>
      </c>
      <c r="D139" s="221" t="s">
        <v>3031</v>
      </c>
      <c r="E139" s="160">
        <v>42110</v>
      </c>
      <c r="F139" s="221" t="s">
        <v>3030</v>
      </c>
    </row>
    <row r="140" spans="1:6">
      <c r="A140" s="221" t="s">
        <v>2655</v>
      </c>
      <c r="B140" s="221">
        <v>4405423765566140</v>
      </c>
      <c r="C140" s="221" t="s">
        <v>3029</v>
      </c>
      <c r="D140" s="221" t="s">
        <v>3028</v>
      </c>
      <c r="E140" s="160">
        <v>42143</v>
      </c>
      <c r="F140" s="221" t="s">
        <v>3027</v>
      </c>
    </row>
    <row r="141" spans="1:6">
      <c r="A141" s="221" t="s">
        <v>3026</v>
      </c>
      <c r="B141" s="221">
        <v>4.9053328861591699E+17</v>
      </c>
      <c r="C141" s="221" t="s">
        <v>1669</v>
      </c>
      <c r="D141" s="221" t="s">
        <v>3025</v>
      </c>
      <c r="E141" s="160">
        <v>42248</v>
      </c>
      <c r="F141" s="221" t="s">
        <v>3024</v>
      </c>
    </row>
    <row r="142" spans="1:6">
      <c r="A142" s="221" t="s">
        <v>2443</v>
      </c>
      <c r="B142" s="221">
        <v>5.6104893581635E+16</v>
      </c>
      <c r="C142" s="221" t="s">
        <v>2893</v>
      </c>
      <c r="D142" s="221" t="s">
        <v>3023</v>
      </c>
      <c r="E142" s="160">
        <v>42144</v>
      </c>
      <c r="F142" s="221" t="s">
        <v>3022</v>
      </c>
    </row>
    <row r="143" spans="1:6">
      <c r="A143" s="221" t="s">
        <v>1870</v>
      </c>
      <c r="B143" s="221">
        <v>3544007707185390</v>
      </c>
      <c r="C143" s="221" t="s">
        <v>1630</v>
      </c>
      <c r="D143" s="221" t="s">
        <v>3021</v>
      </c>
      <c r="E143" s="160">
        <v>42161</v>
      </c>
      <c r="F143" s="221" t="s">
        <v>3020</v>
      </c>
    </row>
    <row r="144" spans="1:6">
      <c r="A144" s="221" t="s">
        <v>1060</v>
      </c>
      <c r="B144" s="221">
        <v>374288643698060</v>
      </c>
      <c r="C144" s="221" t="s">
        <v>2426</v>
      </c>
      <c r="D144" s="221" t="s">
        <v>3019</v>
      </c>
      <c r="E144" s="160">
        <v>42339</v>
      </c>
      <c r="F144" s="221" t="s">
        <v>3018</v>
      </c>
    </row>
    <row r="145" spans="1:6">
      <c r="A145" s="221" t="s">
        <v>1956</v>
      </c>
      <c r="B145" s="221">
        <v>3529618913091640</v>
      </c>
      <c r="C145" s="221" t="s">
        <v>1088</v>
      </c>
      <c r="D145" s="221" t="s">
        <v>3017</v>
      </c>
      <c r="E145" s="160">
        <v>42257</v>
      </c>
      <c r="F145" s="221" t="s">
        <v>3016</v>
      </c>
    </row>
    <row r="146" spans="1:6">
      <c r="A146" s="221" t="s">
        <v>1219</v>
      </c>
      <c r="B146" s="221">
        <v>4736304613382720</v>
      </c>
      <c r="C146" s="221" t="s">
        <v>1182</v>
      </c>
      <c r="D146" s="221" t="s">
        <v>3015</v>
      </c>
      <c r="E146" s="160">
        <v>42342</v>
      </c>
      <c r="F146" s="221" t="s">
        <v>3014</v>
      </c>
    </row>
    <row r="147" spans="1:6">
      <c r="A147" s="221" t="s">
        <v>1293</v>
      </c>
      <c r="B147" s="221">
        <v>4205084325977</v>
      </c>
      <c r="C147" s="221" t="s">
        <v>1138</v>
      </c>
      <c r="D147" s="221" t="s">
        <v>3013</v>
      </c>
      <c r="E147" s="160">
        <v>42169</v>
      </c>
      <c r="F147" s="221" t="s">
        <v>3012</v>
      </c>
    </row>
    <row r="148" spans="1:6">
      <c r="A148" s="221" t="s">
        <v>783</v>
      </c>
      <c r="B148" s="221">
        <v>3565071720441580</v>
      </c>
      <c r="C148" s="221" t="s">
        <v>1979</v>
      </c>
      <c r="D148" s="221" t="s">
        <v>3011</v>
      </c>
      <c r="E148" s="160">
        <v>42349</v>
      </c>
      <c r="F148" s="221" t="s">
        <v>1189</v>
      </c>
    </row>
    <row r="149" spans="1:6">
      <c r="A149" s="221" t="s">
        <v>1346</v>
      </c>
      <c r="B149" s="221">
        <v>3549331145955680</v>
      </c>
      <c r="C149" s="221" t="s">
        <v>2380</v>
      </c>
      <c r="D149" s="221" t="s">
        <v>3010</v>
      </c>
      <c r="E149" s="160">
        <v>42232</v>
      </c>
      <c r="F149" s="221" t="s">
        <v>3009</v>
      </c>
    </row>
    <row r="150" spans="1:6">
      <c r="A150" s="221" t="s">
        <v>1883</v>
      </c>
      <c r="B150" s="221">
        <v>6.70991104570476E+16</v>
      </c>
      <c r="C150" s="221" t="s">
        <v>2426</v>
      </c>
      <c r="D150" s="221" t="s">
        <v>3008</v>
      </c>
      <c r="E150" s="160">
        <v>42207</v>
      </c>
      <c r="F150" s="221" t="s">
        <v>3007</v>
      </c>
    </row>
    <row r="151" spans="1:6">
      <c r="A151" s="221" t="s">
        <v>2429</v>
      </c>
      <c r="B151" s="221">
        <v>4844714282509170</v>
      </c>
      <c r="C151" s="221" t="s">
        <v>1404</v>
      </c>
      <c r="D151" s="221" t="s">
        <v>3006</v>
      </c>
      <c r="E151" s="160">
        <v>42411</v>
      </c>
      <c r="F151" s="221" t="s">
        <v>3005</v>
      </c>
    </row>
    <row r="152" spans="1:6">
      <c r="A152" s="221" t="s">
        <v>2160</v>
      </c>
      <c r="B152" s="221">
        <v>201778860244977</v>
      </c>
      <c r="C152" s="221" t="s">
        <v>1095</v>
      </c>
      <c r="D152" s="221" t="s">
        <v>3004</v>
      </c>
      <c r="E152" s="160">
        <v>42278</v>
      </c>
      <c r="F152" s="221" t="s">
        <v>3003</v>
      </c>
    </row>
    <row r="153" spans="1:6">
      <c r="A153" s="221" t="s">
        <v>1250</v>
      </c>
      <c r="B153" s="221">
        <v>5.6022117345411802E+17</v>
      </c>
      <c r="C153" s="221" t="s">
        <v>1218</v>
      </c>
      <c r="D153" s="221" t="s">
        <v>3002</v>
      </c>
      <c r="E153" s="160">
        <v>42433</v>
      </c>
      <c r="F153" s="221" t="s">
        <v>3001</v>
      </c>
    </row>
    <row r="154" spans="1:6">
      <c r="A154" s="221" t="s">
        <v>2061</v>
      </c>
      <c r="B154" s="221">
        <v>4391192468287</v>
      </c>
      <c r="C154" s="221" t="s">
        <v>1026</v>
      </c>
      <c r="D154" s="221" t="s">
        <v>3000</v>
      </c>
      <c r="E154" s="160">
        <v>42220</v>
      </c>
      <c r="F154" s="221" t="s">
        <v>2999</v>
      </c>
    </row>
    <row r="155" spans="1:6">
      <c r="A155" s="221" t="s">
        <v>2998</v>
      </c>
      <c r="B155" s="221">
        <v>4026984056607770</v>
      </c>
      <c r="C155" s="221" t="s">
        <v>2579</v>
      </c>
      <c r="D155" s="221" t="s">
        <v>2997</v>
      </c>
      <c r="E155" s="160">
        <v>42375</v>
      </c>
      <c r="F155" s="221" t="s">
        <v>2996</v>
      </c>
    </row>
    <row r="156" spans="1:6">
      <c r="A156" s="221" t="s">
        <v>2995</v>
      </c>
      <c r="B156" s="221">
        <v>5.6022108547535104E+16</v>
      </c>
      <c r="C156" s="221" t="s">
        <v>219</v>
      </c>
      <c r="D156" s="221" t="s">
        <v>2994</v>
      </c>
      <c r="E156" s="160">
        <v>42347</v>
      </c>
      <c r="F156" s="221" t="s">
        <v>2993</v>
      </c>
    </row>
    <row r="157" spans="1:6">
      <c r="A157" s="221" t="s">
        <v>972</v>
      </c>
      <c r="B157" s="221">
        <v>5108759380314980</v>
      </c>
      <c r="C157" s="221" t="s">
        <v>1742</v>
      </c>
      <c r="D157" s="221" t="s">
        <v>2992</v>
      </c>
      <c r="E157" s="160">
        <v>42425</v>
      </c>
      <c r="F157" s="221" t="s">
        <v>2991</v>
      </c>
    </row>
    <row r="158" spans="1:6">
      <c r="A158" s="221" t="s">
        <v>1393</v>
      </c>
      <c r="B158" s="221">
        <v>5602216831650760</v>
      </c>
      <c r="C158" s="221" t="s">
        <v>1457</v>
      </c>
      <c r="D158" s="221" t="s">
        <v>2990</v>
      </c>
      <c r="E158" s="160">
        <v>42273</v>
      </c>
      <c r="F158" s="221" t="s">
        <v>2989</v>
      </c>
    </row>
    <row r="159" spans="1:6">
      <c r="A159" s="221" t="s">
        <v>2002</v>
      </c>
      <c r="B159" s="221">
        <v>4798451488568</v>
      </c>
      <c r="C159" s="221" t="s">
        <v>933</v>
      </c>
      <c r="D159" s="221" t="s">
        <v>2988</v>
      </c>
      <c r="E159" s="160">
        <v>42232</v>
      </c>
      <c r="F159" s="221" t="s">
        <v>2987</v>
      </c>
    </row>
    <row r="160" spans="1:6">
      <c r="A160" s="221" t="s">
        <v>1471</v>
      </c>
      <c r="B160" s="221">
        <v>3530855122870280</v>
      </c>
      <c r="C160" s="221" t="s">
        <v>833</v>
      </c>
      <c r="D160" s="221" t="s">
        <v>2986</v>
      </c>
      <c r="E160" s="160">
        <v>42311</v>
      </c>
      <c r="F160" s="221" t="s">
        <v>2985</v>
      </c>
    </row>
    <row r="161" spans="1:6">
      <c r="A161" s="221" t="s">
        <v>2803</v>
      </c>
      <c r="B161" s="221">
        <v>6304022925170460</v>
      </c>
      <c r="C161" s="221" t="s">
        <v>2052</v>
      </c>
      <c r="D161" s="221" t="s">
        <v>2984</v>
      </c>
      <c r="E161" s="160">
        <v>42149</v>
      </c>
      <c r="F161" s="221" t="s">
        <v>2983</v>
      </c>
    </row>
    <row r="162" spans="1:6">
      <c r="A162" s="221" t="s">
        <v>903</v>
      </c>
      <c r="B162" s="221">
        <v>201692469336185</v>
      </c>
      <c r="C162" s="221" t="s">
        <v>754</v>
      </c>
      <c r="D162" s="221" t="s">
        <v>2982</v>
      </c>
      <c r="E162" s="160">
        <v>42169</v>
      </c>
      <c r="F162" s="221" t="s">
        <v>2981</v>
      </c>
    </row>
    <row r="163" spans="1:6">
      <c r="A163" s="221" t="s">
        <v>2980</v>
      </c>
      <c r="B163" s="221">
        <v>5108754556416580</v>
      </c>
      <c r="C163" s="221" t="s">
        <v>758</v>
      </c>
      <c r="D163" s="221" t="s">
        <v>2979</v>
      </c>
      <c r="E163" s="160">
        <v>42239</v>
      </c>
      <c r="F163" s="221" t="s">
        <v>2978</v>
      </c>
    </row>
    <row r="164" spans="1:6">
      <c r="A164" s="221" t="s">
        <v>2648</v>
      </c>
      <c r="B164" s="221">
        <v>4905069999969450</v>
      </c>
      <c r="C164" s="221" t="s">
        <v>1138</v>
      </c>
      <c r="D164" s="221" t="s">
        <v>2977</v>
      </c>
      <c r="E164" s="160">
        <v>42237</v>
      </c>
      <c r="F164" s="221" t="s">
        <v>2976</v>
      </c>
    </row>
    <row r="165" spans="1:6">
      <c r="A165" s="221" t="s">
        <v>1852</v>
      </c>
      <c r="B165" s="221">
        <v>5.0389089505670003E+17</v>
      </c>
      <c r="C165" s="221" t="s">
        <v>1175</v>
      </c>
      <c r="D165" s="221" t="s">
        <v>2975</v>
      </c>
      <c r="E165" s="160">
        <v>42340</v>
      </c>
      <c r="F165" s="221" t="s">
        <v>2974</v>
      </c>
    </row>
    <row r="166" spans="1:6">
      <c r="A166" s="221" t="s">
        <v>903</v>
      </c>
      <c r="B166" s="221">
        <v>5.6022100037572998E+17</v>
      </c>
      <c r="C166" s="221" t="s">
        <v>2973</v>
      </c>
      <c r="D166" s="221" t="s">
        <v>2972</v>
      </c>
      <c r="E166" s="160">
        <v>42164</v>
      </c>
      <c r="F166" s="221" t="s">
        <v>2971</v>
      </c>
    </row>
    <row r="167" spans="1:6">
      <c r="A167" s="221" t="s">
        <v>1529</v>
      </c>
      <c r="B167" s="221">
        <v>5007667666819640</v>
      </c>
      <c r="C167" s="221" t="s">
        <v>1084</v>
      </c>
      <c r="D167" s="221" t="s">
        <v>2970</v>
      </c>
      <c r="E167" s="160">
        <v>42177</v>
      </c>
      <c r="F167" s="221" t="s">
        <v>2969</v>
      </c>
    </row>
    <row r="168" spans="1:6">
      <c r="A168" s="221" t="s">
        <v>2968</v>
      </c>
      <c r="B168" s="221">
        <v>3528006571682790</v>
      </c>
      <c r="C168" s="221" t="s">
        <v>1508</v>
      </c>
      <c r="D168" s="221" t="s">
        <v>2967</v>
      </c>
      <c r="E168" s="160">
        <v>42360</v>
      </c>
      <c r="F168" s="221" t="s">
        <v>2966</v>
      </c>
    </row>
    <row r="169" spans="1:6">
      <c r="A169" s="221" t="s">
        <v>1468</v>
      </c>
      <c r="B169" s="221">
        <v>3540473613734610</v>
      </c>
      <c r="C169" s="221" t="s">
        <v>1003</v>
      </c>
      <c r="D169" s="221" t="s">
        <v>2965</v>
      </c>
      <c r="E169" s="160">
        <v>42338</v>
      </c>
      <c r="F169" s="221" t="s">
        <v>2964</v>
      </c>
    </row>
    <row r="170" spans="1:6">
      <c r="A170" s="221" t="s">
        <v>1229</v>
      </c>
      <c r="B170" s="221">
        <v>3554191949852870</v>
      </c>
      <c r="C170" s="221" t="s">
        <v>853</v>
      </c>
      <c r="D170" s="221" t="s">
        <v>2963</v>
      </c>
      <c r="E170" s="160">
        <v>42172</v>
      </c>
      <c r="F170" s="221" t="s">
        <v>2962</v>
      </c>
    </row>
    <row r="171" spans="1:6">
      <c r="A171" s="221" t="s">
        <v>1165</v>
      </c>
      <c r="B171" s="221">
        <v>3556916400605120</v>
      </c>
      <c r="C171" s="221" t="s">
        <v>1191</v>
      </c>
      <c r="D171" s="221" t="s">
        <v>2961</v>
      </c>
      <c r="E171" s="160">
        <v>42153</v>
      </c>
      <c r="F171" s="221" t="s">
        <v>2960</v>
      </c>
    </row>
    <row r="172" spans="1:6">
      <c r="A172" s="221" t="s">
        <v>2002</v>
      </c>
      <c r="B172" s="221">
        <v>3561184117228620</v>
      </c>
      <c r="C172" s="221" t="s">
        <v>802</v>
      </c>
      <c r="D172" s="221" t="s">
        <v>2959</v>
      </c>
      <c r="E172" s="160">
        <v>42377</v>
      </c>
      <c r="F172" s="221" t="s">
        <v>2958</v>
      </c>
    </row>
    <row r="173" spans="1:6">
      <c r="A173" s="221" t="s">
        <v>2957</v>
      </c>
      <c r="B173" s="221">
        <v>3532264097622790</v>
      </c>
      <c r="C173" s="221" t="s">
        <v>1099</v>
      </c>
      <c r="D173" s="221" t="s">
        <v>2956</v>
      </c>
      <c r="E173" s="160">
        <v>42303</v>
      </c>
      <c r="F173" s="221" t="s">
        <v>2955</v>
      </c>
    </row>
    <row r="174" spans="1:6">
      <c r="A174" s="221" t="s">
        <v>930</v>
      </c>
      <c r="B174" s="221">
        <v>3559414786949680</v>
      </c>
      <c r="C174" s="221" t="s">
        <v>746</v>
      </c>
      <c r="D174" s="221" t="s">
        <v>2954</v>
      </c>
      <c r="E174" s="160">
        <v>42377</v>
      </c>
      <c r="F174" s="221" t="s">
        <v>2953</v>
      </c>
    </row>
    <row r="175" spans="1:6">
      <c r="A175" s="221" t="s">
        <v>838</v>
      </c>
      <c r="B175" s="221">
        <v>3550763800092520</v>
      </c>
      <c r="C175" s="221" t="s">
        <v>1480</v>
      </c>
      <c r="D175" s="221" t="s">
        <v>2952</v>
      </c>
      <c r="E175" s="160">
        <v>42431</v>
      </c>
      <c r="F175" s="221" t="s">
        <v>2951</v>
      </c>
    </row>
    <row r="176" spans="1:6">
      <c r="A176" s="221" t="s">
        <v>822</v>
      </c>
      <c r="B176" s="221">
        <v>30344102173230</v>
      </c>
      <c r="C176" s="221" t="s">
        <v>1104</v>
      </c>
      <c r="D176" s="221" t="s">
        <v>2950</v>
      </c>
      <c r="E176" s="160">
        <v>42196</v>
      </c>
      <c r="F176" s="221" t="s">
        <v>2949</v>
      </c>
    </row>
    <row r="177" spans="1:6">
      <c r="A177" s="221" t="s">
        <v>2289</v>
      </c>
      <c r="B177" s="221">
        <v>3570719812180260</v>
      </c>
      <c r="C177" s="221" t="s">
        <v>1076</v>
      </c>
      <c r="D177" s="221" t="s">
        <v>2948</v>
      </c>
      <c r="E177" s="160">
        <v>42374</v>
      </c>
      <c r="F177" s="221" t="s">
        <v>2947</v>
      </c>
    </row>
    <row r="178" spans="1:6">
      <c r="A178" s="221" t="s">
        <v>2188</v>
      </c>
      <c r="B178" s="221">
        <v>4.9118116513904701E+18</v>
      </c>
      <c r="C178" s="221" t="s">
        <v>1487</v>
      </c>
      <c r="D178" s="221" t="s">
        <v>2946</v>
      </c>
      <c r="E178" s="160">
        <v>42241</v>
      </c>
      <c r="F178" s="221" t="s">
        <v>2945</v>
      </c>
    </row>
    <row r="179" spans="1:6">
      <c r="A179" s="221" t="s">
        <v>2944</v>
      </c>
      <c r="B179" s="221">
        <v>5.8937019831652096E+18</v>
      </c>
      <c r="C179" s="221" t="s">
        <v>2412</v>
      </c>
      <c r="D179" s="221" t="s">
        <v>2943</v>
      </c>
      <c r="E179" s="160">
        <v>42165</v>
      </c>
      <c r="F179" s="221" t="s">
        <v>2942</v>
      </c>
    </row>
    <row r="180" spans="1:6">
      <c r="A180" s="221" t="s">
        <v>1613</v>
      </c>
      <c r="B180" s="221">
        <v>5602253921847140</v>
      </c>
      <c r="C180" s="221" t="s">
        <v>591</v>
      </c>
      <c r="D180" s="221" t="s">
        <v>2941</v>
      </c>
      <c r="E180" s="160">
        <v>42344</v>
      </c>
      <c r="F180" s="221" t="s">
        <v>2940</v>
      </c>
    </row>
    <row r="181" spans="1:6">
      <c r="A181" s="221" t="s">
        <v>2443</v>
      </c>
      <c r="B181" s="221">
        <v>3589553110946970</v>
      </c>
      <c r="C181" s="221" t="s">
        <v>1396</v>
      </c>
      <c r="D181" s="221" t="s">
        <v>2939</v>
      </c>
      <c r="E181" s="160">
        <v>42233</v>
      </c>
      <c r="F181" s="221" t="s">
        <v>2938</v>
      </c>
    </row>
    <row r="182" spans="1:6">
      <c r="A182" s="221" t="s">
        <v>1948</v>
      </c>
      <c r="B182" s="221">
        <v>6.3345413574241597E+18</v>
      </c>
      <c r="C182" s="221" t="s">
        <v>814</v>
      </c>
      <c r="D182" s="221" t="s">
        <v>2937</v>
      </c>
      <c r="E182" s="160">
        <v>42369</v>
      </c>
      <c r="F182" s="221" t="s">
        <v>2936</v>
      </c>
    </row>
    <row r="183" spans="1:6">
      <c r="A183" s="221" t="s">
        <v>2419</v>
      </c>
      <c r="B183" s="221">
        <v>3531900667702240</v>
      </c>
      <c r="C183" s="221" t="s">
        <v>2742</v>
      </c>
      <c r="D183" s="221" t="s">
        <v>2935</v>
      </c>
      <c r="E183" s="160">
        <v>42359</v>
      </c>
      <c r="F183" s="221" t="s">
        <v>2934</v>
      </c>
    </row>
    <row r="184" spans="1:6">
      <c r="A184" s="221" t="s">
        <v>2602</v>
      </c>
      <c r="B184" s="221">
        <v>3574981514915740</v>
      </c>
      <c r="C184" s="221" t="s">
        <v>1070</v>
      </c>
      <c r="D184" s="221" t="s">
        <v>2933</v>
      </c>
      <c r="E184" s="160">
        <v>42102</v>
      </c>
      <c r="F184" s="221" t="s">
        <v>2932</v>
      </c>
    </row>
    <row r="185" spans="1:6">
      <c r="A185" s="221" t="s">
        <v>1223</v>
      </c>
      <c r="B185" s="221">
        <v>5641823400726490</v>
      </c>
      <c r="C185" s="221" t="s">
        <v>1392</v>
      </c>
      <c r="D185" s="221" t="s">
        <v>2931</v>
      </c>
      <c r="E185" s="160">
        <v>42372</v>
      </c>
      <c r="F185" s="221" t="s">
        <v>2930</v>
      </c>
    </row>
    <row r="186" spans="1:6">
      <c r="A186" s="221" t="s">
        <v>2269</v>
      </c>
      <c r="B186" s="221">
        <v>201912214390521</v>
      </c>
      <c r="C186" s="221" t="s">
        <v>1244</v>
      </c>
      <c r="D186" s="221" t="s">
        <v>2929</v>
      </c>
      <c r="E186" s="160">
        <v>42388</v>
      </c>
      <c r="F186" s="221" t="s">
        <v>2928</v>
      </c>
    </row>
    <row r="187" spans="1:6">
      <c r="A187" s="221" t="s">
        <v>1750</v>
      </c>
      <c r="B187" s="221">
        <v>6.3311031504269097E+18</v>
      </c>
      <c r="C187" s="221" t="s">
        <v>1273</v>
      </c>
      <c r="D187" s="221" t="s">
        <v>2927</v>
      </c>
      <c r="E187" s="160">
        <v>42178</v>
      </c>
      <c r="F187" s="221" t="s">
        <v>2926</v>
      </c>
    </row>
    <row r="188" spans="1:6">
      <c r="A188" s="221" t="s">
        <v>1357</v>
      </c>
      <c r="B188" s="221">
        <v>3546489931218310</v>
      </c>
      <c r="C188" s="221" t="s">
        <v>1400</v>
      </c>
      <c r="D188" s="221" t="s">
        <v>2925</v>
      </c>
      <c r="E188" s="160">
        <v>42231</v>
      </c>
      <c r="F188" s="221" t="s">
        <v>2924</v>
      </c>
    </row>
    <row r="189" spans="1:6">
      <c r="A189" s="221" t="s">
        <v>1909</v>
      </c>
      <c r="B189" s="221">
        <v>3583545540880200</v>
      </c>
      <c r="C189" s="221" t="s">
        <v>798</v>
      </c>
      <c r="D189" s="221" t="s">
        <v>2923</v>
      </c>
      <c r="E189" s="160">
        <v>42219</v>
      </c>
      <c r="F189" s="221" t="s">
        <v>2922</v>
      </c>
    </row>
    <row r="190" spans="1:6">
      <c r="A190" s="221" t="s">
        <v>2921</v>
      </c>
      <c r="B190" s="221">
        <v>3540250941344510</v>
      </c>
      <c r="C190" s="221" t="s">
        <v>985</v>
      </c>
      <c r="D190" s="221" t="s">
        <v>2920</v>
      </c>
      <c r="E190" s="160">
        <v>42250</v>
      </c>
      <c r="F190" s="221" t="s">
        <v>2919</v>
      </c>
    </row>
    <row r="191" spans="1:6">
      <c r="A191" s="221" t="s">
        <v>2918</v>
      </c>
      <c r="B191" s="221">
        <v>3543639410865510</v>
      </c>
      <c r="C191" s="221" t="s">
        <v>861</v>
      </c>
      <c r="D191" s="221" t="s">
        <v>2917</v>
      </c>
      <c r="E191" s="160">
        <v>42189</v>
      </c>
      <c r="F191" s="221" t="s">
        <v>2916</v>
      </c>
    </row>
    <row r="192" spans="1:6">
      <c r="A192" s="221" t="s">
        <v>2147</v>
      </c>
      <c r="B192" s="221">
        <v>5602239188561790</v>
      </c>
      <c r="C192" s="221" t="s">
        <v>806</v>
      </c>
      <c r="D192" s="221" t="s">
        <v>2915</v>
      </c>
      <c r="E192" s="160">
        <v>42329</v>
      </c>
      <c r="F192" s="221" t="s">
        <v>2914</v>
      </c>
    </row>
    <row r="193" spans="1:6">
      <c r="A193" s="221" t="s">
        <v>1030</v>
      </c>
      <c r="B193" s="221">
        <v>4026918549232530</v>
      </c>
      <c r="C193" s="221" t="s">
        <v>1739</v>
      </c>
      <c r="D193" s="221" t="s">
        <v>2913</v>
      </c>
      <c r="E193" s="160">
        <v>42107</v>
      </c>
      <c r="F193" s="221" t="s">
        <v>2912</v>
      </c>
    </row>
    <row r="194" spans="1:6">
      <c r="A194" s="221" t="s">
        <v>2911</v>
      </c>
      <c r="B194" s="221">
        <v>3534555662764770</v>
      </c>
      <c r="C194" s="221" t="s">
        <v>975</v>
      </c>
      <c r="D194" s="221" t="s">
        <v>2910</v>
      </c>
      <c r="E194" s="160">
        <v>42232</v>
      </c>
      <c r="F194" s="221" t="s">
        <v>2909</v>
      </c>
    </row>
    <row r="195" spans="1:6">
      <c r="A195" s="221" t="s">
        <v>2067</v>
      </c>
      <c r="B195" s="221">
        <v>3546097789508600</v>
      </c>
      <c r="C195" s="221" t="s">
        <v>1440</v>
      </c>
      <c r="D195" s="221" t="s">
        <v>2908</v>
      </c>
      <c r="E195" s="160">
        <v>42414</v>
      </c>
      <c r="F195" s="221" t="s">
        <v>2907</v>
      </c>
    </row>
    <row r="196" spans="1:6">
      <c r="A196" s="221" t="s">
        <v>1587</v>
      </c>
      <c r="B196" s="221">
        <v>5.6022545632089702E+17</v>
      </c>
      <c r="C196" s="221" t="s">
        <v>1947</v>
      </c>
      <c r="D196" s="221" t="s">
        <v>2906</v>
      </c>
      <c r="E196" s="160">
        <v>42152</v>
      </c>
      <c r="F196" s="221" t="s">
        <v>2905</v>
      </c>
    </row>
    <row r="197" spans="1:6">
      <c r="A197" s="221" t="s">
        <v>2904</v>
      </c>
      <c r="B197" s="221">
        <v>3535337607600520</v>
      </c>
      <c r="C197" s="221" t="s">
        <v>782</v>
      </c>
      <c r="D197" s="221" t="s">
        <v>2903</v>
      </c>
      <c r="E197" s="160">
        <v>42277</v>
      </c>
      <c r="F197" s="221" t="s">
        <v>2902</v>
      </c>
    </row>
    <row r="198" spans="1:6">
      <c r="A198" s="221" t="s">
        <v>1393</v>
      </c>
      <c r="B198" s="221">
        <v>6331100729184880</v>
      </c>
      <c r="C198" s="221" t="s">
        <v>1500</v>
      </c>
      <c r="D198" s="221" t="s">
        <v>2901</v>
      </c>
      <c r="E198" s="160">
        <v>42265</v>
      </c>
      <c r="F198" s="221" t="s">
        <v>2900</v>
      </c>
    </row>
    <row r="199" spans="1:6">
      <c r="A199" s="221" t="s">
        <v>735</v>
      </c>
      <c r="B199" s="221">
        <v>3577073421501330</v>
      </c>
      <c r="C199" s="221" t="s">
        <v>1597</v>
      </c>
      <c r="D199" s="221" t="s">
        <v>2899</v>
      </c>
      <c r="E199" s="160">
        <v>42180</v>
      </c>
      <c r="F199" s="221" t="s">
        <v>2898</v>
      </c>
    </row>
    <row r="200" spans="1:6">
      <c r="A200" s="221" t="s">
        <v>1111</v>
      </c>
      <c r="B200" s="221">
        <v>201523256598457</v>
      </c>
      <c r="C200" s="221" t="s">
        <v>1026</v>
      </c>
      <c r="D200" s="221" t="s">
        <v>2897</v>
      </c>
      <c r="E200" s="160">
        <v>42350</v>
      </c>
      <c r="F200" s="221" t="s">
        <v>2896</v>
      </c>
    </row>
    <row r="201" spans="1:6">
      <c r="A201" s="221" t="s">
        <v>1708</v>
      </c>
      <c r="B201" s="221">
        <v>3539983892122640</v>
      </c>
      <c r="C201" s="221" t="s">
        <v>1123</v>
      </c>
      <c r="D201" s="221" t="s">
        <v>2895</v>
      </c>
      <c r="E201" s="160">
        <v>42319</v>
      </c>
      <c r="F201" s="221" t="s">
        <v>2894</v>
      </c>
    </row>
    <row r="202" spans="1:6">
      <c r="A202" s="221" t="s">
        <v>846</v>
      </c>
      <c r="B202" s="221">
        <v>4917246598047260</v>
      </c>
      <c r="C202" s="221" t="s">
        <v>2893</v>
      </c>
      <c r="D202" s="221" t="s">
        <v>2892</v>
      </c>
      <c r="E202" s="160">
        <v>42355</v>
      </c>
      <c r="F202" s="221" t="s">
        <v>2891</v>
      </c>
    </row>
    <row r="203" spans="1:6">
      <c r="A203" s="221" t="s">
        <v>989</v>
      </c>
      <c r="B203" s="221">
        <v>3544678781290110</v>
      </c>
      <c r="C203" s="221" t="s">
        <v>1879</v>
      </c>
      <c r="D203" s="221" t="s">
        <v>2890</v>
      </c>
      <c r="E203" s="160">
        <v>42309</v>
      </c>
      <c r="F203" s="221" t="s">
        <v>2889</v>
      </c>
    </row>
    <row r="204" spans="1:6">
      <c r="A204" s="221" t="s">
        <v>1011</v>
      </c>
      <c r="B204" s="221">
        <v>3553875568351060</v>
      </c>
      <c r="C204" s="221" t="s">
        <v>963</v>
      </c>
      <c r="D204" s="221" t="s">
        <v>2888</v>
      </c>
      <c r="E204" s="160">
        <v>42343</v>
      </c>
      <c r="F204" s="221" t="s">
        <v>2887</v>
      </c>
    </row>
    <row r="205" spans="1:6">
      <c r="A205" s="221" t="s">
        <v>2886</v>
      </c>
      <c r="B205" s="221">
        <v>201664773947486</v>
      </c>
      <c r="C205" s="221" t="s">
        <v>1655</v>
      </c>
      <c r="D205" s="221" t="s">
        <v>2885</v>
      </c>
      <c r="E205" s="160">
        <v>42414</v>
      </c>
      <c r="F205" s="221" t="s">
        <v>2884</v>
      </c>
    </row>
    <row r="206" spans="1:6">
      <c r="A206" s="221" t="s">
        <v>759</v>
      </c>
      <c r="B206" s="221">
        <v>5428539777325760</v>
      </c>
      <c r="C206" s="221" t="s">
        <v>810</v>
      </c>
      <c r="D206" s="221" t="s">
        <v>2883</v>
      </c>
      <c r="E206" s="160">
        <v>42436</v>
      </c>
      <c r="F206" s="221" t="s">
        <v>2882</v>
      </c>
    </row>
    <row r="207" spans="1:6">
      <c r="A207" s="221" t="s">
        <v>2739</v>
      </c>
      <c r="B207" s="221">
        <v>3557797922541460</v>
      </c>
      <c r="C207" s="221" t="s">
        <v>945</v>
      </c>
      <c r="D207" s="221" t="s">
        <v>2881</v>
      </c>
      <c r="E207" s="160">
        <v>42267</v>
      </c>
      <c r="F207" s="221" t="s">
        <v>2880</v>
      </c>
    </row>
    <row r="208" spans="1:6">
      <c r="A208" s="221" t="s">
        <v>735</v>
      </c>
      <c r="B208" s="221">
        <v>4905369766572650</v>
      </c>
      <c r="C208" s="221" t="s">
        <v>914</v>
      </c>
      <c r="D208" s="221" t="s">
        <v>2879</v>
      </c>
      <c r="E208" s="160">
        <v>42149</v>
      </c>
      <c r="F208" s="221" t="s">
        <v>2878</v>
      </c>
    </row>
    <row r="209" spans="1:6">
      <c r="A209" s="221" t="s">
        <v>1812</v>
      </c>
      <c r="B209" s="221">
        <v>6.7634804299563494E+17</v>
      </c>
      <c r="C209" s="221" t="s">
        <v>1018</v>
      </c>
      <c r="D209" s="221" t="s">
        <v>2877</v>
      </c>
      <c r="E209" s="160">
        <v>42249</v>
      </c>
      <c r="F209" s="221" t="s">
        <v>2876</v>
      </c>
    </row>
    <row r="210" spans="1:6">
      <c r="A210" s="221" t="s">
        <v>1000</v>
      </c>
      <c r="B210" s="221">
        <v>3544434780440960</v>
      </c>
      <c r="C210" s="221" t="s">
        <v>1287</v>
      </c>
      <c r="D210" s="221" t="s">
        <v>2875</v>
      </c>
      <c r="E210" s="160">
        <v>42442</v>
      </c>
      <c r="F210" s="221" t="s">
        <v>2874</v>
      </c>
    </row>
    <row r="211" spans="1:6">
      <c r="A211" s="221" t="s">
        <v>1484</v>
      </c>
      <c r="B211" s="221">
        <v>6334205314154630</v>
      </c>
      <c r="C211" s="221" t="s">
        <v>1504</v>
      </c>
      <c r="D211" s="221" t="s">
        <v>2873</v>
      </c>
      <c r="E211" s="160">
        <v>42401</v>
      </c>
      <c r="F211" s="221" t="s">
        <v>2872</v>
      </c>
    </row>
    <row r="212" spans="1:6">
      <c r="A212" s="221" t="s">
        <v>747</v>
      </c>
      <c r="B212" s="221">
        <v>3567070991927000</v>
      </c>
      <c r="C212" s="221" t="s">
        <v>906</v>
      </c>
      <c r="D212" s="221" t="s">
        <v>2871</v>
      </c>
      <c r="E212" s="160">
        <v>42191</v>
      </c>
      <c r="F212" s="221" t="s">
        <v>2870</v>
      </c>
    </row>
    <row r="213" spans="1:6">
      <c r="A213" s="221" t="s">
        <v>795</v>
      </c>
      <c r="B213" s="221">
        <v>3583025213476670</v>
      </c>
      <c r="C213" s="221" t="s">
        <v>876</v>
      </c>
      <c r="D213" s="221" t="s">
        <v>2869</v>
      </c>
      <c r="E213" s="160">
        <v>42364</v>
      </c>
      <c r="F213" s="221" t="s">
        <v>2868</v>
      </c>
    </row>
    <row r="214" spans="1:6">
      <c r="A214" s="221" t="s">
        <v>1023</v>
      </c>
      <c r="B214" s="221">
        <v>4.9039639365216397E+17</v>
      </c>
      <c r="C214" s="221" t="s">
        <v>1879</v>
      </c>
      <c r="D214" s="221" t="s">
        <v>2867</v>
      </c>
      <c r="E214" s="160">
        <v>42344</v>
      </c>
      <c r="F214" s="221" t="s">
        <v>2866</v>
      </c>
    </row>
    <row r="215" spans="1:6">
      <c r="A215" s="221" t="s">
        <v>1590</v>
      </c>
      <c r="B215" s="221">
        <v>4405853832484680</v>
      </c>
      <c r="C215" s="221" t="s">
        <v>1382</v>
      </c>
      <c r="D215" s="221" t="s">
        <v>2865</v>
      </c>
      <c r="E215" s="160">
        <v>42318</v>
      </c>
      <c r="F215" s="221" t="s">
        <v>2864</v>
      </c>
    </row>
    <row r="216" spans="1:6">
      <c r="A216" s="221" t="s">
        <v>1161</v>
      </c>
      <c r="B216" s="221">
        <v>201543193068927</v>
      </c>
      <c r="C216" s="221" t="s">
        <v>2693</v>
      </c>
      <c r="D216" s="221" t="s">
        <v>2863</v>
      </c>
      <c r="E216" s="160">
        <v>42358</v>
      </c>
      <c r="F216" s="221" t="s">
        <v>2862</v>
      </c>
    </row>
    <row r="217" spans="1:6">
      <c r="A217" s="221" t="s">
        <v>739</v>
      </c>
      <c r="B217" s="221">
        <v>3582356180998250</v>
      </c>
      <c r="C217" s="221" t="s">
        <v>1377</v>
      </c>
      <c r="D217" s="221" t="s">
        <v>2861</v>
      </c>
      <c r="E217" s="160">
        <v>42248</v>
      </c>
      <c r="F217" s="221" t="s">
        <v>2860</v>
      </c>
    </row>
    <row r="218" spans="1:6">
      <c r="A218" s="221" t="s">
        <v>1474</v>
      </c>
      <c r="B218" s="221">
        <v>5.6022487828888E+16</v>
      </c>
      <c r="C218" s="221" t="s">
        <v>1869</v>
      </c>
      <c r="D218" s="221" t="s">
        <v>2859</v>
      </c>
      <c r="E218" s="160">
        <v>42279</v>
      </c>
      <c r="F218" s="221" t="s">
        <v>2858</v>
      </c>
    </row>
    <row r="219" spans="1:6">
      <c r="A219" s="221" t="s">
        <v>2571</v>
      </c>
      <c r="B219" s="221">
        <v>3587330823260340</v>
      </c>
      <c r="C219" s="221" t="s">
        <v>591</v>
      </c>
      <c r="D219" s="221" t="s">
        <v>2857</v>
      </c>
      <c r="E219" s="160">
        <v>42111</v>
      </c>
      <c r="F219" s="221" t="s">
        <v>2856</v>
      </c>
    </row>
    <row r="220" spans="1:6">
      <c r="A220" s="221" t="s">
        <v>1676</v>
      </c>
      <c r="B220" s="221">
        <v>3549404342461040</v>
      </c>
      <c r="C220" s="221" t="s">
        <v>1363</v>
      </c>
      <c r="D220" s="221" t="s">
        <v>2855</v>
      </c>
      <c r="E220" s="160">
        <v>42250</v>
      </c>
      <c r="F220" s="221" t="s">
        <v>2854</v>
      </c>
    </row>
    <row r="221" spans="1:6">
      <c r="A221" s="221" t="s">
        <v>1445</v>
      </c>
      <c r="B221" s="221">
        <v>3556210449429920</v>
      </c>
      <c r="C221" s="221" t="s">
        <v>1683</v>
      </c>
      <c r="D221" s="221" t="s">
        <v>2853</v>
      </c>
      <c r="E221" s="160">
        <v>42324</v>
      </c>
      <c r="F221" s="221" t="s">
        <v>2852</v>
      </c>
    </row>
    <row r="222" spans="1:6">
      <c r="A222" s="221" t="s">
        <v>2655</v>
      </c>
      <c r="B222" s="221">
        <v>6.7713643957008304E+16</v>
      </c>
      <c r="C222" s="221" t="s">
        <v>960</v>
      </c>
      <c r="D222" s="221" t="s">
        <v>2851</v>
      </c>
      <c r="E222" s="160">
        <v>42351</v>
      </c>
      <c r="F222" s="221" t="s">
        <v>2850</v>
      </c>
    </row>
    <row r="223" spans="1:6">
      <c r="A223" s="221" t="s">
        <v>1168</v>
      </c>
      <c r="B223" s="221">
        <v>3553230500285480</v>
      </c>
      <c r="C223" s="221" t="s">
        <v>1777</v>
      </c>
      <c r="D223" s="221" t="s">
        <v>2849</v>
      </c>
      <c r="E223" s="160">
        <v>42339</v>
      </c>
      <c r="F223" s="221" t="s">
        <v>2848</v>
      </c>
    </row>
    <row r="224" spans="1:6">
      <c r="A224" s="221" t="s">
        <v>1894</v>
      </c>
      <c r="B224" s="221">
        <v>5513718895635950</v>
      </c>
      <c r="C224" s="221" t="s">
        <v>929</v>
      </c>
      <c r="D224" s="221" t="s">
        <v>2847</v>
      </c>
      <c r="E224" s="160">
        <v>42140</v>
      </c>
      <c r="F224" s="221" t="s">
        <v>2846</v>
      </c>
    </row>
    <row r="225" spans="1:6">
      <c r="A225" s="221" t="s">
        <v>1992</v>
      </c>
      <c r="B225" s="221">
        <v>3568673302986140</v>
      </c>
      <c r="C225" s="221" t="s">
        <v>861</v>
      </c>
      <c r="D225" s="221" t="s">
        <v>2845</v>
      </c>
      <c r="E225" s="160">
        <v>42222</v>
      </c>
      <c r="F225" s="221" t="s">
        <v>2844</v>
      </c>
    </row>
    <row r="226" spans="1:6">
      <c r="A226" s="221" t="s">
        <v>1145</v>
      </c>
      <c r="B226" s="221">
        <v>3576363323580750</v>
      </c>
      <c r="C226" s="221" t="s">
        <v>1306</v>
      </c>
      <c r="D226" s="221" t="s">
        <v>2843</v>
      </c>
      <c r="E226" s="160">
        <v>42156</v>
      </c>
      <c r="F226" s="221" t="s">
        <v>2842</v>
      </c>
    </row>
    <row r="227" spans="1:6">
      <c r="A227" s="221" t="s">
        <v>1350</v>
      </c>
      <c r="B227" s="221">
        <v>3556841986250250</v>
      </c>
      <c r="C227" s="221" t="s">
        <v>1419</v>
      </c>
      <c r="D227" s="221" t="s">
        <v>2841</v>
      </c>
      <c r="E227" s="160">
        <v>42216</v>
      </c>
      <c r="F227" s="221" t="s">
        <v>2840</v>
      </c>
    </row>
    <row r="228" spans="1:6">
      <c r="A228" s="221" t="s">
        <v>946</v>
      </c>
      <c r="B228" s="221">
        <v>3569706779607320</v>
      </c>
      <c r="C228" s="221" t="s">
        <v>1264</v>
      </c>
      <c r="D228" s="221" t="s">
        <v>2839</v>
      </c>
      <c r="E228" s="160">
        <v>42454</v>
      </c>
      <c r="F228" s="221" t="s">
        <v>2838</v>
      </c>
    </row>
    <row r="229" spans="1:6">
      <c r="A229" s="221" t="s">
        <v>1725</v>
      </c>
      <c r="B229" s="221">
        <v>6767149973416660</v>
      </c>
      <c r="C229" s="221" t="s">
        <v>2808</v>
      </c>
      <c r="D229" s="221" t="s">
        <v>2837</v>
      </c>
      <c r="E229" s="160">
        <v>42285</v>
      </c>
      <c r="F229" s="221" t="s">
        <v>2836</v>
      </c>
    </row>
    <row r="230" spans="1:6">
      <c r="A230" s="221" t="s">
        <v>1861</v>
      </c>
      <c r="B230" s="221">
        <v>4041371414913</v>
      </c>
      <c r="C230" s="221" t="s">
        <v>1356</v>
      </c>
      <c r="D230" s="221" t="s">
        <v>2835</v>
      </c>
      <c r="E230" s="160">
        <v>42448</v>
      </c>
      <c r="F230" s="221" t="s">
        <v>2834</v>
      </c>
    </row>
    <row r="231" spans="1:6">
      <c r="A231" s="221" t="s">
        <v>1676</v>
      </c>
      <c r="B231" s="221">
        <v>30125321546649</v>
      </c>
      <c r="C231" s="221" t="s">
        <v>2380</v>
      </c>
      <c r="D231" s="221" t="s">
        <v>2833</v>
      </c>
      <c r="E231" s="160">
        <v>42448</v>
      </c>
      <c r="F231" s="221" t="s">
        <v>2832</v>
      </c>
    </row>
    <row r="232" spans="1:6">
      <c r="A232" s="221" t="s">
        <v>1425</v>
      </c>
      <c r="B232" s="221">
        <v>5128934933565240</v>
      </c>
      <c r="C232" s="221" t="s">
        <v>1073</v>
      </c>
      <c r="D232" s="221" t="s">
        <v>2831</v>
      </c>
      <c r="E232" s="160">
        <v>42115</v>
      </c>
      <c r="F232" s="221" t="s">
        <v>2830</v>
      </c>
    </row>
    <row r="233" spans="1:6">
      <c r="A233" s="221" t="s">
        <v>2829</v>
      </c>
      <c r="B233" s="221">
        <v>3568280461278400</v>
      </c>
      <c r="C233" s="221" t="s">
        <v>1514</v>
      </c>
      <c r="D233" s="221" t="s">
        <v>2828</v>
      </c>
      <c r="E233" s="160">
        <v>42424</v>
      </c>
      <c r="F233" s="221" t="s">
        <v>2827</v>
      </c>
    </row>
    <row r="234" spans="1:6">
      <c r="A234" s="221" t="s">
        <v>1768</v>
      </c>
      <c r="B234" s="221">
        <v>5516636893744510</v>
      </c>
      <c r="C234" s="221" t="s">
        <v>1218</v>
      </c>
      <c r="D234" s="221" t="s">
        <v>2826</v>
      </c>
      <c r="E234" s="160">
        <v>42323</v>
      </c>
      <c r="F234" s="221" t="s">
        <v>2825</v>
      </c>
    </row>
    <row r="235" spans="1:6">
      <c r="A235" s="221" t="s">
        <v>2824</v>
      </c>
      <c r="B235" s="221">
        <v>5100145503100190</v>
      </c>
      <c r="C235" s="221" t="s">
        <v>1191</v>
      </c>
      <c r="D235" s="221" t="s">
        <v>2823</v>
      </c>
      <c r="E235" s="160">
        <v>42380</v>
      </c>
      <c r="F235" s="221" t="s">
        <v>2822</v>
      </c>
    </row>
    <row r="236" spans="1:6">
      <c r="A236" s="221" t="s">
        <v>2172</v>
      </c>
      <c r="B236" s="221">
        <v>3549387553925670</v>
      </c>
      <c r="C236" s="221" t="s">
        <v>2412</v>
      </c>
      <c r="D236" s="221" t="s">
        <v>2821</v>
      </c>
      <c r="E236" s="160">
        <v>42327</v>
      </c>
      <c r="F236" s="221" t="s">
        <v>2820</v>
      </c>
    </row>
    <row r="237" spans="1:6">
      <c r="A237" s="221" t="s">
        <v>1165</v>
      </c>
      <c r="B237" s="221">
        <v>3564434148885010</v>
      </c>
      <c r="C237" s="221" t="s">
        <v>1655</v>
      </c>
      <c r="D237" s="221" t="s">
        <v>2819</v>
      </c>
      <c r="E237" s="160">
        <v>42295</v>
      </c>
      <c r="F237" s="221" t="s">
        <v>2818</v>
      </c>
    </row>
    <row r="238" spans="1:6">
      <c r="A238" s="221" t="s">
        <v>950</v>
      </c>
      <c r="B238" s="221">
        <v>3587593364098210</v>
      </c>
      <c r="C238" s="221" t="s">
        <v>1483</v>
      </c>
      <c r="D238" s="221" t="s">
        <v>2817</v>
      </c>
      <c r="E238" s="160">
        <v>42213</v>
      </c>
      <c r="F238" s="221" t="s">
        <v>2816</v>
      </c>
    </row>
    <row r="239" spans="1:6">
      <c r="A239" s="221" t="s">
        <v>2025</v>
      </c>
      <c r="B239" s="221">
        <v>5.01826028259948E+16</v>
      </c>
      <c r="C239" s="221" t="s">
        <v>2815</v>
      </c>
      <c r="D239" s="221" t="s">
        <v>2814</v>
      </c>
      <c r="E239" s="160">
        <v>42316</v>
      </c>
      <c r="F239" s="221" t="s">
        <v>2813</v>
      </c>
    </row>
    <row r="240" spans="1:6">
      <c r="A240" s="221" t="s">
        <v>1733</v>
      </c>
      <c r="B240" s="221">
        <v>4508027034780430</v>
      </c>
      <c r="C240" s="221" t="s">
        <v>1099</v>
      </c>
      <c r="D240" s="221" t="s">
        <v>2812</v>
      </c>
      <c r="E240" s="160">
        <v>42156</v>
      </c>
      <c r="F240" s="221" t="s">
        <v>2811</v>
      </c>
    </row>
    <row r="241" spans="1:6">
      <c r="A241" s="221" t="s">
        <v>759</v>
      </c>
      <c r="B241" s="221">
        <v>30219713055879</v>
      </c>
      <c r="C241" s="221" t="s">
        <v>1388</v>
      </c>
      <c r="D241" s="221" t="s">
        <v>2810</v>
      </c>
      <c r="E241" s="160">
        <v>42419</v>
      </c>
      <c r="F241" s="221" t="s">
        <v>2809</v>
      </c>
    </row>
    <row r="242" spans="1:6">
      <c r="A242" s="221" t="s">
        <v>964</v>
      </c>
      <c r="B242" s="221">
        <v>6370560562622390</v>
      </c>
      <c r="C242" s="221" t="s">
        <v>2808</v>
      </c>
      <c r="D242" s="221" t="s">
        <v>2807</v>
      </c>
      <c r="E242" s="160">
        <v>42273</v>
      </c>
      <c r="F242" s="221" t="s">
        <v>2806</v>
      </c>
    </row>
    <row r="243" spans="1:6">
      <c r="A243" s="221" t="s">
        <v>1465</v>
      </c>
      <c r="B243" s="221">
        <v>3564725128948710</v>
      </c>
      <c r="C243" s="221" t="s">
        <v>2678</v>
      </c>
      <c r="D243" s="221" t="s">
        <v>2805</v>
      </c>
      <c r="E243" s="160">
        <v>42409</v>
      </c>
      <c r="F243" s="221" t="s">
        <v>2804</v>
      </c>
    </row>
    <row r="244" spans="1:6">
      <c r="A244" s="221" t="s">
        <v>2803</v>
      </c>
      <c r="B244" s="221">
        <v>3583865719944540</v>
      </c>
      <c r="C244" s="221" t="s">
        <v>1396</v>
      </c>
      <c r="D244" s="221" t="s">
        <v>2802</v>
      </c>
      <c r="E244" s="160">
        <v>42209</v>
      </c>
      <c r="F244" s="221" t="s">
        <v>2801</v>
      </c>
    </row>
    <row r="245" spans="1:6">
      <c r="A245" s="221" t="s">
        <v>2476</v>
      </c>
      <c r="B245" s="221">
        <v>4405622690968780</v>
      </c>
      <c r="C245" s="221" t="s">
        <v>1171</v>
      </c>
      <c r="D245" s="221" t="s">
        <v>2800</v>
      </c>
      <c r="E245" s="160">
        <v>42403</v>
      </c>
      <c r="F245" s="221" t="s">
        <v>2799</v>
      </c>
    </row>
    <row r="246" spans="1:6">
      <c r="A246" s="221" t="s">
        <v>1477</v>
      </c>
      <c r="B246" s="221">
        <v>4913550244442920</v>
      </c>
      <c r="C246" s="221" t="s">
        <v>883</v>
      </c>
      <c r="D246" s="221" t="s">
        <v>2798</v>
      </c>
      <c r="E246" s="160">
        <v>42452</v>
      </c>
      <c r="F246" s="221" t="s">
        <v>2797</v>
      </c>
    </row>
    <row r="247" spans="1:6">
      <c r="A247" s="221" t="s">
        <v>2157</v>
      </c>
      <c r="B247" s="221">
        <v>3569157302503560</v>
      </c>
      <c r="C247" s="221" t="s">
        <v>1317</v>
      </c>
      <c r="D247" s="221" t="s">
        <v>2796</v>
      </c>
      <c r="E247" s="160">
        <v>42433</v>
      </c>
      <c r="F247" s="221" t="s">
        <v>2795</v>
      </c>
    </row>
    <row r="248" spans="1:6">
      <c r="A248" s="221" t="s">
        <v>1778</v>
      </c>
      <c r="B248" s="221">
        <v>201757176460394</v>
      </c>
      <c r="C248" s="221" t="s">
        <v>1218</v>
      </c>
      <c r="D248" s="221" t="s">
        <v>2794</v>
      </c>
      <c r="E248" s="160">
        <v>42153</v>
      </c>
      <c r="F248" s="221" t="s">
        <v>2793</v>
      </c>
    </row>
    <row r="249" spans="1:6">
      <c r="A249" s="221" t="s">
        <v>1839</v>
      </c>
      <c r="B249" s="221">
        <v>5.6022599707925996E+18</v>
      </c>
      <c r="C249" s="221" t="s">
        <v>1164</v>
      </c>
      <c r="D249" s="221" t="s">
        <v>2792</v>
      </c>
      <c r="E249" s="160">
        <v>42351</v>
      </c>
      <c r="F249" s="221" t="s">
        <v>2791</v>
      </c>
    </row>
    <row r="250" spans="1:6">
      <c r="A250" s="221" t="s">
        <v>1491</v>
      </c>
      <c r="B250" s="221">
        <v>3559480863651700</v>
      </c>
      <c r="C250" s="221" t="s">
        <v>883</v>
      </c>
      <c r="D250" s="221" t="s">
        <v>2790</v>
      </c>
      <c r="E250" s="160">
        <v>42267</v>
      </c>
      <c r="F250" s="221" t="s">
        <v>2789</v>
      </c>
    </row>
    <row r="251" spans="1:6">
      <c r="A251" s="221" t="s">
        <v>1149</v>
      </c>
      <c r="B251" s="221">
        <v>5.6022493262714099E+17</v>
      </c>
      <c r="C251" s="221" t="s">
        <v>1869</v>
      </c>
      <c r="D251" s="221" t="s">
        <v>2788</v>
      </c>
      <c r="E251" s="160">
        <v>42100</v>
      </c>
      <c r="F251" s="221" t="s">
        <v>2787</v>
      </c>
    </row>
    <row r="252" spans="1:6">
      <c r="A252" s="221" t="s">
        <v>2020</v>
      </c>
      <c r="B252" s="221">
        <v>4917114191948330</v>
      </c>
      <c r="C252" s="221" t="s">
        <v>1444</v>
      </c>
      <c r="D252" s="221" t="s">
        <v>2786</v>
      </c>
      <c r="E252" s="160">
        <v>42440</v>
      </c>
      <c r="F252" s="221" t="s">
        <v>2785</v>
      </c>
    </row>
    <row r="253" spans="1:6">
      <c r="A253" s="221" t="s">
        <v>1876</v>
      </c>
      <c r="B253" s="221">
        <v>3557842697005940</v>
      </c>
      <c r="C253" s="221" t="s">
        <v>906</v>
      </c>
      <c r="D253" s="221" t="s">
        <v>2784</v>
      </c>
      <c r="E253" s="160">
        <v>42105</v>
      </c>
      <c r="F253" s="221" t="s">
        <v>2783</v>
      </c>
    </row>
    <row r="254" spans="1:6">
      <c r="A254" s="221" t="s">
        <v>1608</v>
      </c>
      <c r="B254" s="221">
        <v>3589660638705890</v>
      </c>
      <c r="C254" s="221" t="s">
        <v>1363</v>
      </c>
      <c r="D254" s="221" t="s">
        <v>2782</v>
      </c>
      <c r="E254" s="160">
        <v>42382</v>
      </c>
      <c r="F254" s="221" t="s">
        <v>2781</v>
      </c>
    </row>
    <row r="255" spans="1:6">
      <c r="A255" s="221" t="s">
        <v>1338</v>
      </c>
      <c r="B255" s="221">
        <v>3569463006311290</v>
      </c>
      <c r="C255" s="221" t="s">
        <v>734</v>
      </c>
      <c r="D255" s="221" t="s">
        <v>2780</v>
      </c>
      <c r="E255" s="160">
        <v>42359</v>
      </c>
      <c r="F255" s="221" t="s">
        <v>2779</v>
      </c>
    </row>
    <row r="256" spans="1:6">
      <c r="A256" s="221" t="s">
        <v>1650</v>
      </c>
      <c r="B256" s="221">
        <v>3576174057243260</v>
      </c>
      <c r="C256" s="221" t="s">
        <v>2778</v>
      </c>
      <c r="D256" s="221" t="s">
        <v>2777</v>
      </c>
      <c r="E256" s="160">
        <v>42247</v>
      </c>
      <c r="F256" s="221" t="s">
        <v>2776</v>
      </c>
    </row>
    <row r="257" spans="1:6">
      <c r="A257" s="221" t="s">
        <v>1176</v>
      </c>
      <c r="B257" s="221">
        <v>374622617250930</v>
      </c>
      <c r="C257" s="221" t="s">
        <v>734</v>
      </c>
      <c r="D257" s="221" t="s">
        <v>2775</v>
      </c>
      <c r="E257" s="160">
        <v>42221</v>
      </c>
      <c r="F257" s="221" t="s">
        <v>2774</v>
      </c>
    </row>
    <row r="258" spans="1:6">
      <c r="A258" s="221" t="s">
        <v>1594</v>
      </c>
      <c r="B258" s="221">
        <v>3561272929866830</v>
      </c>
      <c r="C258" s="221" t="s">
        <v>937</v>
      </c>
      <c r="D258" s="221" t="s">
        <v>2773</v>
      </c>
      <c r="E258" s="160">
        <v>42212</v>
      </c>
      <c r="F258" s="221" t="s">
        <v>2772</v>
      </c>
    </row>
    <row r="259" spans="1:6">
      <c r="A259" s="221" t="s">
        <v>938</v>
      </c>
      <c r="B259" s="221">
        <v>3547617395998230</v>
      </c>
      <c r="C259" s="221" t="s">
        <v>1066</v>
      </c>
      <c r="D259" s="221" t="s">
        <v>2771</v>
      </c>
      <c r="E259" s="160">
        <v>42110</v>
      </c>
      <c r="F259" s="221" t="s">
        <v>2770</v>
      </c>
    </row>
    <row r="260" spans="1:6">
      <c r="A260" s="221" t="s">
        <v>1165</v>
      </c>
      <c r="B260" s="221">
        <v>3538739907260080</v>
      </c>
      <c r="C260" s="221" t="s">
        <v>975</v>
      </c>
      <c r="D260" s="221" t="s">
        <v>2769</v>
      </c>
      <c r="E260" s="160">
        <v>42145</v>
      </c>
      <c r="F260" s="221" t="s">
        <v>2768</v>
      </c>
    </row>
    <row r="261" spans="1:6">
      <c r="A261" s="221" t="s">
        <v>807</v>
      </c>
      <c r="B261" s="221">
        <v>4508140588624090</v>
      </c>
      <c r="C261" s="221" t="s">
        <v>1191</v>
      </c>
      <c r="D261" s="221" t="s">
        <v>2767</v>
      </c>
      <c r="E261" s="160">
        <v>42228</v>
      </c>
      <c r="F261" s="221" t="s">
        <v>2766</v>
      </c>
    </row>
    <row r="262" spans="1:6">
      <c r="A262" s="221" t="s">
        <v>1192</v>
      </c>
      <c r="B262" s="221">
        <v>5.0182045856911398E+17</v>
      </c>
      <c r="C262" s="221" t="s">
        <v>1742</v>
      </c>
      <c r="D262" s="221" t="s">
        <v>2765</v>
      </c>
      <c r="E262" s="160">
        <v>42230</v>
      </c>
      <c r="F262" s="221" t="s">
        <v>2764</v>
      </c>
    </row>
    <row r="263" spans="1:6">
      <c r="A263" s="221" t="s">
        <v>1790</v>
      </c>
      <c r="B263" s="221">
        <v>3577332907871890</v>
      </c>
      <c r="C263" s="221" t="s">
        <v>1508</v>
      </c>
      <c r="D263" s="221" t="s">
        <v>2763</v>
      </c>
      <c r="E263" s="160">
        <v>42108</v>
      </c>
      <c r="F263" s="221" t="s">
        <v>2762</v>
      </c>
    </row>
    <row r="264" spans="1:6">
      <c r="A264" s="221" t="s">
        <v>964</v>
      </c>
      <c r="B264" s="221">
        <v>6042361559014490</v>
      </c>
      <c r="C264" s="221" t="s">
        <v>1879</v>
      </c>
      <c r="D264" s="221" t="s">
        <v>2761</v>
      </c>
      <c r="E264" s="160">
        <v>42173</v>
      </c>
      <c r="F264" s="221" t="s">
        <v>2760</v>
      </c>
    </row>
    <row r="265" spans="1:6">
      <c r="A265" s="221" t="s">
        <v>1374</v>
      </c>
      <c r="B265" s="221">
        <v>604582579904506</v>
      </c>
      <c r="C265" s="221" t="s">
        <v>798</v>
      </c>
      <c r="D265" s="221" t="s">
        <v>2759</v>
      </c>
      <c r="E265" s="160">
        <v>42354</v>
      </c>
      <c r="F265" s="221" t="s">
        <v>2758</v>
      </c>
    </row>
    <row r="266" spans="1:6">
      <c r="A266" s="221" t="s">
        <v>2140</v>
      </c>
      <c r="B266" s="221">
        <v>4.9037720855382804E+18</v>
      </c>
      <c r="C266" s="221" t="s">
        <v>2757</v>
      </c>
      <c r="D266" s="221" t="s">
        <v>2756</v>
      </c>
      <c r="E266" s="160">
        <v>42137</v>
      </c>
      <c r="F266" s="221" t="s">
        <v>2755</v>
      </c>
    </row>
    <row r="267" spans="1:6">
      <c r="A267" s="221" t="s">
        <v>2734</v>
      </c>
      <c r="B267" s="221">
        <v>5494035596906950</v>
      </c>
      <c r="C267" s="221" t="s">
        <v>1979</v>
      </c>
      <c r="D267" s="221" t="s">
        <v>2754</v>
      </c>
      <c r="E267" s="160">
        <v>42296</v>
      </c>
      <c r="F267" s="221" t="s">
        <v>2450</v>
      </c>
    </row>
    <row r="268" spans="1:6">
      <c r="A268" s="221" t="s">
        <v>2753</v>
      </c>
      <c r="B268" s="221">
        <v>5283345730452280</v>
      </c>
      <c r="C268" s="221" t="s">
        <v>906</v>
      </c>
      <c r="D268" s="221" t="s">
        <v>2752</v>
      </c>
      <c r="E268" s="160">
        <v>42234</v>
      </c>
      <c r="F268" s="221" t="s">
        <v>2751</v>
      </c>
    </row>
    <row r="269" spans="1:6">
      <c r="A269" s="221" t="s">
        <v>1338</v>
      </c>
      <c r="B269" s="221">
        <v>3585707546677110</v>
      </c>
      <c r="C269" s="221" t="s">
        <v>1084</v>
      </c>
      <c r="D269" s="221" t="s">
        <v>2750</v>
      </c>
      <c r="E269" s="160">
        <v>42169</v>
      </c>
      <c r="F269" s="221" t="s">
        <v>2749</v>
      </c>
    </row>
    <row r="270" spans="1:6">
      <c r="A270" s="221" t="s">
        <v>926</v>
      </c>
      <c r="B270" s="221">
        <v>3568600868984630</v>
      </c>
      <c r="C270" s="221" t="s">
        <v>346</v>
      </c>
      <c r="D270" s="221" t="s">
        <v>2748</v>
      </c>
      <c r="E270" s="160">
        <v>42325</v>
      </c>
      <c r="F270" s="221" t="s">
        <v>2747</v>
      </c>
    </row>
    <row r="271" spans="1:6">
      <c r="A271" s="221" t="s">
        <v>1019</v>
      </c>
      <c r="B271" s="221">
        <v>3558591969339200</v>
      </c>
      <c r="C271" s="221" t="s">
        <v>1076</v>
      </c>
      <c r="D271" s="221" t="s">
        <v>2746</v>
      </c>
      <c r="E271" s="160">
        <v>42328</v>
      </c>
      <c r="F271" s="221" t="s">
        <v>2745</v>
      </c>
    </row>
    <row r="272" spans="1:6">
      <c r="A272" s="221" t="s">
        <v>1822</v>
      </c>
      <c r="B272" s="221">
        <v>4026869484921550</v>
      </c>
      <c r="C272" s="221" t="s">
        <v>1047</v>
      </c>
      <c r="D272" s="221" t="s">
        <v>2744</v>
      </c>
      <c r="E272" s="160">
        <v>42449</v>
      </c>
      <c r="F272" s="221" t="s">
        <v>2743</v>
      </c>
    </row>
    <row r="273" spans="1:6">
      <c r="A273" s="221" t="s">
        <v>938</v>
      </c>
      <c r="B273" s="221">
        <v>6.3311089532338995E+17</v>
      </c>
      <c r="C273" s="221" t="s">
        <v>2742</v>
      </c>
      <c r="D273" s="221" t="s">
        <v>2741</v>
      </c>
      <c r="E273" s="160">
        <v>42185</v>
      </c>
      <c r="F273" s="221" t="s">
        <v>2740</v>
      </c>
    </row>
    <row r="274" spans="1:6">
      <c r="A274" s="221" t="s">
        <v>2739</v>
      </c>
      <c r="B274" s="221">
        <v>5602253528413050</v>
      </c>
      <c r="C274" s="221" t="s">
        <v>929</v>
      </c>
      <c r="D274" s="221" t="s">
        <v>2738</v>
      </c>
      <c r="E274" s="160">
        <v>42100</v>
      </c>
      <c r="F274" s="221" t="s">
        <v>2737</v>
      </c>
    </row>
    <row r="275" spans="1:6">
      <c r="A275" s="221" t="s">
        <v>1454</v>
      </c>
      <c r="B275" s="221">
        <v>5002357618272620</v>
      </c>
      <c r="C275" s="221" t="s">
        <v>1480</v>
      </c>
      <c r="D275" s="221" t="s">
        <v>2736</v>
      </c>
      <c r="E275" s="160">
        <v>42381</v>
      </c>
      <c r="F275" s="221" t="s">
        <v>2735</v>
      </c>
    </row>
    <row r="276" spans="1:6">
      <c r="A276" s="221" t="s">
        <v>2734</v>
      </c>
      <c r="B276" s="221">
        <v>30330506288195</v>
      </c>
      <c r="C276" s="221" t="s">
        <v>2733</v>
      </c>
      <c r="D276" s="221" t="s">
        <v>2732</v>
      </c>
      <c r="E276" s="160">
        <v>42196</v>
      </c>
      <c r="F276" s="221" t="s">
        <v>2731</v>
      </c>
    </row>
    <row r="277" spans="1:6">
      <c r="A277" s="221" t="s">
        <v>2157</v>
      </c>
      <c r="B277" s="221">
        <v>5440367586430260</v>
      </c>
      <c r="C277" s="221" t="s">
        <v>895</v>
      </c>
      <c r="D277" s="221" t="s">
        <v>2730</v>
      </c>
      <c r="E277" s="160">
        <v>42389</v>
      </c>
      <c r="F277" s="221" t="s">
        <v>2729</v>
      </c>
    </row>
    <row r="278" spans="1:6">
      <c r="A278" s="221" t="s">
        <v>1328</v>
      </c>
      <c r="B278" s="221">
        <v>30579729036076</v>
      </c>
      <c r="C278" s="221" t="s">
        <v>1514</v>
      </c>
      <c r="D278" s="221" t="s">
        <v>2728</v>
      </c>
      <c r="E278" s="160">
        <v>42193</v>
      </c>
      <c r="F278" s="221" t="s">
        <v>2727</v>
      </c>
    </row>
    <row r="279" spans="1:6">
      <c r="A279" s="221" t="s">
        <v>2122</v>
      </c>
      <c r="B279" s="221">
        <v>30276592136782</v>
      </c>
      <c r="C279" s="221" t="s">
        <v>2128</v>
      </c>
      <c r="D279" s="221" t="s">
        <v>2726</v>
      </c>
      <c r="E279" s="160">
        <v>42297</v>
      </c>
      <c r="F279" s="221" t="s">
        <v>2725</v>
      </c>
    </row>
    <row r="280" spans="1:6">
      <c r="A280" s="221" t="s">
        <v>1876</v>
      </c>
      <c r="B280" s="221">
        <v>3529668007576760</v>
      </c>
      <c r="C280" s="221" t="s">
        <v>346</v>
      </c>
      <c r="D280" s="221" t="s">
        <v>2724</v>
      </c>
      <c r="E280" s="160">
        <v>42440</v>
      </c>
      <c r="F280" s="221" t="s">
        <v>2723</v>
      </c>
    </row>
    <row r="281" spans="1:6">
      <c r="A281" s="221" t="s">
        <v>1491</v>
      </c>
      <c r="B281" s="221">
        <v>30021571414051</v>
      </c>
      <c r="C281" s="221" t="s">
        <v>1084</v>
      </c>
      <c r="D281" s="221" t="s">
        <v>2722</v>
      </c>
      <c r="E281" s="160">
        <v>42396</v>
      </c>
      <c r="F281" s="221" t="s">
        <v>2721</v>
      </c>
    </row>
    <row r="282" spans="1:6">
      <c r="A282" s="221" t="s">
        <v>2720</v>
      </c>
      <c r="B282" s="221">
        <v>6.3341165981717901E+17</v>
      </c>
      <c r="C282" s="221" t="s">
        <v>2607</v>
      </c>
      <c r="D282" s="221" t="s">
        <v>2719</v>
      </c>
      <c r="E282" s="160">
        <v>42238</v>
      </c>
      <c r="F282" s="221" t="s">
        <v>2718</v>
      </c>
    </row>
    <row r="283" spans="1:6">
      <c r="A283" s="221" t="s">
        <v>2717</v>
      </c>
      <c r="B283" s="221">
        <v>3572452089617930</v>
      </c>
      <c r="C283" s="221" t="s">
        <v>2716</v>
      </c>
      <c r="D283" s="221" t="s">
        <v>2715</v>
      </c>
      <c r="E283" s="160">
        <v>42244</v>
      </c>
      <c r="F283" s="221" t="s">
        <v>2714</v>
      </c>
    </row>
    <row r="284" spans="1:6">
      <c r="A284" s="221" t="s">
        <v>1405</v>
      </c>
      <c r="B284" s="221">
        <v>3543350359568940</v>
      </c>
      <c r="C284" s="221" t="s">
        <v>902</v>
      </c>
      <c r="D284" s="221" t="s">
        <v>2713</v>
      </c>
      <c r="E284" s="160">
        <v>42272</v>
      </c>
      <c r="F284" s="221" t="s">
        <v>2712</v>
      </c>
    </row>
    <row r="285" spans="1:6">
      <c r="A285" s="221" t="s">
        <v>1077</v>
      </c>
      <c r="B285" s="221">
        <v>3571435902563300</v>
      </c>
      <c r="C285" s="221" t="s">
        <v>978</v>
      </c>
      <c r="D285" s="221" t="s">
        <v>2711</v>
      </c>
      <c r="E285" s="160">
        <v>42292</v>
      </c>
      <c r="F285" s="221" t="s">
        <v>2710</v>
      </c>
    </row>
    <row r="286" spans="1:6">
      <c r="A286" s="221" t="s">
        <v>1605</v>
      </c>
      <c r="B286" s="221">
        <v>4.9053003777445499E+18</v>
      </c>
      <c r="C286" s="221" t="s">
        <v>1716</v>
      </c>
      <c r="D286" s="221" t="s">
        <v>2709</v>
      </c>
      <c r="E286" s="160">
        <v>42180</v>
      </c>
      <c r="F286" s="221" t="s">
        <v>2708</v>
      </c>
    </row>
    <row r="287" spans="1:6">
      <c r="A287" s="221" t="s">
        <v>1212</v>
      </c>
      <c r="B287" s="221">
        <v>4917072085688830</v>
      </c>
      <c r="C287" s="221" t="s">
        <v>2398</v>
      </c>
      <c r="D287" s="221" t="s">
        <v>2707</v>
      </c>
      <c r="E287" s="160">
        <v>42116</v>
      </c>
      <c r="F287" s="221" t="s">
        <v>2706</v>
      </c>
    </row>
    <row r="288" spans="1:6">
      <c r="A288" s="221" t="s">
        <v>1408</v>
      </c>
      <c r="B288" s="221">
        <v>3541744633715640</v>
      </c>
      <c r="C288" s="221" t="s">
        <v>849</v>
      </c>
      <c r="D288" s="221" t="s">
        <v>2705</v>
      </c>
      <c r="E288" s="160">
        <v>42360</v>
      </c>
      <c r="F288" s="221" t="s">
        <v>2704</v>
      </c>
    </row>
    <row r="289" spans="1:6">
      <c r="A289" s="221" t="s">
        <v>2703</v>
      </c>
      <c r="B289" s="221">
        <v>6.7598104024917696E+17</v>
      </c>
      <c r="C289" s="221" t="s">
        <v>2040</v>
      </c>
      <c r="D289" s="221" t="s">
        <v>2702</v>
      </c>
      <c r="E289" s="160">
        <v>42320</v>
      </c>
      <c r="F289" s="221" t="s">
        <v>2701</v>
      </c>
    </row>
    <row r="290" spans="1:6">
      <c r="A290" s="221" t="s">
        <v>2700</v>
      </c>
      <c r="B290" s="221">
        <v>3566572469627570</v>
      </c>
      <c r="C290" s="221" t="s">
        <v>1076</v>
      </c>
      <c r="D290" s="221" t="s">
        <v>2699</v>
      </c>
      <c r="E290" s="160">
        <v>42359</v>
      </c>
      <c r="F290" s="221" t="s">
        <v>2698</v>
      </c>
    </row>
    <row r="291" spans="1:6">
      <c r="A291" s="221" t="s">
        <v>1044</v>
      </c>
      <c r="B291" s="221">
        <v>6389762928808070</v>
      </c>
      <c r="C291" s="221" t="s">
        <v>1951</v>
      </c>
      <c r="D291" s="221" t="s">
        <v>2697</v>
      </c>
      <c r="E291" s="160">
        <v>42248</v>
      </c>
      <c r="F291" s="221" t="s">
        <v>2696</v>
      </c>
    </row>
    <row r="292" spans="1:6">
      <c r="A292" s="221" t="s">
        <v>1052</v>
      </c>
      <c r="B292" s="221">
        <v>3557526834551290</v>
      </c>
      <c r="C292" s="221" t="s">
        <v>1324</v>
      </c>
      <c r="D292" s="221" t="s">
        <v>2695</v>
      </c>
      <c r="E292" s="160">
        <v>42373</v>
      </c>
      <c r="F292" s="221" t="s">
        <v>2694</v>
      </c>
    </row>
    <row r="293" spans="1:6">
      <c r="A293" s="221" t="s">
        <v>1765</v>
      </c>
      <c r="B293" s="221">
        <v>3553631354867930</v>
      </c>
      <c r="C293" s="221" t="s">
        <v>2693</v>
      </c>
      <c r="D293" s="221" t="s">
        <v>2692</v>
      </c>
      <c r="E293" s="160">
        <v>42382</v>
      </c>
      <c r="F293" s="221" t="s">
        <v>2691</v>
      </c>
    </row>
    <row r="294" spans="1:6">
      <c r="A294" s="221" t="s">
        <v>2125</v>
      </c>
      <c r="B294" s="221">
        <v>30249582882301</v>
      </c>
      <c r="C294" s="221" t="s">
        <v>2359</v>
      </c>
      <c r="D294" s="221" t="s">
        <v>2690</v>
      </c>
      <c r="E294" s="160">
        <v>42456</v>
      </c>
      <c r="F294" s="221" t="s">
        <v>2689</v>
      </c>
    </row>
    <row r="295" spans="1:6">
      <c r="A295" s="221" t="s">
        <v>1089</v>
      </c>
      <c r="B295" s="221">
        <v>3575095095110930</v>
      </c>
      <c r="C295" s="221" t="s">
        <v>883</v>
      </c>
      <c r="D295" s="221" t="s">
        <v>2688</v>
      </c>
      <c r="E295" s="160">
        <v>42131</v>
      </c>
      <c r="F295" s="221" t="s">
        <v>2687</v>
      </c>
    </row>
    <row r="296" spans="1:6">
      <c r="A296" s="221" t="s">
        <v>1708</v>
      </c>
      <c r="B296" s="221">
        <v>5048372408071070</v>
      </c>
      <c r="C296" s="221" t="s">
        <v>1036</v>
      </c>
      <c r="D296" s="221" t="s">
        <v>2686</v>
      </c>
      <c r="E296" s="160">
        <v>42304</v>
      </c>
      <c r="F296" s="221" t="s">
        <v>2685</v>
      </c>
    </row>
    <row r="297" spans="1:6">
      <c r="A297" s="221" t="s">
        <v>1491</v>
      </c>
      <c r="B297" s="221">
        <v>5.6101088459282899E+17</v>
      </c>
      <c r="C297" s="221" t="s">
        <v>1314</v>
      </c>
      <c r="D297" s="221" t="s">
        <v>2684</v>
      </c>
      <c r="E297" s="160">
        <v>42163</v>
      </c>
      <c r="F297" s="221" t="s">
        <v>2683</v>
      </c>
    </row>
    <row r="298" spans="1:6">
      <c r="A298" s="221" t="s">
        <v>1219</v>
      </c>
      <c r="B298" s="221">
        <v>5136007462405490</v>
      </c>
      <c r="C298" s="221" t="s">
        <v>1679</v>
      </c>
      <c r="D298" s="221" t="s">
        <v>2682</v>
      </c>
      <c r="E298" s="160">
        <v>42256</v>
      </c>
      <c r="F298" s="221" t="s">
        <v>2681</v>
      </c>
    </row>
    <row r="299" spans="1:6">
      <c r="A299" s="221" t="s">
        <v>862</v>
      </c>
      <c r="B299" s="221">
        <v>6.3042743113793104E+16</v>
      </c>
      <c r="C299" s="221" t="s">
        <v>1508</v>
      </c>
      <c r="D299" s="221" t="s">
        <v>2680</v>
      </c>
      <c r="E299" s="160">
        <v>42332</v>
      </c>
      <c r="F299" s="221" t="s">
        <v>2679</v>
      </c>
    </row>
    <row r="300" spans="1:6">
      <c r="A300" s="221" t="s">
        <v>1995</v>
      </c>
      <c r="B300" s="221">
        <v>4405422813241330</v>
      </c>
      <c r="C300" s="221" t="s">
        <v>2678</v>
      </c>
      <c r="D300" s="221" t="s">
        <v>2677</v>
      </c>
      <c r="E300" s="160">
        <v>42271</v>
      </c>
      <c r="F300" s="221" t="s">
        <v>2676</v>
      </c>
    </row>
    <row r="301" spans="1:6">
      <c r="A301" s="221" t="s">
        <v>1919</v>
      </c>
      <c r="B301" s="221">
        <v>3580332389186720</v>
      </c>
      <c r="C301" s="221" t="s">
        <v>754</v>
      </c>
      <c r="D301" s="221" t="s">
        <v>2675</v>
      </c>
      <c r="E301" s="160">
        <v>42218</v>
      </c>
      <c r="F301" s="221" t="s">
        <v>2674</v>
      </c>
    </row>
    <row r="302" spans="1:6">
      <c r="A302" s="221" t="s">
        <v>1056</v>
      </c>
      <c r="B302" s="221">
        <v>5.60223563585728E+18</v>
      </c>
      <c r="C302" s="221" t="s">
        <v>2015</v>
      </c>
      <c r="D302" s="221" t="s">
        <v>2673</v>
      </c>
      <c r="E302" s="160">
        <v>42285</v>
      </c>
      <c r="F302" s="221" t="s">
        <v>2672</v>
      </c>
    </row>
    <row r="303" spans="1:6">
      <c r="A303" s="221" t="s">
        <v>1579</v>
      </c>
      <c r="B303" s="221">
        <v>4405394077042780</v>
      </c>
      <c r="C303" s="221" t="s">
        <v>1413</v>
      </c>
      <c r="D303" s="221" t="s">
        <v>2671</v>
      </c>
      <c r="E303" s="160">
        <v>42317</v>
      </c>
      <c r="F303" s="221" t="s">
        <v>2670</v>
      </c>
    </row>
    <row r="304" spans="1:6">
      <c r="A304" s="221" t="s">
        <v>1374</v>
      </c>
      <c r="B304" s="221">
        <v>3539940421378480</v>
      </c>
      <c r="C304" s="221" t="s">
        <v>1549</v>
      </c>
      <c r="D304" s="221" t="s">
        <v>2669</v>
      </c>
      <c r="E304" s="160">
        <v>42300</v>
      </c>
      <c r="F304" s="221" t="s">
        <v>2668</v>
      </c>
    </row>
    <row r="305" spans="1:6">
      <c r="A305" s="221" t="s">
        <v>1672</v>
      </c>
      <c r="B305" s="221">
        <v>5.8933418795756196E+18</v>
      </c>
      <c r="C305" s="221" t="s">
        <v>825</v>
      </c>
      <c r="D305" s="221" t="s">
        <v>2667</v>
      </c>
      <c r="E305" s="160">
        <v>42403</v>
      </c>
      <c r="F305" s="221" t="s">
        <v>2666</v>
      </c>
    </row>
    <row r="306" spans="1:6">
      <c r="A306" s="221" t="s">
        <v>2465</v>
      </c>
      <c r="B306" s="221">
        <v>3531448519158110</v>
      </c>
      <c r="C306" s="221" t="s">
        <v>2665</v>
      </c>
      <c r="D306" s="221" t="s">
        <v>2664</v>
      </c>
      <c r="E306" s="160">
        <v>42184</v>
      </c>
      <c r="F306" s="221" t="s">
        <v>2663</v>
      </c>
    </row>
    <row r="307" spans="1:6">
      <c r="A307" s="221" t="s">
        <v>2662</v>
      </c>
      <c r="B307" s="221">
        <v>3572129339173940</v>
      </c>
      <c r="C307" s="221" t="s">
        <v>1088</v>
      </c>
      <c r="D307" s="221" t="s">
        <v>2661</v>
      </c>
      <c r="E307" s="160">
        <v>42276</v>
      </c>
      <c r="F307" s="221" t="s">
        <v>2660</v>
      </c>
    </row>
    <row r="308" spans="1:6">
      <c r="A308" s="221" t="s">
        <v>1278</v>
      </c>
      <c r="B308" s="221">
        <v>6.7611095598361104E+16</v>
      </c>
      <c r="C308" s="221" t="s">
        <v>774</v>
      </c>
      <c r="D308" s="221" t="s">
        <v>2659</v>
      </c>
      <c r="E308" s="160">
        <v>42330</v>
      </c>
      <c r="F308" s="221" t="s">
        <v>2658</v>
      </c>
    </row>
    <row r="309" spans="1:6">
      <c r="A309" s="221" t="s">
        <v>1052</v>
      </c>
      <c r="B309" s="221">
        <v>3563464743041480</v>
      </c>
      <c r="C309" s="221" t="s">
        <v>1076</v>
      </c>
      <c r="D309" s="221" t="s">
        <v>2657</v>
      </c>
      <c r="E309" s="160">
        <v>42349</v>
      </c>
      <c r="F309" s="221" t="s">
        <v>2656</v>
      </c>
    </row>
    <row r="310" spans="1:6">
      <c r="A310" s="221" t="s">
        <v>2655</v>
      </c>
      <c r="B310" s="221">
        <v>4017957426034</v>
      </c>
      <c r="C310" s="221" t="s">
        <v>1500</v>
      </c>
      <c r="D310" s="221" t="s">
        <v>2654</v>
      </c>
      <c r="E310" s="160">
        <v>42201</v>
      </c>
      <c r="F310" s="221" t="s">
        <v>2653</v>
      </c>
    </row>
    <row r="311" spans="1:6">
      <c r="A311" s="221" t="s">
        <v>1894</v>
      </c>
      <c r="B311" s="221">
        <v>3554879669609210</v>
      </c>
      <c r="C311" s="221" t="s">
        <v>1296</v>
      </c>
      <c r="D311" s="221" t="s">
        <v>2652</v>
      </c>
      <c r="E311" s="160">
        <v>42317</v>
      </c>
      <c r="F311" s="221" t="s">
        <v>2651</v>
      </c>
    </row>
    <row r="312" spans="1:6">
      <c r="A312" s="221" t="s">
        <v>2353</v>
      </c>
      <c r="B312" s="221">
        <v>6.7611681349672704E+16</v>
      </c>
      <c r="C312" s="221" t="s">
        <v>1070</v>
      </c>
      <c r="D312" s="221" t="s">
        <v>2650</v>
      </c>
      <c r="E312" s="160">
        <v>42279</v>
      </c>
      <c r="F312" s="221" t="s">
        <v>2649</v>
      </c>
    </row>
    <row r="313" spans="1:6">
      <c r="A313" s="221" t="s">
        <v>2648</v>
      </c>
      <c r="B313" s="221">
        <v>201963708834136</v>
      </c>
      <c r="C313" s="221" t="s">
        <v>1947</v>
      </c>
      <c r="D313" s="221" t="s">
        <v>2647</v>
      </c>
      <c r="E313" s="160">
        <v>42338</v>
      </c>
      <c r="F313" s="221" t="s">
        <v>2646</v>
      </c>
    </row>
    <row r="314" spans="1:6">
      <c r="A314" s="221" t="s">
        <v>2166</v>
      </c>
      <c r="B314" s="221">
        <v>4333408485825120</v>
      </c>
      <c r="C314" s="221" t="s">
        <v>1855</v>
      </c>
      <c r="D314" s="221" t="s">
        <v>2645</v>
      </c>
      <c r="E314" s="160">
        <v>42172</v>
      </c>
      <c r="F314" s="221" t="s">
        <v>2644</v>
      </c>
    </row>
    <row r="315" spans="1:6">
      <c r="A315" s="221" t="s">
        <v>1233</v>
      </c>
      <c r="B315" s="221">
        <v>3540598769809350</v>
      </c>
      <c r="C315" s="221" t="s">
        <v>1500</v>
      </c>
      <c r="D315" s="221" t="s">
        <v>2643</v>
      </c>
      <c r="E315" s="160">
        <v>42406</v>
      </c>
      <c r="F315" s="221" t="s">
        <v>2642</v>
      </c>
    </row>
    <row r="316" spans="1:6">
      <c r="A316" s="221" t="s">
        <v>2119</v>
      </c>
      <c r="B316" s="221">
        <v>3588344707109620</v>
      </c>
      <c r="C316" s="221" t="s">
        <v>2128</v>
      </c>
      <c r="D316" s="221" t="s">
        <v>2641</v>
      </c>
      <c r="E316" s="160">
        <v>42427</v>
      </c>
      <c r="F316" s="221" t="s">
        <v>2640</v>
      </c>
    </row>
    <row r="317" spans="1:6">
      <c r="A317" s="221" t="s">
        <v>2571</v>
      </c>
      <c r="B317" s="221">
        <v>201463061529076</v>
      </c>
      <c r="C317" s="221" t="s">
        <v>1018</v>
      </c>
      <c r="D317" s="221" t="s">
        <v>2639</v>
      </c>
      <c r="E317" s="160">
        <v>42358</v>
      </c>
      <c r="F317" s="221" t="s">
        <v>2638</v>
      </c>
    </row>
    <row r="318" spans="1:6">
      <c r="A318" s="221" t="s">
        <v>2049</v>
      </c>
      <c r="B318" s="221">
        <v>6397721751687470</v>
      </c>
      <c r="C318" s="221" t="s">
        <v>910</v>
      </c>
      <c r="D318" s="221" t="s">
        <v>2637</v>
      </c>
      <c r="E318" s="160">
        <v>42173</v>
      </c>
      <c r="F318" s="221" t="s">
        <v>2636</v>
      </c>
    </row>
    <row r="319" spans="1:6">
      <c r="A319" s="221" t="s">
        <v>2225</v>
      </c>
      <c r="B319" s="221">
        <v>5.0188463900341104E+16</v>
      </c>
      <c r="C319" s="221" t="s">
        <v>1428</v>
      </c>
      <c r="D319" s="221" t="s">
        <v>2635</v>
      </c>
      <c r="E319" s="160">
        <v>42430</v>
      </c>
      <c r="F319" s="221" t="s">
        <v>2634</v>
      </c>
    </row>
    <row r="320" spans="1:6">
      <c r="A320" s="221" t="s">
        <v>1529</v>
      </c>
      <c r="B320" s="221">
        <v>372301409945260</v>
      </c>
      <c r="C320" s="221" t="s">
        <v>2409</v>
      </c>
      <c r="D320" s="221" t="s">
        <v>2633</v>
      </c>
      <c r="E320" s="160">
        <v>42372</v>
      </c>
      <c r="F320" s="221" t="s">
        <v>2632</v>
      </c>
    </row>
    <row r="321" spans="1:6">
      <c r="A321" s="221" t="s">
        <v>1357</v>
      </c>
      <c r="B321" s="221">
        <v>5104811545688490</v>
      </c>
      <c r="C321" s="221" t="s">
        <v>790</v>
      </c>
      <c r="D321" s="221" t="s">
        <v>2631</v>
      </c>
      <c r="E321" s="160">
        <v>42129</v>
      </c>
      <c r="F321" s="221" t="s">
        <v>2630</v>
      </c>
    </row>
    <row r="322" spans="1:6">
      <c r="A322" s="221" t="s">
        <v>2473</v>
      </c>
      <c r="B322" s="221">
        <v>3574861973843940</v>
      </c>
      <c r="C322" s="221" t="s">
        <v>1888</v>
      </c>
      <c r="D322" s="221" t="s">
        <v>2629</v>
      </c>
      <c r="E322" s="160">
        <v>42185</v>
      </c>
      <c r="F322" s="221" t="s">
        <v>2628</v>
      </c>
    </row>
    <row r="323" spans="1:6">
      <c r="A323" s="221" t="s">
        <v>1812</v>
      </c>
      <c r="B323" s="221">
        <v>5602256870167410</v>
      </c>
      <c r="C323" s="221" t="s">
        <v>1047</v>
      </c>
      <c r="D323" s="221" t="s">
        <v>2627</v>
      </c>
      <c r="E323" s="160">
        <v>42431</v>
      </c>
      <c r="F323" s="221" t="s">
        <v>2626</v>
      </c>
    </row>
    <row r="324" spans="1:6">
      <c r="A324" s="221" t="s">
        <v>866</v>
      </c>
      <c r="B324" s="221">
        <v>3555536160625120</v>
      </c>
      <c r="C324" s="221" t="s">
        <v>1796</v>
      </c>
      <c r="D324" s="221" t="s">
        <v>2625</v>
      </c>
      <c r="E324" s="160">
        <v>42257</v>
      </c>
      <c r="F324" s="221" t="s">
        <v>2624</v>
      </c>
    </row>
    <row r="325" spans="1:6">
      <c r="A325" s="221" t="s">
        <v>1108</v>
      </c>
      <c r="B325" s="221">
        <v>3571637178271820</v>
      </c>
      <c r="C325" s="221" t="s">
        <v>1434</v>
      </c>
      <c r="D325" s="221" t="s">
        <v>2623</v>
      </c>
      <c r="E325" s="160">
        <v>42323</v>
      </c>
      <c r="F325" s="221" t="s">
        <v>2622</v>
      </c>
    </row>
    <row r="326" spans="1:6">
      <c r="A326" s="221" t="s">
        <v>2615</v>
      </c>
      <c r="B326" s="221">
        <v>5216143770480820</v>
      </c>
      <c r="C326" s="221" t="s">
        <v>999</v>
      </c>
      <c r="D326" s="221" t="s">
        <v>2621</v>
      </c>
      <c r="E326" s="160">
        <v>42133</v>
      </c>
      <c r="F326" s="221" t="s">
        <v>2620</v>
      </c>
    </row>
    <row r="327" spans="1:6">
      <c r="A327" s="221" t="s">
        <v>2067</v>
      </c>
      <c r="B327" s="221">
        <v>3537401651790920</v>
      </c>
      <c r="C327" s="221" t="s">
        <v>1679</v>
      </c>
      <c r="D327" s="221" t="s">
        <v>2619</v>
      </c>
      <c r="E327" s="160">
        <v>42103</v>
      </c>
      <c r="F327" s="221" t="s">
        <v>2618</v>
      </c>
    </row>
    <row r="328" spans="1:6">
      <c r="A328" s="221" t="s">
        <v>2524</v>
      </c>
      <c r="B328" s="221">
        <v>3535374332687440</v>
      </c>
      <c r="C328" s="221" t="s">
        <v>2579</v>
      </c>
      <c r="D328" s="221" t="s">
        <v>2617</v>
      </c>
      <c r="E328" s="160">
        <v>42183</v>
      </c>
      <c r="F328" s="221" t="s">
        <v>2616</v>
      </c>
    </row>
    <row r="329" spans="1:6">
      <c r="A329" s="221" t="s">
        <v>2615</v>
      </c>
      <c r="B329" s="221">
        <v>201791357184424</v>
      </c>
      <c r="C329" s="221" t="s">
        <v>869</v>
      </c>
      <c r="D329" s="221" t="s">
        <v>2614</v>
      </c>
      <c r="E329" s="160">
        <v>42416</v>
      </c>
      <c r="F329" s="221" t="s">
        <v>2613</v>
      </c>
    </row>
    <row r="330" spans="1:6">
      <c r="A330" s="221" t="s">
        <v>2612</v>
      </c>
      <c r="B330" s="221">
        <v>3530260050895890</v>
      </c>
      <c r="C330" s="221" t="s">
        <v>1373</v>
      </c>
      <c r="D330" s="221" t="s">
        <v>2611</v>
      </c>
      <c r="E330" s="160">
        <v>42168</v>
      </c>
      <c r="F330" s="221" t="s">
        <v>2610</v>
      </c>
    </row>
    <row r="331" spans="1:6">
      <c r="A331" s="221" t="s">
        <v>767</v>
      </c>
      <c r="B331" s="221">
        <v>201420897208812</v>
      </c>
      <c r="C331" s="221" t="s">
        <v>995</v>
      </c>
      <c r="D331" s="221" t="s">
        <v>2609</v>
      </c>
      <c r="E331" s="160">
        <v>42387</v>
      </c>
      <c r="F331" s="221" t="s">
        <v>2608</v>
      </c>
    </row>
    <row r="332" spans="1:6">
      <c r="A332" s="221" t="s">
        <v>1165</v>
      </c>
      <c r="B332" s="221">
        <v>6.7674841745673605E+18</v>
      </c>
      <c r="C332" s="221" t="s">
        <v>2607</v>
      </c>
      <c r="D332" s="221" t="s">
        <v>2606</v>
      </c>
      <c r="E332" s="160">
        <v>42274</v>
      </c>
      <c r="F332" s="221" t="s">
        <v>2605</v>
      </c>
    </row>
    <row r="333" spans="1:6">
      <c r="A333" s="221" t="s">
        <v>2331</v>
      </c>
      <c r="B333" s="221">
        <v>6771292429659140</v>
      </c>
      <c r="C333" s="221" t="s">
        <v>786</v>
      </c>
      <c r="D333" s="221" t="s">
        <v>2604</v>
      </c>
      <c r="E333" s="160">
        <v>42408</v>
      </c>
      <c r="F333" s="221" t="s">
        <v>2603</v>
      </c>
    </row>
    <row r="334" spans="1:6">
      <c r="A334" s="221" t="s">
        <v>2602</v>
      </c>
      <c r="B334" s="221">
        <v>3538300963877090</v>
      </c>
      <c r="C334" s="221" t="s">
        <v>1655</v>
      </c>
      <c r="D334" s="221" t="s">
        <v>2601</v>
      </c>
      <c r="E334" s="160">
        <v>42327</v>
      </c>
      <c r="F334" s="221" t="s">
        <v>2600</v>
      </c>
    </row>
    <row r="335" spans="1:6">
      <c r="A335" s="221" t="s">
        <v>1192</v>
      </c>
      <c r="B335" s="221">
        <v>5.6109843876911699E+17</v>
      </c>
      <c r="C335" s="221" t="s">
        <v>2599</v>
      </c>
      <c r="D335" s="221" t="s">
        <v>2598</v>
      </c>
      <c r="E335" s="160">
        <v>42346</v>
      </c>
      <c r="F335" s="221" t="s">
        <v>2597</v>
      </c>
    </row>
    <row r="336" spans="1:6">
      <c r="A336" s="221" t="s">
        <v>1541</v>
      </c>
      <c r="B336" s="221">
        <v>5446770100377070</v>
      </c>
      <c r="C336" s="221" t="s">
        <v>1264</v>
      </c>
      <c r="D336" s="221" t="s">
        <v>2596</v>
      </c>
      <c r="E336" s="160">
        <v>42330</v>
      </c>
      <c r="F336" s="221" t="s">
        <v>2595</v>
      </c>
    </row>
    <row r="337" spans="1:6">
      <c r="A337" s="221" t="s">
        <v>2594</v>
      </c>
      <c r="B337" s="221">
        <v>3576454218239960</v>
      </c>
      <c r="C337" s="221" t="s">
        <v>1419</v>
      </c>
      <c r="D337" s="221" t="s">
        <v>2593</v>
      </c>
      <c r="E337" s="160">
        <v>42438</v>
      </c>
      <c r="F337" s="221" t="s">
        <v>2592</v>
      </c>
    </row>
    <row r="338" spans="1:6">
      <c r="A338" s="221" t="s">
        <v>880</v>
      </c>
      <c r="B338" s="221">
        <v>4.9056686408477798E+17</v>
      </c>
      <c r="C338" s="221" t="s">
        <v>2380</v>
      </c>
      <c r="D338" s="221" t="s">
        <v>2591</v>
      </c>
      <c r="E338" s="160">
        <v>42296</v>
      </c>
      <c r="F338" s="221" t="s">
        <v>2590</v>
      </c>
    </row>
    <row r="339" spans="1:6">
      <c r="A339" s="221" t="s">
        <v>1161</v>
      </c>
      <c r="B339" s="221">
        <v>6377868604444210</v>
      </c>
      <c r="C339" s="221" t="s">
        <v>2589</v>
      </c>
      <c r="D339" s="221" t="s">
        <v>2588</v>
      </c>
      <c r="E339" s="160">
        <v>42337</v>
      </c>
      <c r="F339" s="221" t="s">
        <v>2587</v>
      </c>
    </row>
    <row r="340" spans="1:6">
      <c r="A340" s="221" t="s">
        <v>1192</v>
      </c>
      <c r="B340" s="221">
        <v>3589496266087240</v>
      </c>
      <c r="C340" s="221" t="s">
        <v>2586</v>
      </c>
      <c r="D340" s="221" t="s">
        <v>2585</v>
      </c>
      <c r="E340" s="160">
        <v>42440</v>
      </c>
      <c r="F340" s="221" t="s">
        <v>2584</v>
      </c>
    </row>
    <row r="341" spans="1:6">
      <c r="A341" s="221" t="s">
        <v>2583</v>
      </c>
      <c r="B341" s="221">
        <v>3541973666306570</v>
      </c>
      <c r="C341" s="221" t="s">
        <v>1310</v>
      </c>
      <c r="D341" s="221" t="s">
        <v>2582</v>
      </c>
      <c r="E341" s="160">
        <v>42459</v>
      </c>
      <c r="F341" s="221" t="s">
        <v>2581</v>
      </c>
    </row>
    <row r="342" spans="1:6">
      <c r="A342" s="221" t="s">
        <v>2580</v>
      </c>
      <c r="B342" s="221">
        <v>3531416597315510</v>
      </c>
      <c r="C342" s="221" t="s">
        <v>2579</v>
      </c>
      <c r="D342" s="221" t="s">
        <v>2578</v>
      </c>
      <c r="E342" s="160">
        <v>42451</v>
      </c>
      <c r="F342" s="221" t="s">
        <v>2577</v>
      </c>
    </row>
    <row r="343" spans="1:6">
      <c r="A343" s="221" t="s">
        <v>1346</v>
      </c>
      <c r="B343" s="221">
        <v>3535659688227290</v>
      </c>
      <c r="C343" s="221" t="s">
        <v>591</v>
      </c>
      <c r="D343" s="221" t="s">
        <v>2576</v>
      </c>
      <c r="E343" s="160">
        <v>42267</v>
      </c>
      <c r="F343" s="221" t="s">
        <v>2575</v>
      </c>
    </row>
    <row r="344" spans="1:6">
      <c r="A344" s="221" t="s">
        <v>2574</v>
      </c>
      <c r="B344" s="221">
        <v>6.7638787377294797E+18</v>
      </c>
      <c r="C344" s="221" t="s">
        <v>1508</v>
      </c>
      <c r="D344" s="221" t="s">
        <v>2573</v>
      </c>
      <c r="E344" s="160">
        <v>42448</v>
      </c>
      <c r="F344" s="221" t="s">
        <v>2572</v>
      </c>
    </row>
    <row r="345" spans="1:6">
      <c r="A345" s="221" t="s">
        <v>2571</v>
      </c>
      <c r="B345" s="221">
        <v>5.60221790668346E+16</v>
      </c>
      <c r="C345" s="221" t="s">
        <v>2128</v>
      </c>
      <c r="D345" s="221" t="s">
        <v>2570</v>
      </c>
      <c r="E345" s="160">
        <v>42219</v>
      </c>
      <c r="F345" s="221" t="s">
        <v>2569</v>
      </c>
    </row>
    <row r="346" spans="1:6">
      <c r="A346" s="221" t="s">
        <v>1208</v>
      </c>
      <c r="B346" s="221">
        <v>5002351684864900</v>
      </c>
      <c r="C346" s="221" t="s">
        <v>1392</v>
      </c>
      <c r="D346" s="221" t="s">
        <v>2568</v>
      </c>
      <c r="E346" s="160">
        <v>42414</v>
      </c>
      <c r="F346" s="221" t="s">
        <v>2567</v>
      </c>
    </row>
    <row r="347" spans="1:6">
      <c r="A347" s="221" t="s">
        <v>787</v>
      </c>
      <c r="B347" s="221">
        <v>201617397600667</v>
      </c>
      <c r="C347" s="221" t="s">
        <v>2566</v>
      </c>
      <c r="D347" s="221" t="s">
        <v>2565</v>
      </c>
      <c r="E347" s="160">
        <v>42337</v>
      </c>
      <c r="F347" s="221" t="s">
        <v>2564</v>
      </c>
    </row>
    <row r="348" spans="1:6">
      <c r="A348" s="221" t="s">
        <v>1226</v>
      </c>
      <c r="B348" s="221">
        <v>3569120388383010</v>
      </c>
      <c r="C348" s="221" t="s">
        <v>754</v>
      </c>
      <c r="D348" s="221" t="s">
        <v>2563</v>
      </c>
      <c r="E348" s="160">
        <v>42131</v>
      </c>
      <c r="F348" s="221" t="s">
        <v>2562</v>
      </c>
    </row>
    <row r="349" spans="1:6">
      <c r="A349" s="221" t="s">
        <v>915</v>
      </c>
      <c r="B349" s="221">
        <v>604097243611460</v>
      </c>
      <c r="C349" s="221" t="s">
        <v>1164</v>
      </c>
      <c r="D349" s="221" t="s">
        <v>2561</v>
      </c>
      <c r="E349" s="160">
        <v>42192</v>
      </c>
      <c r="F349" s="221" t="s">
        <v>2560</v>
      </c>
    </row>
    <row r="350" spans="1:6">
      <c r="A350" s="221" t="s">
        <v>2559</v>
      </c>
      <c r="B350" s="221">
        <v>3577848897730260</v>
      </c>
      <c r="C350" s="221" t="s">
        <v>1586</v>
      </c>
      <c r="D350" s="221" t="s">
        <v>2558</v>
      </c>
      <c r="E350" s="160">
        <v>42186</v>
      </c>
      <c r="F350" s="221" t="s">
        <v>2557</v>
      </c>
    </row>
    <row r="351" spans="1:6">
      <c r="A351" s="221" t="s">
        <v>2556</v>
      </c>
      <c r="B351" s="221">
        <v>3580089281457510</v>
      </c>
      <c r="C351" s="221" t="s">
        <v>2412</v>
      </c>
      <c r="D351" s="221" t="s">
        <v>2555</v>
      </c>
      <c r="E351" s="160">
        <v>42402</v>
      </c>
      <c r="F351" s="221" t="s">
        <v>2554</v>
      </c>
    </row>
    <row r="352" spans="1:6">
      <c r="A352" s="221" t="s">
        <v>1511</v>
      </c>
      <c r="B352" s="221">
        <v>3528867372409310</v>
      </c>
      <c r="C352" s="221" t="s">
        <v>2128</v>
      </c>
      <c r="D352" s="221" t="s">
        <v>2553</v>
      </c>
      <c r="E352" s="160">
        <v>42350</v>
      </c>
      <c r="F352" s="221" t="s">
        <v>2552</v>
      </c>
    </row>
    <row r="353" spans="1:6">
      <c r="A353" s="221" t="s">
        <v>1111</v>
      </c>
      <c r="B353" s="221">
        <v>201984085813386</v>
      </c>
      <c r="C353" s="221" t="s">
        <v>1739</v>
      </c>
      <c r="D353" s="221" t="s">
        <v>2551</v>
      </c>
      <c r="E353" s="160">
        <v>42280</v>
      </c>
      <c r="F353" s="221" t="s">
        <v>2550</v>
      </c>
    </row>
    <row r="354" spans="1:6">
      <c r="A354" s="221" t="s">
        <v>2479</v>
      </c>
      <c r="B354" s="221">
        <v>3579550047395870</v>
      </c>
      <c r="C354" s="221" t="s">
        <v>1789</v>
      </c>
      <c r="D354" s="221" t="s">
        <v>2549</v>
      </c>
      <c r="E354" s="160">
        <v>42267</v>
      </c>
      <c r="F354" s="221" t="s">
        <v>2548</v>
      </c>
    </row>
    <row r="355" spans="1:6">
      <c r="A355" s="221" t="s">
        <v>1261</v>
      </c>
      <c r="B355" s="221">
        <v>3576748499792880</v>
      </c>
      <c r="C355" s="221" t="s">
        <v>1003</v>
      </c>
      <c r="D355" s="221" t="s">
        <v>2547</v>
      </c>
      <c r="E355" s="160">
        <v>42394</v>
      </c>
      <c r="F355" s="221" t="s">
        <v>2546</v>
      </c>
    </row>
    <row r="356" spans="1:6">
      <c r="A356" s="221" t="s">
        <v>2545</v>
      </c>
      <c r="B356" s="221">
        <v>3575957969639470</v>
      </c>
      <c r="C356" s="221" t="s">
        <v>865</v>
      </c>
      <c r="D356" s="221" t="s">
        <v>2544</v>
      </c>
      <c r="E356" s="160">
        <v>42295</v>
      </c>
      <c r="F356" s="221" t="s">
        <v>2543</v>
      </c>
    </row>
    <row r="357" spans="1:6">
      <c r="A357" s="221" t="s">
        <v>1768</v>
      </c>
      <c r="B357" s="221">
        <v>374622435265102</v>
      </c>
      <c r="C357" s="221" t="s">
        <v>1022</v>
      </c>
      <c r="D357" s="221" t="s">
        <v>2542</v>
      </c>
      <c r="E357" s="160">
        <v>42242</v>
      </c>
      <c r="F357" s="221" t="s">
        <v>2541</v>
      </c>
    </row>
    <row r="358" spans="1:6">
      <c r="A358" s="221" t="s">
        <v>1293</v>
      </c>
      <c r="B358" s="221">
        <v>5290056376407920</v>
      </c>
      <c r="C358" s="221" t="s">
        <v>2040</v>
      </c>
      <c r="D358" s="221" t="s">
        <v>2540</v>
      </c>
      <c r="E358" s="160">
        <v>42295</v>
      </c>
      <c r="F358" s="221" t="s">
        <v>2539</v>
      </c>
    </row>
    <row r="359" spans="1:6">
      <c r="A359" s="221" t="s">
        <v>1300</v>
      </c>
      <c r="B359" s="221">
        <v>3559670807595240</v>
      </c>
      <c r="C359" s="221" t="s">
        <v>1855</v>
      </c>
      <c r="D359" s="221" t="s">
        <v>2538</v>
      </c>
      <c r="E359" s="160">
        <v>42190</v>
      </c>
      <c r="F359" s="221" t="s">
        <v>2537</v>
      </c>
    </row>
    <row r="360" spans="1:6">
      <c r="A360" s="221" t="s">
        <v>1067</v>
      </c>
      <c r="B360" s="221">
        <v>6762273000258650</v>
      </c>
      <c r="C360" s="221" t="s">
        <v>1218</v>
      </c>
      <c r="D360" s="221" t="s">
        <v>2536</v>
      </c>
      <c r="E360" s="160">
        <v>42109</v>
      </c>
      <c r="F360" s="221" t="s">
        <v>2535</v>
      </c>
    </row>
    <row r="361" spans="1:6">
      <c r="A361" s="221" t="s">
        <v>1883</v>
      </c>
      <c r="B361" s="221">
        <v>3542428092410190</v>
      </c>
      <c r="C361" s="221" t="s">
        <v>1373</v>
      </c>
      <c r="D361" s="221" t="s">
        <v>2534</v>
      </c>
      <c r="E361" s="160">
        <v>42268</v>
      </c>
      <c r="F361" s="221" t="s">
        <v>2533</v>
      </c>
    </row>
    <row r="362" spans="1:6">
      <c r="A362" s="221" t="s">
        <v>735</v>
      </c>
      <c r="B362" s="221">
        <v>6.7612713292209296E+16</v>
      </c>
      <c r="C362" s="221" t="s">
        <v>1753</v>
      </c>
      <c r="D362" s="221" t="s">
        <v>2532</v>
      </c>
      <c r="E362" s="160">
        <v>42219</v>
      </c>
      <c r="F362" s="221" t="s">
        <v>2531</v>
      </c>
    </row>
    <row r="363" spans="1:6">
      <c r="A363" s="221" t="s">
        <v>946</v>
      </c>
      <c r="B363" s="221">
        <v>3578308373729850</v>
      </c>
      <c r="C363" s="221" t="s">
        <v>1549</v>
      </c>
      <c r="D363" s="221" t="s">
        <v>2530</v>
      </c>
      <c r="E363" s="160">
        <v>42368</v>
      </c>
      <c r="F363" s="221" t="s">
        <v>2529</v>
      </c>
    </row>
    <row r="364" spans="1:6">
      <c r="A364" s="221" t="s">
        <v>1505</v>
      </c>
      <c r="B364" s="221">
        <v>6.3047007810758195E+18</v>
      </c>
      <c r="C364" s="221" t="s">
        <v>1211</v>
      </c>
      <c r="D364" s="221" t="s">
        <v>2528</v>
      </c>
      <c r="E364" s="160">
        <v>42190</v>
      </c>
      <c r="F364" s="221" t="s">
        <v>2527</v>
      </c>
    </row>
    <row r="365" spans="1:6">
      <c r="A365" s="221" t="s">
        <v>763</v>
      </c>
      <c r="B365" s="221">
        <v>6040917291284890</v>
      </c>
      <c r="C365" s="221" t="s">
        <v>762</v>
      </c>
      <c r="D365" s="221" t="s">
        <v>2526</v>
      </c>
      <c r="E365" s="160">
        <v>42301</v>
      </c>
      <c r="F365" s="221" t="s">
        <v>2525</v>
      </c>
    </row>
    <row r="366" spans="1:6">
      <c r="A366" s="221" t="s">
        <v>2524</v>
      </c>
      <c r="B366" s="221">
        <v>6.7068279078876006E+17</v>
      </c>
      <c r="C366" s="221" t="s">
        <v>1382</v>
      </c>
      <c r="D366" s="221" t="s">
        <v>2523</v>
      </c>
      <c r="E366" s="160">
        <v>42457</v>
      </c>
      <c r="F366" s="221" t="s">
        <v>2522</v>
      </c>
    </row>
    <row r="367" spans="1:6">
      <c r="A367" s="221" t="s">
        <v>1676</v>
      </c>
      <c r="B367" s="221">
        <v>4405085825432660</v>
      </c>
      <c r="C367" s="221" t="s">
        <v>1630</v>
      </c>
      <c r="D367" s="221" t="s">
        <v>2521</v>
      </c>
      <c r="E367" s="160">
        <v>42161</v>
      </c>
      <c r="F367" s="221" t="s">
        <v>2520</v>
      </c>
    </row>
    <row r="368" spans="1:6">
      <c r="A368" s="221" t="s">
        <v>815</v>
      </c>
      <c r="B368" s="221">
        <v>3535081535727520</v>
      </c>
      <c r="C368" s="221" t="s">
        <v>887</v>
      </c>
      <c r="D368" s="221" t="s">
        <v>2519</v>
      </c>
      <c r="E368" s="160">
        <v>42405</v>
      </c>
      <c r="F368" s="221" t="s">
        <v>2518</v>
      </c>
    </row>
    <row r="369" spans="1:6">
      <c r="A369" s="221" t="s">
        <v>838</v>
      </c>
      <c r="B369" s="221">
        <v>5602234215441200</v>
      </c>
      <c r="C369" s="221" t="s">
        <v>883</v>
      </c>
      <c r="D369" s="221" t="s">
        <v>2517</v>
      </c>
      <c r="E369" s="160">
        <v>42143</v>
      </c>
      <c r="F369" s="221" t="s">
        <v>2516</v>
      </c>
    </row>
    <row r="370" spans="1:6">
      <c r="A370" s="221" t="s">
        <v>1318</v>
      </c>
      <c r="B370" s="221">
        <v>4175000215464060</v>
      </c>
      <c r="C370" s="221" t="s">
        <v>810</v>
      </c>
      <c r="D370" s="221" t="s">
        <v>2515</v>
      </c>
      <c r="E370" s="160">
        <v>42252</v>
      </c>
      <c r="F370" s="221" t="s">
        <v>2514</v>
      </c>
    </row>
    <row r="371" spans="1:6">
      <c r="A371" s="221" t="s">
        <v>1060</v>
      </c>
      <c r="B371" s="221">
        <v>5.6022371735333898E+18</v>
      </c>
      <c r="C371" s="221" t="s">
        <v>1175</v>
      </c>
      <c r="D371" s="221" t="s">
        <v>2513</v>
      </c>
      <c r="E371" s="160">
        <v>42304</v>
      </c>
      <c r="F371" s="221" t="s">
        <v>2512</v>
      </c>
    </row>
    <row r="372" spans="1:6">
      <c r="A372" s="221" t="s">
        <v>1105</v>
      </c>
      <c r="B372" s="221">
        <v>3586801249956930</v>
      </c>
      <c r="C372" s="221" t="s">
        <v>869</v>
      </c>
      <c r="D372" s="221" t="s">
        <v>2511</v>
      </c>
      <c r="E372" s="160">
        <v>42292</v>
      </c>
      <c r="F372" s="221" t="s">
        <v>2510</v>
      </c>
    </row>
    <row r="373" spans="1:6">
      <c r="A373" s="221" t="s">
        <v>1750</v>
      </c>
      <c r="B373" s="221">
        <v>30292325120894</v>
      </c>
      <c r="C373" s="221" t="s">
        <v>1855</v>
      </c>
      <c r="D373" s="221" t="s">
        <v>2509</v>
      </c>
      <c r="E373" s="160">
        <v>42180</v>
      </c>
      <c r="F373" s="221" t="s">
        <v>2508</v>
      </c>
    </row>
    <row r="374" spans="1:6">
      <c r="A374" s="221" t="s">
        <v>2507</v>
      </c>
      <c r="B374" s="221">
        <v>3540498127500710</v>
      </c>
      <c r="C374" s="221" t="s">
        <v>1586</v>
      </c>
      <c r="D374" s="221" t="s">
        <v>2506</v>
      </c>
      <c r="E374" s="160">
        <v>42128</v>
      </c>
      <c r="F374" s="221" t="s">
        <v>2505</v>
      </c>
    </row>
    <row r="375" spans="1:6">
      <c r="A375" s="221" t="s">
        <v>2504</v>
      </c>
      <c r="B375" s="221">
        <v>3584097114373840</v>
      </c>
      <c r="C375" s="221" t="s">
        <v>798</v>
      </c>
      <c r="D375" s="221" t="s">
        <v>2503</v>
      </c>
      <c r="E375" s="160">
        <v>42428</v>
      </c>
      <c r="F375" s="221" t="s">
        <v>2502</v>
      </c>
    </row>
    <row r="376" spans="1:6">
      <c r="A376" s="221" t="s">
        <v>2064</v>
      </c>
      <c r="B376" s="221">
        <v>30336956225694</v>
      </c>
      <c r="C376" s="221" t="s">
        <v>2322</v>
      </c>
      <c r="D376" s="221" t="s">
        <v>2501</v>
      </c>
      <c r="E376" s="160">
        <v>42415</v>
      </c>
      <c r="F376" s="221" t="s">
        <v>2500</v>
      </c>
    </row>
    <row r="377" spans="1:6">
      <c r="A377" s="221" t="s">
        <v>2061</v>
      </c>
      <c r="B377" s="221">
        <v>5.6022577900497797E+18</v>
      </c>
      <c r="C377" s="221" t="s">
        <v>837</v>
      </c>
      <c r="D377" s="221" t="s">
        <v>2499</v>
      </c>
      <c r="E377" s="160">
        <v>42290</v>
      </c>
      <c r="F377" s="221" t="s">
        <v>2498</v>
      </c>
    </row>
    <row r="378" spans="1:6">
      <c r="A378" s="221" t="s">
        <v>1401</v>
      </c>
      <c r="B378" s="221">
        <v>3558328299235230</v>
      </c>
      <c r="C378" s="221" t="s">
        <v>1377</v>
      </c>
      <c r="D378" s="221" t="s">
        <v>2497</v>
      </c>
      <c r="E378" s="160">
        <v>42268</v>
      </c>
      <c r="F378" s="221" t="s">
        <v>2496</v>
      </c>
    </row>
    <row r="379" spans="1:6">
      <c r="A379" s="221" t="s">
        <v>2007</v>
      </c>
      <c r="B379" s="221">
        <v>5412870131059710</v>
      </c>
      <c r="C379" s="221" t="s">
        <v>910</v>
      </c>
      <c r="D379" s="221" t="s">
        <v>2495</v>
      </c>
      <c r="E379" s="160">
        <v>42430</v>
      </c>
      <c r="F379" s="221" t="s">
        <v>2494</v>
      </c>
    </row>
    <row r="380" spans="1:6">
      <c r="A380" s="221" t="s">
        <v>2147</v>
      </c>
      <c r="B380" s="221">
        <v>30284783866076</v>
      </c>
      <c r="C380" s="221" t="s">
        <v>346</v>
      </c>
      <c r="D380" s="221" t="s">
        <v>2493</v>
      </c>
      <c r="E380" s="160">
        <v>42281</v>
      </c>
      <c r="F380" s="221" t="s">
        <v>2492</v>
      </c>
    </row>
    <row r="381" spans="1:6">
      <c r="A381" s="221" t="s">
        <v>964</v>
      </c>
      <c r="B381" s="221">
        <v>3589820632067420</v>
      </c>
      <c r="C381" s="221" t="s">
        <v>1063</v>
      </c>
      <c r="D381" s="221" t="s">
        <v>2491</v>
      </c>
      <c r="E381" s="160">
        <v>42404</v>
      </c>
      <c r="F381" s="221" t="s">
        <v>2490</v>
      </c>
    </row>
    <row r="382" spans="1:6">
      <c r="A382" s="221" t="s">
        <v>1219</v>
      </c>
      <c r="B382" s="221">
        <v>4913798883030390</v>
      </c>
      <c r="C382" s="221" t="s">
        <v>1059</v>
      </c>
      <c r="D382" s="221" t="s">
        <v>2489</v>
      </c>
      <c r="E382" s="160">
        <v>42138</v>
      </c>
      <c r="F382" s="221" t="s">
        <v>2488</v>
      </c>
    </row>
    <row r="383" spans="1:6">
      <c r="A383" s="221" t="s">
        <v>1200</v>
      </c>
      <c r="B383" s="221">
        <v>374288588626365</v>
      </c>
      <c r="C383" s="221" t="s">
        <v>591</v>
      </c>
      <c r="D383" s="221" t="s">
        <v>2487</v>
      </c>
      <c r="E383" s="160">
        <v>42172</v>
      </c>
      <c r="F383" s="221" t="s">
        <v>2486</v>
      </c>
    </row>
    <row r="384" spans="1:6">
      <c r="A384" s="221" t="s">
        <v>1537</v>
      </c>
      <c r="B384" s="221">
        <v>3559004246271160</v>
      </c>
      <c r="C384" s="221" t="s">
        <v>1940</v>
      </c>
      <c r="D384" s="221" t="s">
        <v>2485</v>
      </c>
      <c r="E384" s="160">
        <v>42150</v>
      </c>
      <c r="F384" s="221" t="s">
        <v>2484</v>
      </c>
    </row>
    <row r="385" spans="1:6">
      <c r="A385" s="221" t="s">
        <v>1284</v>
      </c>
      <c r="B385" s="221">
        <v>3585103156864080</v>
      </c>
      <c r="C385" s="221" t="s">
        <v>1310</v>
      </c>
      <c r="D385" s="221" t="s">
        <v>2483</v>
      </c>
      <c r="E385" s="160">
        <v>42130</v>
      </c>
      <c r="F385" s="221" t="s">
        <v>2482</v>
      </c>
    </row>
    <row r="386" spans="1:6">
      <c r="A386" s="221" t="s">
        <v>1183</v>
      </c>
      <c r="B386" s="221">
        <v>5.6022120121489E+16</v>
      </c>
      <c r="C386" s="221" t="s">
        <v>1026</v>
      </c>
      <c r="D386" s="221" t="s">
        <v>2481</v>
      </c>
      <c r="E386" s="160">
        <v>42288</v>
      </c>
      <c r="F386" s="221" t="s">
        <v>2480</v>
      </c>
    </row>
    <row r="387" spans="1:6">
      <c r="A387" s="221" t="s">
        <v>2479</v>
      </c>
      <c r="B387" s="221">
        <v>5100173166471300</v>
      </c>
      <c r="C387" s="221" t="s">
        <v>960</v>
      </c>
      <c r="D387" s="221" t="s">
        <v>2478</v>
      </c>
      <c r="E387" s="160">
        <v>42215</v>
      </c>
      <c r="F387" s="221" t="s">
        <v>2477</v>
      </c>
    </row>
    <row r="388" spans="1:6">
      <c r="A388" s="221" t="s">
        <v>2476</v>
      </c>
      <c r="B388" s="221">
        <v>3569977519539740</v>
      </c>
      <c r="C388" s="221" t="s">
        <v>841</v>
      </c>
      <c r="D388" s="221" t="s">
        <v>2475</v>
      </c>
      <c r="E388" s="160">
        <v>42403</v>
      </c>
      <c r="F388" s="221" t="s">
        <v>2474</v>
      </c>
    </row>
    <row r="389" spans="1:6">
      <c r="A389" s="221" t="s">
        <v>2473</v>
      </c>
      <c r="B389" s="221">
        <v>3574354791518820</v>
      </c>
      <c r="C389" s="221" t="s">
        <v>2472</v>
      </c>
      <c r="D389" s="221" t="s">
        <v>2471</v>
      </c>
      <c r="E389" s="160">
        <v>42234</v>
      </c>
      <c r="F389" s="221" t="s">
        <v>2470</v>
      </c>
    </row>
    <row r="390" spans="1:6">
      <c r="A390" s="221" t="s">
        <v>1778</v>
      </c>
      <c r="B390" s="221">
        <v>30059392176863</v>
      </c>
      <c r="C390" s="221" t="s">
        <v>1416</v>
      </c>
      <c r="D390" s="221" t="s">
        <v>2469</v>
      </c>
      <c r="E390" s="160">
        <v>42461</v>
      </c>
      <c r="F390" s="221" t="s">
        <v>2468</v>
      </c>
    </row>
    <row r="391" spans="1:6">
      <c r="A391" s="221" t="s">
        <v>1149</v>
      </c>
      <c r="B391" s="221">
        <v>30135834024810</v>
      </c>
      <c r="C391" s="221" t="s">
        <v>1123</v>
      </c>
      <c r="D391" s="221" t="s">
        <v>2467</v>
      </c>
      <c r="E391" s="160">
        <v>42417</v>
      </c>
      <c r="F391" s="221" t="s">
        <v>2466</v>
      </c>
    </row>
    <row r="392" spans="1:6">
      <c r="A392" s="221" t="s">
        <v>2465</v>
      </c>
      <c r="B392" s="221">
        <v>4175006106380740</v>
      </c>
      <c r="C392" s="221" t="s">
        <v>999</v>
      </c>
      <c r="D392" s="221" t="s">
        <v>2464</v>
      </c>
      <c r="E392" s="160">
        <v>42452</v>
      </c>
      <c r="F392" s="221" t="s">
        <v>1917</v>
      </c>
    </row>
    <row r="393" spans="1:6">
      <c r="A393" s="221" t="s">
        <v>1454</v>
      </c>
      <c r="B393" s="221">
        <v>5610829369905440</v>
      </c>
      <c r="C393" s="221" t="s">
        <v>1382</v>
      </c>
      <c r="D393" s="221" t="s">
        <v>2463</v>
      </c>
      <c r="E393" s="160">
        <v>42432</v>
      </c>
      <c r="F393" s="221" t="s">
        <v>2462</v>
      </c>
    </row>
    <row r="394" spans="1:6">
      <c r="A394" s="221" t="s">
        <v>1303</v>
      </c>
      <c r="B394" s="221">
        <v>5.0205550265387E+16</v>
      </c>
      <c r="C394" s="221" t="s">
        <v>346</v>
      </c>
      <c r="D394" s="221" t="s">
        <v>2461</v>
      </c>
      <c r="E394" s="160">
        <v>42271</v>
      </c>
      <c r="F394" s="221" t="s">
        <v>2460</v>
      </c>
    </row>
    <row r="395" spans="1:6">
      <c r="A395" s="221" t="s">
        <v>1725</v>
      </c>
      <c r="B395" s="221">
        <v>5.0207332752844698E+18</v>
      </c>
      <c r="C395" s="221" t="s">
        <v>1424</v>
      </c>
      <c r="D395" s="221" t="s">
        <v>2459</v>
      </c>
      <c r="E395" s="160">
        <v>42402</v>
      </c>
      <c r="F395" s="221" t="s">
        <v>2458</v>
      </c>
    </row>
    <row r="396" spans="1:6">
      <c r="A396" s="221" t="s">
        <v>2457</v>
      </c>
      <c r="B396" s="221">
        <v>3557860823566430</v>
      </c>
      <c r="C396" s="221" t="s">
        <v>1508</v>
      </c>
      <c r="D396" s="221" t="s">
        <v>2456</v>
      </c>
      <c r="E396" s="160">
        <v>42210</v>
      </c>
      <c r="F396" s="221" t="s">
        <v>2455</v>
      </c>
    </row>
    <row r="397" spans="1:6">
      <c r="A397" s="221" t="s">
        <v>846</v>
      </c>
      <c r="B397" s="221">
        <v>5602231706760230</v>
      </c>
      <c r="C397" s="221" t="s">
        <v>734</v>
      </c>
      <c r="D397" s="221" t="s">
        <v>2454</v>
      </c>
      <c r="E397" s="160">
        <v>42323</v>
      </c>
      <c r="F397" s="221" t="s">
        <v>2453</v>
      </c>
    </row>
    <row r="398" spans="1:6">
      <c r="A398" s="221" t="s">
        <v>2452</v>
      </c>
      <c r="B398" s="221">
        <v>3551673884790590</v>
      </c>
      <c r="C398" s="221" t="s">
        <v>895</v>
      </c>
      <c r="D398" s="221" t="s">
        <v>2451</v>
      </c>
      <c r="E398" s="160">
        <v>42249</v>
      </c>
      <c r="F398" s="221" t="s">
        <v>2450</v>
      </c>
    </row>
    <row r="399" spans="1:6">
      <c r="A399" s="221" t="s">
        <v>731</v>
      </c>
      <c r="B399" s="221">
        <v>5610593310563360</v>
      </c>
      <c r="C399" s="221" t="s">
        <v>746</v>
      </c>
      <c r="D399" s="221" t="s">
        <v>2449</v>
      </c>
      <c r="E399" s="160">
        <v>42203</v>
      </c>
      <c r="F399" s="221" t="s">
        <v>2448</v>
      </c>
    </row>
    <row r="400" spans="1:6">
      <c r="A400" s="221" t="s">
        <v>2084</v>
      </c>
      <c r="B400" s="221">
        <v>374288647825966</v>
      </c>
      <c r="C400" s="221" t="s">
        <v>2376</v>
      </c>
      <c r="D400" s="221" t="s">
        <v>2447</v>
      </c>
      <c r="E400" s="160">
        <v>42142</v>
      </c>
      <c r="F400" s="221" t="s">
        <v>2446</v>
      </c>
    </row>
    <row r="401" spans="1:6">
      <c r="A401" s="221" t="s">
        <v>1972</v>
      </c>
      <c r="B401" s="221">
        <v>3556102940730010</v>
      </c>
      <c r="C401" s="221" t="s">
        <v>895</v>
      </c>
      <c r="D401" s="221" t="s">
        <v>2445</v>
      </c>
      <c r="E401" s="160">
        <v>42390</v>
      </c>
      <c r="F401" s="221" t="s">
        <v>2444</v>
      </c>
    </row>
    <row r="402" spans="1:6">
      <c r="A402" s="221" t="s">
        <v>2443</v>
      </c>
      <c r="B402" s="221">
        <v>201860180287975</v>
      </c>
      <c r="C402" s="221" t="s">
        <v>802</v>
      </c>
      <c r="D402" s="221" t="s">
        <v>2442</v>
      </c>
      <c r="E402" s="160">
        <v>42428</v>
      </c>
      <c r="F402" s="221" t="s">
        <v>2441</v>
      </c>
    </row>
    <row r="403" spans="1:6">
      <c r="A403" s="221" t="s">
        <v>771</v>
      </c>
      <c r="B403" s="221">
        <v>6.7628004887793E+16</v>
      </c>
      <c r="C403" s="221" t="s">
        <v>2440</v>
      </c>
      <c r="D403" s="221" t="s">
        <v>2439</v>
      </c>
      <c r="E403" s="160">
        <v>42430</v>
      </c>
      <c r="F403" s="221" t="s">
        <v>2438</v>
      </c>
    </row>
    <row r="404" spans="1:6">
      <c r="A404" s="221" t="s">
        <v>1350</v>
      </c>
      <c r="B404" s="221">
        <v>3552899909854090</v>
      </c>
      <c r="C404" s="221" t="s">
        <v>861</v>
      </c>
      <c r="D404" s="221" t="s">
        <v>2437</v>
      </c>
      <c r="E404" s="160">
        <v>42218</v>
      </c>
      <c r="F404" s="221" t="s">
        <v>2436</v>
      </c>
    </row>
    <row r="405" spans="1:6">
      <c r="A405" s="221" t="s">
        <v>1192</v>
      </c>
      <c r="B405" s="221">
        <v>3547998063254480</v>
      </c>
      <c r="C405" s="221" t="s">
        <v>1356</v>
      </c>
      <c r="D405" s="221" t="s">
        <v>2435</v>
      </c>
      <c r="E405" s="160">
        <v>42222</v>
      </c>
      <c r="F405" s="221" t="s">
        <v>2434</v>
      </c>
    </row>
    <row r="406" spans="1:6">
      <c r="A406" s="221" t="s">
        <v>942</v>
      </c>
      <c r="B406" s="221">
        <v>5007666839692220</v>
      </c>
      <c r="C406" s="221" t="s">
        <v>1739</v>
      </c>
      <c r="D406" s="221" t="s">
        <v>2433</v>
      </c>
      <c r="E406" s="160">
        <v>42309</v>
      </c>
      <c r="F406" s="221" t="s">
        <v>2432</v>
      </c>
    </row>
    <row r="407" spans="1:6">
      <c r="A407" s="221" t="s">
        <v>1650</v>
      </c>
      <c r="B407" s="221">
        <v>3569056074217390</v>
      </c>
      <c r="C407" s="221" t="s">
        <v>2274</v>
      </c>
      <c r="D407" s="221" t="s">
        <v>2431</v>
      </c>
      <c r="E407" s="160">
        <v>42387</v>
      </c>
      <c r="F407" s="221" t="s">
        <v>2430</v>
      </c>
    </row>
    <row r="408" spans="1:6">
      <c r="A408" s="221" t="s">
        <v>2429</v>
      </c>
      <c r="B408" s="221">
        <v>5376389325070810</v>
      </c>
      <c r="C408" s="221" t="s">
        <v>841</v>
      </c>
      <c r="D408" s="221" t="s">
        <v>2428</v>
      </c>
      <c r="E408" s="160">
        <v>42460</v>
      </c>
      <c r="F408" s="221" t="s">
        <v>2427</v>
      </c>
    </row>
    <row r="409" spans="1:6">
      <c r="A409" s="221" t="s">
        <v>1733</v>
      </c>
      <c r="B409" s="221">
        <v>374622415838340</v>
      </c>
      <c r="C409" s="221" t="s">
        <v>2426</v>
      </c>
      <c r="D409" s="221" t="s">
        <v>2425</v>
      </c>
      <c r="E409" s="160">
        <v>42433</v>
      </c>
      <c r="F409" s="221" t="s">
        <v>2424</v>
      </c>
    </row>
    <row r="410" spans="1:6">
      <c r="A410" s="221" t="s">
        <v>1544</v>
      </c>
      <c r="B410" s="221">
        <v>3584524054330950</v>
      </c>
      <c r="C410" s="221" t="s">
        <v>960</v>
      </c>
      <c r="D410" s="221" t="s">
        <v>2423</v>
      </c>
      <c r="E410" s="160">
        <v>42455</v>
      </c>
      <c r="F410" s="221" t="s">
        <v>2422</v>
      </c>
    </row>
    <row r="411" spans="1:6">
      <c r="A411" s="221" t="s">
        <v>1711</v>
      </c>
      <c r="B411" s="221">
        <v>3563503231058380</v>
      </c>
      <c r="C411" s="221" t="s">
        <v>1669</v>
      </c>
      <c r="D411" s="221" t="s">
        <v>2421</v>
      </c>
      <c r="E411" s="160">
        <v>42429</v>
      </c>
      <c r="F411" s="221" t="s">
        <v>2420</v>
      </c>
    </row>
    <row r="412" spans="1:6">
      <c r="A412" s="221" t="s">
        <v>2419</v>
      </c>
      <c r="B412" s="221">
        <v>4405136024919060</v>
      </c>
      <c r="C412" s="221" t="s">
        <v>960</v>
      </c>
      <c r="D412" s="221" t="s">
        <v>2418</v>
      </c>
      <c r="E412" s="160">
        <v>42154</v>
      </c>
      <c r="F412" s="221" t="s">
        <v>2417</v>
      </c>
    </row>
    <row r="413" spans="1:6">
      <c r="A413" s="221" t="s">
        <v>1192</v>
      </c>
      <c r="B413" s="221">
        <v>6.7592857528165901E+17</v>
      </c>
      <c r="C413" s="221" t="s">
        <v>778</v>
      </c>
      <c r="D413" s="221" t="s">
        <v>2416</v>
      </c>
      <c r="E413" s="160">
        <v>42232</v>
      </c>
      <c r="F413" s="221" t="s">
        <v>2415</v>
      </c>
    </row>
    <row r="414" spans="1:6">
      <c r="A414" s="221" t="s">
        <v>735</v>
      </c>
      <c r="B414" s="221">
        <v>3557426108136780</v>
      </c>
      <c r="C414" s="221" t="s">
        <v>1055</v>
      </c>
      <c r="D414" s="221" t="s">
        <v>2414</v>
      </c>
      <c r="E414" s="160">
        <v>42219</v>
      </c>
      <c r="F414" s="221" t="s">
        <v>2413</v>
      </c>
    </row>
    <row r="415" spans="1:6">
      <c r="A415" s="221" t="s">
        <v>743</v>
      </c>
      <c r="B415" s="221">
        <v>30390629907147</v>
      </c>
      <c r="C415" s="221" t="s">
        <v>2412</v>
      </c>
      <c r="D415" s="221" t="s">
        <v>2411</v>
      </c>
      <c r="E415" s="160">
        <v>42358</v>
      </c>
      <c r="F415" s="221" t="s">
        <v>2410</v>
      </c>
    </row>
    <row r="416" spans="1:6">
      <c r="A416" s="221" t="s">
        <v>1598</v>
      </c>
      <c r="B416" s="221">
        <v>6.3046866068363504E+16</v>
      </c>
      <c r="C416" s="221" t="s">
        <v>2409</v>
      </c>
      <c r="D416" s="221" t="s">
        <v>2408</v>
      </c>
      <c r="E416" s="160">
        <v>42139</v>
      </c>
      <c r="F416" s="221" t="s">
        <v>2407</v>
      </c>
    </row>
    <row r="417" spans="1:6">
      <c r="A417" s="221" t="s">
        <v>2289</v>
      </c>
      <c r="B417" s="221">
        <v>6759945483009450</v>
      </c>
      <c r="C417" s="221" t="s">
        <v>1888</v>
      </c>
      <c r="D417" s="221" t="s">
        <v>2406</v>
      </c>
      <c r="E417" s="160">
        <v>42179</v>
      </c>
      <c r="F417" s="221" t="s">
        <v>2405</v>
      </c>
    </row>
    <row r="418" spans="1:6">
      <c r="A418" s="221" t="s">
        <v>2404</v>
      </c>
      <c r="B418" s="221">
        <v>6.0424092086282096E+16</v>
      </c>
      <c r="C418" s="221" t="s">
        <v>969</v>
      </c>
      <c r="D418" s="221" t="s">
        <v>2403</v>
      </c>
      <c r="E418" s="160">
        <v>42367</v>
      </c>
      <c r="F418" s="221" t="s">
        <v>2402</v>
      </c>
    </row>
    <row r="419" spans="1:6">
      <c r="A419" s="221" t="s">
        <v>2401</v>
      </c>
      <c r="B419" s="221">
        <v>3582797131241420</v>
      </c>
      <c r="C419" s="221" t="s">
        <v>825</v>
      </c>
      <c r="D419" s="221" t="s">
        <v>2400</v>
      </c>
      <c r="E419" s="160">
        <v>42432</v>
      </c>
      <c r="F419" s="221" t="s">
        <v>2399</v>
      </c>
    </row>
    <row r="420" spans="1:6">
      <c r="A420" s="221" t="s">
        <v>1357</v>
      </c>
      <c r="B420" s="221">
        <v>6304754511194740</v>
      </c>
      <c r="C420" s="221" t="s">
        <v>2398</v>
      </c>
      <c r="D420" s="221" t="s">
        <v>2397</v>
      </c>
      <c r="E420" s="160">
        <v>42403</v>
      </c>
      <c r="F420" s="221" t="s">
        <v>2396</v>
      </c>
    </row>
    <row r="421" spans="1:6">
      <c r="A421" s="221" t="s">
        <v>1856</v>
      </c>
      <c r="B421" s="221">
        <v>4405998576748680</v>
      </c>
      <c r="C421" s="221" t="s">
        <v>730</v>
      </c>
      <c r="D421" s="221" t="s">
        <v>2395</v>
      </c>
      <c r="E421" s="160">
        <v>42459</v>
      </c>
      <c r="F421" s="221" t="s">
        <v>2394</v>
      </c>
    </row>
    <row r="422" spans="1:6">
      <c r="A422" s="221" t="s">
        <v>1096</v>
      </c>
      <c r="B422" s="221">
        <v>3562636628549110</v>
      </c>
      <c r="C422" s="221" t="s">
        <v>1175</v>
      </c>
      <c r="D422" s="221" t="s">
        <v>2393</v>
      </c>
      <c r="E422" s="160">
        <v>42191</v>
      </c>
      <c r="F422" s="221" t="s">
        <v>2392</v>
      </c>
    </row>
    <row r="423" spans="1:6">
      <c r="A423" s="221" t="s">
        <v>1229</v>
      </c>
      <c r="B423" s="221">
        <v>5312597914401990</v>
      </c>
      <c r="C423" s="221" t="s">
        <v>1127</v>
      </c>
      <c r="D423" s="221" t="s">
        <v>2391</v>
      </c>
      <c r="E423" s="160">
        <v>42247</v>
      </c>
      <c r="F423" s="221" t="s">
        <v>2390</v>
      </c>
    </row>
    <row r="424" spans="1:6">
      <c r="A424" s="221" t="s">
        <v>1650</v>
      </c>
      <c r="B424" s="221">
        <v>3565777696922060</v>
      </c>
      <c r="C424" s="221" t="s">
        <v>1218</v>
      </c>
      <c r="D424" s="221" t="s">
        <v>2389</v>
      </c>
      <c r="E424" s="160">
        <v>42417</v>
      </c>
      <c r="F424" s="221" t="s">
        <v>1325</v>
      </c>
    </row>
    <row r="425" spans="1:6">
      <c r="A425" s="221" t="s">
        <v>1192</v>
      </c>
      <c r="B425" s="221">
        <v>5602211336654770</v>
      </c>
      <c r="C425" s="221" t="s">
        <v>1424</v>
      </c>
      <c r="D425" s="221" t="s">
        <v>2388</v>
      </c>
      <c r="E425" s="160">
        <v>42217</v>
      </c>
      <c r="F425" s="221" t="s">
        <v>2387</v>
      </c>
    </row>
    <row r="426" spans="1:6">
      <c r="A426" s="221" t="s">
        <v>964</v>
      </c>
      <c r="B426" s="221">
        <v>6384013879585060</v>
      </c>
      <c r="C426" s="221" t="s">
        <v>778</v>
      </c>
      <c r="D426" s="221" t="s">
        <v>2386</v>
      </c>
      <c r="E426" s="160">
        <v>42228</v>
      </c>
      <c r="F426" s="221" t="s">
        <v>2385</v>
      </c>
    </row>
    <row r="427" spans="1:6">
      <c r="A427" s="221" t="s">
        <v>1627</v>
      </c>
      <c r="B427" s="221">
        <v>3530956574971550</v>
      </c>
      <c r="C427" s="221" t="s">
        <v>1116</v>
      </c>
      <c r="D427" s="221" t="s">
        <v>2384</v>
      </c>
      <c r="E427" s="160">
        <v>42407</v>
      </c>
      <c r="F427" s="221" t="s">
        <v>2383</v>
      </c>
    </row>
    <row r="428" spans="1:6">
      <c r="A428" s="221" t="s">
        <v>1233</v>
      </c>
      <c r="B428" s="221">
        <v>5641825154633680</v>
      </c>
      <c r="C428" s="221" t="s">
        <v>887</v>
      </c>
      <c r="D428" s="221" t="s">
        <v>2382</v>
      </c>
      <c r="E428" s="160">
        <v>42151</v>
      </c>
      <c r="F428" s="221" t="s">
        <v>2381</v>
      </c>
    </row>
    <row r="429" spans="1:6">
      <c r="A429" s="221" t="s">
        <v>2122</v>
      </c>
      <c r="B429" s="221">
        <v>6.3045647576417997E+17</v>
      </c>
      <c r="C429" s="221" t="s">
        <v>2380</v>
      </c>
      <c r="D429" s="221" t="s">
        <v>2379</v>
      </c>
      <c r="E429" s="160">
        <v>42290</v>
      </c>
      <c r="F429" s="221" t="s">
        <v>2378</v>
      </c>
    </row>
    <row r="430" spans="1:6">
      <c r="A430" s="221" t="s">
        <v>2377</v>
      </c>
      <c r="B430" s="221">
        <v>3552981102634440</v>
      </c>
      <c r="C430" s="221" t="s">
        <v>2376</v>
      </c>
      <c r="D430" s="221" t="s">
        <v>2375</v>
      </c>
      <c r="E430" s="160">
        <v>42304</v>
      </c>
      <c r="F430" s="221" t="s">
        <v>2374</v>
      </c>
    </row>
    <row r="431" spans="1:6">
      <c r="A431" s="221" t="s">
        <v>2041</v>
      </c>
      <c r="B431" s="221">
        <v>5100170151670420</v>
      </c>
      <c r="C431" s="221" t="s">
        <v>1753</v>
      </c>
      <c r="D431" s="221" t="s">
        <v>2373</v>
      </c>
      <c r="E431" s="160">
        <v>42154</v>
      </c>
      <c r="F431" s="221" t="s">
        <v>2372</v>
      </c>
    </row>
    <row r="432" spans="1:6">
      <c r="A432" s="221" t="s">
        <v>1247</v>
      </c>
      <c r="B432" s="221">
        <v>6.3311039433112003E+18</v>
      </c>
      <c r="C432" s="221" t="s">
        <v>346</v>
      </c>
      <c r="D432" s="221" t="s">
        <v>2371</v>
      </c>
      <c r="E432" s="160">
        <v>42297</v>
      </c>
      <c r="F432" s="221" t="s">
        <v>2370</v>
      </c>
    </row>
    <row r="433" spans="1:6">
      <c r="A433" s="221" t="s">
        <v>2020</v>
      </c>
      <c r="B433" s="221">
        <v>6334059237818480</v>
      </c>
      <c r="C433" s="221" t="s">
        <v>591</v>
      </c>
      <c r="D433" s="221" t="s">
        <v>2369</v>
      </c>
      <c r="E433" s="160">
        <v>42144</v>
      </c>
      <c r="F433" s="221" t="s">
        <v>2368</v>
      </c>
    </row>
    <row r="434" spans="1:6">
      <c r="A434" s="221" t="s">
        <v>964</v>
      </c>
      <c r="B434" s="221">
        <v>3531456081990670</v>
      </c>
      <c r="C434" s="221" t="s">
        <v>1777</v>
      </c>
      <c r="D434" s="221" t="s">
        <v>2367</v>
      </c>
      <c r="E434" s="160">
        <v>42219</v>
      </c>
      <c r="F434" s="221" t="s">
        <v>2366</v>
      </c>
    </row>
    <row r="435" spans="1:6">
      <c r="A435" s="221" t="s">
        <v>787</v>
      </c>
      <c r="B435" s="221">
        <v>5602213015443380</v>
      </c>
      <c r="C435" s="221" t="s">
        <v>1597</v>
      </c>
      <c r="D435" s="221" t="s">
        <v>2365</v>
      </c>
      <c r="E435" s="160">
        <v>42387</v>
      </c>
      <c r="F435" s="221" t="s">
        <v>2364</v>
      </c>
    </row>
    <row r="436" spans="1:6">
      <c r="A436" s="221" t="s">
        <v>892</v>
      </c>
      <c r="B436" s="221">
        <v>3563995796824440</v>
      </c>
      <c r="C436" s="221" t="s">
        <v>1732</v>
      </c>
      <c r="D436" s="221" t="s">
        <v>2363</v>
      </c>
      <c r="E436" s="160">
        <v>42398</v>
      </c>
      <c r="F436" s="221" t="s">
        <v>2362</v>
      </c>
    </row>
    <row r="437" spans="1:6">
      <c r="A437" s="221" t="s">
        <v>1873</v>
      </c>
      <c r="B437" s="221">
        <v>3584149561415510</v>
      </c>
      <c r="C437" s="221" t="s">
        <v>1487</v>
      </c>
      <c r="D437" s="221" t="s">
        <v>2361</v>
      </c>
      <c r="E437" s="160">
        <v>42430</v>
      </c>
      <c r="F437" s="221" t="s">
        <v>2360</v>
      </c>
    </row>
    <row r="438" spans="1:6">
      <c r="A438" s="221" t="s">
        <v>982</v>
      </c>
      <c r="B438" s="221">
        <v>3577422513052830</v>
      </c>
      <c r="C438" s="221" t="s">
        <v>2359</v>
      </c>
      <c r="D438" s="221" t="s">
        <v>2358</v>
      </c>
      <c r="E438" s="160">
        <v>42354</v>
      </c>
      <c r="F438" s="221" t="s">
        <v>2357</v>
      </c>
    </row>
    <row r="439" spans="1:6">
      <c r="A439" s="221" t="s">
        <v>2356</v>
      </c>
      <c r="B439" s="221">
        <v>349259150548248</v>
      </c>
      <c r="C439" s="221" t="s">
        <v>1099</v>
      </c>
      <c r="D439" s="221" t="s">
        <v>2355</v>
      </c>
      <c r="E439" s="160">
        <v>42174</v>
      </c>
      <c r="F439" s="221" t="s">
        <v>2354</v>
      </c>
    </row>
    <row r="440" spans="1:6">
      <c r="A440" s="221" t="s">
        <v>2353</v>
      </c>
      <c r="B440" s="221">
        <v>5100138324351450</v>
      </c>
      <c r="C440" s="221" t="s">
        <v>1051</v>
      </c>
      <c r="D440" s="221" t="s">
        <v>2352</v>
      </c>
      <c r="E440" s="160">
        <v>42180</v>
      </c>
      <c r="F440" s="221" t="s">
        <v>2351</v>
      </c>
    </row>
    <row r="441" spans="1:6">
      <c r="A441" s="221" t="s">
        <v>1627</v>
      </c>
      <c r="B441" s="221">
        <v>5.6022121301904E+16</v>
      </c>
      <c r="C441" s="221" t="s">
        <v>1116</v>
      </c>
      <c r="D441" s="221" t="s">
        <v>2350</v>
      </c>
      <c r="E441" s="160">
        <v>42177</v>
      </c>
      <c r="F441" s="221" t="s">
        <v>2349</v>
      </c>
    </row>
    <row r="442" spans="1:6">
      <c r="A442" s="221" t="s">
        <v>1037</v>
      </c>
      <c r="B442" s="221">
        <v>3583568807900390</v>
      </c>
      <c r="C442" s="221" t="s">
        <v>829</v>
      </c>
      <c r="D442" s="221" t="s">
        <v>2348</v>
      </c>
      <c r="E442" s="160">
        <v>42319</v>
      </c>
      <c r="F442" s="221" t="s">
        <v>2347</v>
      </c>
    </row>
    <row r="443" spans="1:6">
      <c r="A443" s="221" t="s">
        <v>2346</v>
      </c>
      <c r="B443" s="221">
        <v>6382848814991680</v>
      </c>
      <c r="C443" s="221" t="s">
        <v>914</v>
      </c>
      <c r="D443" s="221" t="s">
        <v>2345</v>
      </c>
      <c r="E443" s="160">
        <v>42322</v>
      </c>
      <c r="F443" s="221" t="s">
        <v>2344</v>
      </c>
    </row>
    <row r="444" spans="1:6">
      <c r="A444" s="221" t="s">
        <v>896</v>
      </c>
      <c r="B444" s="221">
        <v>3554894948174330</v>
      </c>
      <c r="C444" s="221" t="s">
        <v>754</v>
      </c>
      <c r="D444" s="221" t="s">
        <v>2343</v>
      </c>
      <c r="E444" s="160">
        <v>42318</v>
      </c>
      <c r="F444" s="221" t="s">
        <v>2342</v>
      </c>
    </row>
    <row r="445" spans="1:6">
      <c r="A445" s="221" t="s">
        <v>1880</v>
      </c>
      <c r="B445" s="221">
        <v>3534273758845070</v>
      </c>
      <c r="C445" s="221" t="s">
        <v>1356</v>
      </c>
      <c r="D445" s="221" t="s">
        <v>2341</v>
      </c>
      <c r="E445" s="160">
        <v>42331</v>
      </c>
      <c r="F445" s="221" t="s">
        <v>2340</v>
      </c>
    </row>
    <row r="446" spans="1:6">
      <c r="A446" s="221" t="s">
        <v>1168</v>
      </c>
      <c r="B446" s="221">
        <v>6.7612378131936102E+18</v>
      </c>
      <c r="C446" s="221" t="s">
        <v>1777</v>
      </c>
      <c r="D446" s="221" t="s">
        <v>2339</v>
      </c>
      <c r="E446" s="160">
        <v>42359</v>
      </c>
      <c r="F446" s="221" t="s">
        <v>2338</v>
      </c>
    </row>
    <row r="447" spans="1:6">
      <c r="A447" s="221" t="s">
        <v>1526</v>
      </c>
      <c r="B447" s="221">
        <v>5610955409308150</v>
      </c>
      <c r="C447" s="221" t="s">
        <v>1088</v>
      </c>
      <c r="D447" s="221" t="s">
        <v>2337</v>
      </c>
      <c r="E447" s="160">
        <v>42390</v>
      </c>
      <c r="F447" s="221" t="s">
        <v>2336</v>
      </c>
    </row>
    <row r="448" spans="1:6">
      <c r="A448" s="221" t="s">
        <v>2157</v>
      </c>
      <c r="B448" s="221">
        <v>3577432501169610</v>
      </c>
      <c r="C448" s="221" t="s">
        <v>2300</v>
      </c>
      <c r="D448" s="221" t="s">
        <v>2335</v>
      </c>
      <c r="E448" s="160">
        <v>42396</v>
      </c>
      <c r="F448" s="221" t="s">
        <v>2334</v>
      </c>
    </row>
    <row r="449" spans="1:6">
      <c r="A449" s="221" t="s">
        <v>1451</v>
      </c>
      <c r="B449" s="221">
        <v>6.75970343681248E+17</v>
      </c>
      <c r="C449" s="221" t="s">
        <v>802</v>
      </c>
      <c r="D449" s="221" t="s">
        <v>2333</v>
      </c>
      <c r="E449" s="160">
        <v>42393</v>
      </c>
      <c r="F449" s="221" t="s">
        <v>2332</v>
      </c>
    </row>
    <row r="450" spans="1:6">
      <c r="A450" s="221" t="s">
        <v>2331</v>
      </c>
      <c r="B450" s="221">
        <v>3585237494023290</v>
      </c>
      <c r="C450" s="221" t="s">
        <v>941</v>
      </c>
      <c r="D450" s="221" t="s">
        <v>2330</v>
      </c>
      <c r="E450" s="160">
        <v>42136</v>
      </c>
      <c r="F450" s="221" t="s">
        <v>2329</v>
      </c>
    </row>
    <row r="451" spans="1:6">
      <c r="A451" s="221" t="s">
        <v>1176</v>
      </c>
      <c r="B451" s="221">
        <v>3588354156359660</v>
      </c>
      <c r="C451" s="221" t="s">
        <v>2187</v>
      </c>
      <c r="D451" s="221" t="s">
        <v>2328</v>
      </c>
      <c r="E451" s="160">
        <v>42378</v>
      </c>
      <c r="F451" s="221" t="s">
        <v>2327</v>
      </c>
    </row>
    <row r="452" spans="1:6">
      <c r="A452" s="221" t="s">
        <v>1451</v>
      </c>
      <c r="B452" s="221">
        <v>3537639987050000</v>
      </c>
      <c r="C452" s="221" t="s">
        <v>219</v>
      </c>
      <c r="D452" s="221" t="s">
        <v>2326</v>
      </c>
      <c r="E452" s="160">
        <v>42338</v>
      </c>
      <c r="F452" s="221" t="s">
        <v>2325</v>
      </c>
    </row>
    <row r="453" spans="1:6">
      <c r="A453" s="221" t="s">
        <v>791</v>
      </c>
      <c r="B453" s="221">
        <v>3547959077554030</v>
      </c>
      <c r="C453" s="221" t="s">
        <v>1879</v>
      </c>
      <c r="D453" s="221" t="s">
        <v>2324</v>
      </c>
      <c r="E453" s="160">
        <v>42194</v>
      </c>
      <c r="F453" s="221" t="s">
        <v>2323</v>
      </c>
    </row>
    <row r="454" spans="1:6">
      <c r="A454" s="221" t="s">
        <v>1374</v>
      </c>
      <c r="B454" s="221">
        <v>3560321625236990</v>
      </c>
      <c r="C454" s="221" t="s">
        <v>2322</v>
      </c>
      <c r="D454" s="221" t="s">
        <v>2321</v>
      </c>
      <c r="E454" s="160">
        <v>42424</v>
      </c>
      <c r="F454" s="221" t="s">
        <v>2320</v>
      </c>
    </row>
    <row r="455" spans="1:6">
      <c r="A455" s="221" t="s">
        <v>1364</v>
      </c>
      <c r="B455" s="221">
        <v>5411050041960720</v>
      </c>
      <c r="C455" s="221" t="s">
        <v>906</v>
      </c>
      <c r="D455" s="221" t="s">
        <v>2319</v>
      </c>
      <c r="E455" s="160">
        <v>42237</v>
      </c>
      <c r="F455" s="221" t="s">
        <v>2318</v>
      </c>
    </row>
    <row r="456" spans="1:6">
      <c r="A456" s="221" t="s">
        <v>2317</v>
      </c>
      <c r="B456" s="221">
        <v>3567124872646970</v>
      </c>
      <c r="C456" s="221" t="s">
        <v>849</v>
      </c>
      <c r="D456" s="221" t="s">
        <v>2316</v>
      </c>
      <c r="E456" s="160">
        <v>42348</v>
      </c>
      <c r="F456" s="221" t="s">
        <v>2315</v>
      </c>
    </row>
    <row r="457" spans="1:6">
      <c r="A457" s="221" t="s">
        <v>2314</v>
      </c>
      <c r="B457" s="221">
        <v>372301693286645</v>
      </c>
      <c r="C457" s="221" t="s">
        <v>2313</v>
      </c>
      <c r="D457" s="221" t="s">
        <v>2312</v>
      </c>
      <c r="E457" s="160">
        <v>42210</v>
      </c>
      <c r="F457" s="221" t="s">
        <v>2311</v>
      </c>
    </row>
    <row r="458" spans="1:6">
      <c r="A458" s="221" t="s">
        <v>1293</v>
      </c>
      <c r="B458" s="221">
        <v>3546431176484580</v>
      </c>
      <c r="C458" s="221" t="s">
        <v>995</v>
      </c>
      <c r="D458" s="221" t="s">
        <v>2310</v>
      </c>
      <c r="E458" s="160">
        <v>42130</v>
      </c>
      <c r="F458" s="221" t="s">
        <v>2309</v>
      </c>
    </row>
    <row r="459" spans="1:6">
      <c r="A459" s="221" t="s">
        <v>1624</v>
      </c>
      <c r="B459" s="221">
        <v>3530845252726920</v>
      </c>
      <c r="C459" s="221" t="s">
        <v>1695</v>
      </c>
      <c r="D459" s="221" t="s">
        <v>2308</v>
      </c>
      <c r="E459" s="160">
        <v>42348</v>
      </c>
      <c r="F459" s="221" t="s">
        <v>2307</v>
      </c>
    </row>
    <row r="460" spans="1:6">
      <c r="A460" s="221" t="s">
        <v>884</v>
      </c>
      <c r="B460" s="221">
        <v>3554861040790440</v>
      </c>
      <c r="C460" s="221" t="s">
        <v>829</v>
      </c>
      <c r="D460" s="221" t="s">
        <v>2306</v>
      </c>
      <c r="E460" s="160">
        <v>42323</v>
      </c>
      <c r="F460" s="221" t="s">
        <v>2305</v>
      </c>
    </row>
    <row r="461" spans="1:6">
      <c r="A461" s="221" t="s">
        <v>771</v>
      </c>
      <c r="B461" s="221">
        <v>6.3311015187322798E+18</v>
      </c>
      <c r="C461" s="221" t="s">
        <v>1211</v>
      </c>
      <c r="D461" s="221" t="s">
        <v>2304</v>
      </c>
      <c r="E461" s="160">
        <v>42153</v>
      </c>
      <c r="F461" s="221" t="s">
        <v>2303</v>
      </c>
    </row>
    <row r="462" spans="1:6">
      <c r="A462" s="221" t="s">
        <v>866</v>
      </c>
      <c r="B462" s="221">
        <v>3546345119926500</v>
      </c>
      <c r="C462" s="221" t="s">
        <v>1947</v>
      </c>
      <c r="D462" s="221" t="s">
        <v>2302</v>
      </c>
      <c r="E462" s="160">
        <v>42452</v>
      </c>
      <c r="F462" s="221" t="s">
        <v>2301</v>
      </c>
    </row>
    <row r="463" spans="1:6">
      <c r="A463" s="221" t="s">
        <v>771</v>
      </c>
      <c r="B463" s="221">
        <v>3587025551579220</v>
      </c>
      <c r="C463" s="221" t="s">
        <v>2300</v>
      </c>
      <c r="D463" s="221" t="s">
        <v>2299</v>
      </c>
      <c r="E463" s="160">
        <v>42193</v>
      </c>
      <c r="F463" s="221" t="s">
        <v>2298</v>
      </c>
    </row>
    <row r="464" spans="1:6">
      <c r="A464" s="221" t="s">
        <v>2007</v>
      </c>
      <c r="B464" s="221">
        <v>6.7618976043966E+16</v>
      </c>
      <c r="C464" s="221" t="s">
        <v>1134</v>
      </c>
      <c r="D464" s="221" t="s">
        <v>2297</v>
      </c>
      <c r="E464" s="160">
        <v>42285</v>
      </c>
      <c r="F464" s="221" t="s">
        <v>2296</v>
      </c>
    </row>
    <row r="465" spans="1:6">
      <c r="A465" s="221" t="s">
        <v>1458</v>
      </c>
      <c r="B465" s="221">
        <v>4844582193696780</v>
      </c>
      <c r="C465" s="221" t="s">
        <v>1951</v>
      </c>
      <c r="D465" s="221" t="s">
        <v>2295</v>
      </c>
      <c r="E465" s="160">
        <v>42411</v>
      </c>
      <c r="F465" s="221" t="s">
        <v>2294</v>
      </c>
    </row>
    <row r="466" spans="1:6">
      <c r="A466" s="221" t="s">
        <v>930</v>
      </c>
      <c r="B466" s="221">
        <v>3557812679913530</v>
      </c>
      <c r="C466" s="221" t="s">
        <v>1464</v>
      </c>
      <c r="D466" s="221" t="s">
        <v>2293</v>
      </c>
      <c r="E466" s="160">
        <v>42440</v>
      </c>
      <c r="F466" s="221" t="s">
        <v>2292</v>
      </c>
    </row>
    <row r="467" spans="1:6">
      <c r="A467" s="221" t="s">
        <v>1870</v>
      </c>
      <c r="B467" s="221">
        <v>3547606560897330</v>
      </c>
      <c r="C467" s="221" t="s">
        <v>891</v>
      </c>
      <c r="D467" s="221" t="s">
        <v>2291</v>
      </c>
      <c r="E467" s="160">
        <v>42152</v>
      </c>
      <c r="F467" s="221" t="s">
        <v>2290</v>
      </c>
    </row>
    <row r="468" spans="1:6">
      <c r="A468" s="221" t="s">
        <v>2289</v>
      </c>
      <c r="B468" s="221">
        <v>30387716076448</v>
      </c>
      <c r="C468" s="221" t="s">
        <v>1928</v>
      </c>
      <c r="D468" s="221" t="s">
        <v>2288</v>
      </c>
      <c r="E468" s="160">
        <v>42165</v>
      </c>
      <c r="F468" s="221" t="s">
        <v>2287</v>
      </c>
    </row>
    <row r="469" spans="1:6">
      <c r="A469" s="221" t="s">
        <v>1894</v>
      </c>
      <c r="B469" s="221">
        <v>5100177446676610</v>
      </c>
      <c r="C469" s="221" t="s">
        <v>1080</v>
      </c>
      <c r="D469" s="221" t="s">
        <v>2286</v>
      </c>
      <c r="E469" s="160">
        <v>42452</v>
      </c>
      <c r="F469" s="221" t="s">
        <v>2285</v>
      </c>
    </row>
    <row r="470" spans="1:6">
      <c r="A470" s="221" t="s">
        <v>791</v>
      </c>
      <c r="B470" s="221">
        <v>3573761445196900</v>
      </c>
      <c r="C470" s="221" t="s">
        <v>770</v>
      </c>
      <c r="D470" s="221" t="s">
        <v>2284</v>
      </c>
      <c r="E470" s="160">
        <v>42446</v>
      </c>
      <c r="F470" s="221" t="s">
        <v>2283</v>
      </c>
    </row>
    <row r="471" spans="1:6">
      <c r="A471" s="221" t="s">
        <v>826</v>
      </c>
      <c r="B471" s="221">
        <v>3585862135957740</v>
      </c>
      <c r="C471" s="221" t="s">
        <v>1142</v>
      </c>
      <c r="D471" s="221" t="s">
        <v>2282</v>
      </c>
      <c r="E471" s="160">
        <v>42373</v>
      </c>
      <c r="F471" s="221" t="s">
        <v>2281</v>
      </c>
    </row>
    <row r="472" spans="1:6">
      <c r="A472" s="221" t="s">
        <v>1883</v>
      </c>
      <c r="B472" s="221">
        <v>6387907946504170</v>
      </c>
      <c r="C472" s="221" t="s">
        <v>1419</v>
      </c>
      <c r="D472" s="221" t="s">
        <v>2280</v>
      </c>
      <c r="E472" s="160">
        <v>42247</v>
      </c>
      <c r="F472" s="221" t="s">
        <v>2279</v>
      </c>
    </row>
    <row r="473" spans="1:6">
      <c r="A473" s="221" t="s">
        <v>1982</v>
      </c>
      <c r="B473" s="221">
        <v>5.0200547580907504E+16</v>
      </c>
      <c r="C473" s="221" t="s">
        <v>1732</v>
      </c>
      <c r="D473" s="221" t="s">
        <v>2278</v>
      </c>
      <c r="E473" s="160">
        <v>42118</v>
      </c>
      <c r="F473" s="221" t="s">
        <v>2277</v>
      </c>
    </row>
    <row r="474" spans="1:6">
      <c r="A474" s="221" t="s">
        <v>1139</v>
      </c>
      <c r="B474" s="221">
        <v>5602226056079460</v>
      </c>
      <c r="C474" s="221" t="s">
        <v>1099</v>
      </c>
      <c r="D474" s="221" t="s">
        <v>2276</v>
      </c>
      <c r="E474" s="160">
        <v>42263</v>
      </c>
      <c r="F474" s="221" t="s">
        <v>2275</v>
      </c>
    </row>
    <row r="475" spans="1:6">
      <c r="A475" s="221" t="s">
        <v>1335</v>
      </c>
      <c r="B475" s="221">
        <v>3557205056569480</v>
      </c>
      <c r="C475" s="221" t="s">
        <v>2274</v>
      </c>
      <c r="D475" s="221" t="s">
        <v>2273</v>
      </c>
      <c r="E475" s="160">
        <v>42323</v>
      </c>
      <c r="F475" s="221" t="s">
        <v>2272</v>
      </c>
    </row>
    <row r="476" spans="1:6">
      <c r="A476" s="221" t="s">
        <v>2025</v>
      </c>
      <c r="B476" s="221">
        <v>4017958162479250</v>
      </c>
      <c r="C476" s="221" t="s">
        <v>346</v>
      </c>
      <c r="D476" s="221" t="s">
        <v>2271</v>
      </c>
      <c r="E476" s="160">
        <v>42173</v>
      </c>
      <c r="F476" s="221" t="s">
        <v>2270</v>
      </c>
    </row>
    <row r="477" spans="1:6">
      <c r="A477" s="221" t="s">
        <v>2269</v>
      </c>
      <c r="B477" s="221">
        <v>4.9364201320989901E+17</v>
      </c>
      <c r="C477" s="221" t="s">
        <v>1688</v>
      </c>
      <c r="D477" s="221" t="s">
        <v>2268</v>
      </c>
      <c r="E477" s="160">
        <v>42129</v>
      </c>
      <c r="F477" s="221" t="s">
        <v>2267</v>
      </c>
    </row>
    <row r="478" spans="1:6">
      <c r="A478" s="221" t="s">
        <v>1619</v>
      </c>
      <c r="B478" s="221">
        <v>36373192513470</v>
      </c>
      <c r="C478" s="221" t="s">
        <v>1440</v>
      </c>
      <c r="D478" s="221" t="s">
        <v>2266</v>
      </c>
      <c r="E478" s="160">
        <v>42215</v>
      </c>
      <c r="F478" s="221" t="s">
        <v>2265</v>
      </c>
    </row>
    <row r="479" spans="1:6">
      <c r="A479" s="221" t="s">
        <v>1111</v>
      </c>
      <c r="B479" s="221">
        <v>30012142434074</v>
      </c>
      <c r="C479" s="221" t="s">
        <v>810</v>
      </c>
      <c r="D479" s="221" t="s">
        <v>2264</v>
      </c>
      <c r="E479" s="160">
        <v>42429</v>
      </c>
      <c r="F479" s="221" t="s">
        <v>2263</v>
      </c>
    </row>
    <row r="480" spans="1:6">
      <c r="A480" s="221" t="s">
        <v>1335</v>
      </c>
      <c r="B480" s="221">
        <v>5002358046816980</v>
      </c>
      <c r="C480" s="221" t="s">
        <v>1749</v>
      </c>
      <c r="D480" s="221" t="s">
        <v>2262</v>
      </c>
      <c r="E480" s="160">
        <v>42289</v>
      </c>
      <c r="F480" s="221" t="s">
        <v>2261</v>
      </c>
    </row>
    <row r="481" spans="1:6">
      <c r="A481" s="221" t="s">
        <v>1233</v>
      </c>
      <c r="B481" s="221">
        <v>3578524827717870</v>
      </c>
      <c r="C481" s="221" t="s">
        <v>969</v>
      </c>
      <c r="D481" s="221" t="s">
        <v>2260</v>
      </c>
      <c r="E481" s="160">
        <v>42390</v>
      </c>
      <c r="F481" s="221" t="s">
        <v>2259</v>
      </c>
    </row>
    <row r="482" spans="1:6">
      <c r="A482" s="221" t="s">
        <v>1303</v>
      </c>
      <c r="B482" s="221">
        <v>3582581311432490</v>
      </c>
      <c r="C482" s="221" t="s">
        <v>895</v>
      </c>
      <c r="D482" s="221" t="s">
        <v>2258</v>
      </c>
      <c r="E482" s="160">
        <v>42229</v>
      </c>
      <c r="F482" s="221" t="s">
        <v>2257</v>
      </c>
    </row>
    <row r="483" spans="1:6">
      <c r="A483" s="221" t="s">
        <v>1680</v>
      </c>
      <c r="B483" s="221">
        <v>4412679501349</v>
      </c>
      <c r="C483" s="221" t="s">
        <v>1142</v>
      </c>
      <c r="D483" s="221" t="s">
        <v>2256</v>
      </c>
      <c r="E483" s="160">
        <v>42146</v>
      </c>
      <c r="F483" s="221" t="s">
        <v>2255</v>
      </c>
    </row>
    <row r="484" spans="1:6">
      <c r="A484" s="221" t="s">
        <v>850</v>
      </c>
      <c r="B484" s="221">
        <v>5.60222291330317E+18</v>
      </c>
      <c r="C484" s="221" t="s">
        <v>786</v>
      </c>
      <c r="D484" s="221" t="s">
        <v>2254</v>
      </c>
      <c r="E484" s="160">
        <v>42394</v>
      </c>
      <c r="F484" s="221" t="s">
        <v>2253</v>
      </c>
    </row>
    <row r="485" spans="1:6">
      <c r="A485" s="221" t="s">
        <v>1060</v>
      </c>
      <c r="B485" s="221">
        <v>5602233084861040</v>
      </c>
      <c r="C485" s="221" t="s">
        <v>1500</v>
      </c>
      <c r="D485" s="221" t="s">
        <v>2252</v>
      </c>
      <c r="E485" s="160">
        <v>42324</v>
      </c>
      <c r="F485" s="221" t="s">
        <v>2251</v>
      </c>
    </row>
    <row r="486" spans="1:6">
      <c r="A486" s="221" t="s">
        <v>2020</v>
      </c>
      <c r="B486" s="221">
        <v>3534065139782010</v>
      </c>
      <c r="C486" s="221" t="s">
        <v>770</v>
      </c>
      <c r="D486" s="221" t="s">
        <v>2250</v>
      </c>
      <c r="E486" s="160">
        <v>42370</v>
      </c>
      <c r="F486" s="221" t="s">
        <v>2249</v>
      </c>
    </row>
    <row r="487" spans="1:6">
      <c r="A487" s="221" t="s">
        <v>953</v>
      </c>
      <c r="B487" s="221">
        <v>4835519472752</v>
      </c>
      <c r="C487" s="221" t="s">
        <v>1597</v>
      </c>
      <c r="D487" s="221" t="s">
        <v>2248</v>
      </c>
      <c r="E487" s="160">
        <v>42333</v>
      </c>
      <c r="F487" s="221" t="s">
        <v>2247</v>
      </c>
    </row>
    <row r="488" spans="1:6">
      <c r="A488" s="221" t="s">
        <v>1108</v>
      </c>
      <c r="B488" s="221">
        <v>5602253465991500</v>
      </c>
      <c r="C488" s="221" t="s">
        <v>1388</v>
      </c>
      <c r="D488" s="221" t="s">
        <v>2246</v>
      </c>
      <c r="E488" s="160">
        <v>42387</v>
      </c>
      <c r="F488" s="221" t="s">
        <v>2245</v>
      </c>
    </row>
    <row r="489" spans="1:6">
      <c r="A489" s="221" t="s">
        <v>1233</v>
      </c>
      <c r="B489" s="221">
        <v>3563230706109560</v>
      </c>
      <c r="C489" s="221" t="s">
        <v>1070</v>
      </c>
      <c r="D489" s="221" t="s">
        <v>2244</v>
      </c>
      <c r="E489" s="160">
        <v>42161</v>
      </c>
      <c r="F489" s="221" t="s">
        <v>2243</v>
      </c>
    </row>
    <row r="490" spans="1:6">
      <c r="A490" s="221" t="s">
        <v>2242</v>
      </c>
      <c r="B490" s="221">
        <v>5641821026550750</v>
      </c>
      <c r="C490" s="221" t="s">
        <v>1070</v>
      </c>
      <c r="D490" s="221" t="s">
        <v>2241</v>
      </c>
      <c r="E490" s="160">
        <v>42183</v>
      </c>
      <c r="F490" s="221" t="s">
        <v>2240</v>
      </c>
    </row>
    <row r="491" spans="1:6">
      <c r="A491" s="221" t="s">
        <v>1111</v>
      </c>
      <c r="B491" s="221">
        <v>4508041821507570</v>
      </c>
      <c r="C491" s="221" t="s">
        <v>1419</v>
      </c>
      <c r="D491" s="221" t="s">
        <v>2239</v>
      </c>
      <c r="E491" s="160">
        <v>42250</v>
      </c>
      <c r="F491" s="221" t="s">
        <v>2238</v>
      </c>
    </row>
    <row r="492" spans="1:6">
      <c r="A492" s="221" t="s">
        <v>2237</v>
      </c>
      <c r="B492" s="221">
        <v>4017954799072550</v>
      </c>
      <c r="C492" s="221" t="s">
        <v>978</v>
      </c>
      <c r="D492" s="221" t="s">
        <v>2236</v>
      </c>
      <c r="E492" s="160">
        <v>42349</v>
      </c>
      <c r="F492" s="221" t="s">
        <v>2235</v>
      </c>
    </row>
    <row r="493" spans="1:6">
      <c r="A493" s="221" t="s">
        <v>1212</v>
      </c>
      <c r="B493" s="221">
        <v>6.30498049658076E+16</v>
      </c>
      <c r="C493" s="221" t="s">
        <v>1940</v>
      </c>
      <c r="D493" s="221" t="s">
        <v>2234</v>
      </c>
      <c r="E493" s="160">
        <v>42386</v>
      </c>
      <c r="F493" s="221" t="s">
        <v>2233</v>
      </c>
    </row>
    <row r="494" spans="1:6">
      <c r="A494" s="221" t="s">
        <v>1995</v>
      </c>
      <c r="B494" s="221">
        <v>6.76311909915504E+16</v>
      </c>
      <c r="C494" s="221" t="s">
        <v>933</v>
      </c>
      <c r="D494" s="221" t="s">
        <v>2232</v>
      </c>
      <c r="E494" s="160">
        <v>42427</v>
      </c>
      <c r="F494" s="221" t="s">
        <v>2231</v>
      </c>
    </row>
    <row r="495" spans="1:6">
      <c r="A495" s="221" t="s">
        <v>2230</v>
      </c>
      <c r="B495" s="221">
        <v>3577334337754710</v>
      </c>
      <c r="C495" s="221" t="s">
        <v>790</v>
      </c>
      <c r="D495" s="221" t="s">
        <v>2229</v>
      </c>
      <c r="E495" s="160">
        <v>42432</v>
      </c>
      <c r="F495" s="221" t="s">
        <v>2228</v>
      </c>
    </row>
    <row r="496" spans="1:6">
      <c r="A496" s="221" t="s">
        <v>1149</v>
      </c>
      <c r="B496" s="221">
        <v>337941425909784</v>
      </c>
      <c r="C496" s="221" t="s">
        <v>1104</v>
      </c>
      <c r="D496" s="221" t="s">
        <v>2227</v>
      </c>
      <c r="E496" s="160">
        <v>42275</v>
      </c>
      <c r="F496" s="221" t="s">
        <v>2226</v>
      </c>
    </row>
    <row r="497" spans="1:6">
      <c r="A497" s="221" t="s">
        <v>2225</v>
      </c>
      <c r="B497" s="221">
        <v>3576282549099170</v>
      </c>
      <c r="C497" s="221" t="s">
        <v>1928</v>
      </c>
      <c r="D497" s="221" t="s">
        <v>2224</v>
      </c>
      <c r="E497" s="160">
        <v>42357</v>
      </c>
      <c r="F497" s="221" t="s">
        <v>2223</v>
      </c>
    </row>
    <row r="498" spans="1:6">
      <c r="A498" s="221" t="s">
        <v>1569</v>
      </c>
      <c r="B498" s="221">
        <v>201686515378100</v>
      </c>
      <c r="C498" s="221" t="s">
        <v>770</v>
      </c>
      <c r="D498" s="221" t="s">
        <v>2222</v>
      </c>
      <c r="E498" s="160">
        <v>42315</v>
      </c>
      <c r="F498" s="221" t="s">
        <v>2221</v>
      </c>
    </row>
    <row r="499" spans="1:6">
      <c r="A499" s="221" t="s">
        <v>2220</v>
      </c>
      <c r="B499" s="221">
        <v>3556663121274560</v>
      </c>
      <c r="C499" s="221" t="s">
        <v>1597</v>
      </c>
      <c r="D499" s="221" t="s">
        <v>2219</v>
      </c>
      <c r="E499" s="160">
        <v>42134</v>
      </c>
      <c r="F499" s="221" t="s">
        <v>2218</v>
      </c>
    </row>
    <row r="500" spans="1:6">
      <c r="A500" s="221" t="s">
        <v>1579</v>
      </c>
      <c r="B500" s="221">
        <v>5.6107230271674696E+18</v>
      </c>
      <c r="C500" s="221" t="s">
        <v>1424</v>
      </c>
      <c r="D500" s="221" t="s">
        <v>2217</v>
      </c>
      <c r="E500" s="160">
        <v>42302</v>
      </c>
      <c r="F500" s="221" t="s">
        <v>2216</v>
      </c>
    </row>
    <row r="501" spans="1:6">
      <c r="A501" s="221" t="s">
        <v>877</v>
      </c>
      <c r="B501" s="221">
        <v>3577324062346470</v>
      </c>
      <c r="C501" s="221" t="s">
        <v>2215</v>
      </c>
      <c r="D501" s="221" t="s">
        <v>2214</v>
      </c>
      <c r="E501" s="160">
        <v>42299</v>
      </c>
      <c r="F501" s="221" t="s">
        <v>2213</v>
      </c>
    </row>
    <row r="502" spans="1:6">
      <c r="A502" s="221" t="s">
        <v>1897</v>
      </c>
      <c r="B502" s="221">
        <v>3572523425302700</v>
      </c>
      <c r="C502" s="221" t="s">
        <v>865</v>
      </c>
      <c r="D502" s="221" t="s">
        <v>2212</v>
      </c>
      <c r="E502" s="160">
        <v>42141</v>
      </c>
      <c r="F502" s="221" t="s">
        <v>2211</v>
      </c>
    </row>
    <row r="503" spans="1:6">
      <c r="A503" s="221" t="s">
        <v>1805</v>
      </c>
      <c r="B503" s="221">
        <v>3555015410652800</v>
      </c>
      <c r="C503" s="221" t="s">
        <v>985</v>
      </c>
      <c r="D503" s="221" t="s">
        <v>2210</v>
      </c>
      <c r="E503" s="160">
        <v>42294</v>
      </c>
      <c r="F503" s="221" t="s">
        <v>2209</v>
      </c>
    </row>
    <row r="504" spans="1:6">
      <c r="A504" s="221" t="s">
        <v>1708</v>
      </c>
      <c r="B504" s="221">
        <v>5602220874465320</v>
      </c>
      <c r="C504" s="221" t="s">
        <v>1314</v>
      </c>
      <c r="D504" s="221" t="s">
        <v>2208</v>
      </c>
      <c r="E504" s="160">
        <v>42229</v>
      </c>
      <c r="F504" s="221" t="s">
        <v>2207</v>
      </c>
    </row>
    <row r="505" spans="1:6">
      <c r="A505" s="221" t="s">
        <v>1183</v>
      </c>
      <c r="B505" s="221">
        <v>30332596447004</v>
      </c>
      <c r="C505" s="221" t="s">
        <v>1171</v>
      </c>
      <c r="D505" s="221" t="s">
        <v>2206</v>
      </c>
      <c r="E505" s="160">
        <v>42446</v>
      </c>
      <c r="F505" s="221" t="s">
        <v>2205</v>
      </c>
    </row>
    <row r="506" spans="1:6">
      <c r="A506" s="221" t="s">
        <v>2091</v>
      </c>
      <c r="B506" s="221">
        <v>3584453845193490</v>
      </c>
      <c r="C506" s="221" t="s">
        <v>1540</v>
      </c>
      <c r="D506" s="221" t="s">
        <v>2204</v>
      </c>
      <c r="E506" s="160">
        <v>42268</v>
      </c>
      <c r="F506" s="221" t="s">
        <v>2153</v>
      </c>
    </row>
    <row r="507" spans="1:6">
      <c r="A507" s="221" t="s">
        <v>2203</v>
      </c>
      <c r="B507" s="221">
        <v>5100177433281330</v>
      </c>
      <c r="C507" s="221" t="s">
        <v>591</v>
      </c>
      <c r="D507" s="221" t="s">
        <v>2202</v>
      </c>
      <c r="E507" s="160">
        <v>42322</v>
      </c>
      <c r="F507" s="221" t="s">
        <v>2201</v>
      </c>
    </row>
    <row r="508" spans="1:6">
      <c r="A508" s="221" t="s">
        <v>1219</v>
      </c>
      <c r="B508" s="221">
        <v>3565030967376190</v>
      </c>
      <c r="C508" s="221" t="s">
        <v>1356</v>
      </c>
      <c r="D508" s="221" t="s">
        <v>2200</v>
      </c>
      <c r="E508" s="160">
        <v>42147</v>
      </c>
      <c r="F508" s="221" t="s">
        <v>2199</v>
      </c>
    </row>
    <row r="509" spans="1:6">
      <c r="A509" s="221" t="s">
        <v>2020</v>
      </c>
      <c r="B509" s="221">
        <v>3550513533110180</v>
      </c>
      <c r="C509" s="221" t="s">
        <v>1120</v>
      </c>
      <c r="D509" s="221" t="s">
        <v>2198</v>
      </c>
      <c r="E509" s="160">
        <v>42417</v>
      </c>
      <c r="F509" s="221" t="s">
        <v>2197</v>
      </c>
    </row>
    <row r="510" spans="1:6">
      <c r="A510" s="221" t="s">
        <v>880</v>
      </c>
      <c r="B510" s="221">
        <v>3543806777735650</v>
      </c>
      <c r="C510" s="221" t="s">
        <v>1416</v>
      </c>
      <c r="D510" s="221" t="s">
        <v>2196</v>
      </c>
      <c r="E510" s="160">
        <v>42125</v>
      </c>
      <c r="F510" s="221" t="s">
        <v>2195</v>
      </c>
    </row>
    <row r="511" spans="1:6">
      <c r="A511" s="221" t="s">
        <v>1389</v>
      </c>
      <c r="B511" s="221">
        <v>30391746652053</v>
      </c>
      <c r="C511" s="221" t="s">
        <v>1010</v>
      </c>
      <c r="D511" s="221" t="s">
        <v>2194</v>
      </c>
      <c r="E511" s="160">
        <v>42225</v>
      </c>
      <c r="F511" s="221" t="s">
        <v>2193</v>
      </c>
    </row>
    <row r="512" spans="1:6">
      <c r="A512" s="221" t="s">
        <v>1037</v>
      </c>
      <c r="B512" s="221">
        <v>5048379524745470</v>
      </c>
      <c r="C512" s="221" t="s">
        <v>1739</v>
      </c>
      <c r="D512" s="221" t="s">
        <v>2192</v>
      </c>
      <c r="E512" s="160">
        <v>42120</v>
      </c>
      <c r="F512" s="221" t="s">
        <v>2191</v>
      </c>
    </row>
    <row r="513" spans="1:6">
      <c r="A513" s="221" t="s">
        <v>1060</v>
      </c>
      <c r="B513" s="221">
        <v>5494871232373420</v>
      </c>
      <c r="C513" s="221" t="s">
        <v>1428</v>
      </c>
      <c r="D513" s="221" t="s">
        <v>2190</v>
      </c>
      <c r="E513" s="160">
        <v>42223</v>
      </c>
      <c r="F513" s="221" t="s">
        <v>2189</v>
      </c>
    </row>
    <row r="514" spans="1:6">
      <c r="A514" s="221" t="s">
        <v>2188</v>
      </c>
      <c r="B514" s="221">
        <v>5.6022494250999501E+18</v>
      </c>
      <c r="C514" s="221" t="s">
        <v>2187</v>
      </c>
      <c r="D514" s="221" t="s">
        <v>2186</v>
      </c>
      <c r="E514" s="160">
        <v>42196</v>
      </c>
      <c r="F514" s="221" t="s">
        <v>2185</v>
      </c>
    </row>
    <row r="515" spans="1:6">
      <c r="A515" s="221" t="s">
        <v>1608</v>
      </c>
      <c r="B515" s="221">
        <v>3573723170529650</v>
      </c>
      <c r="C515" s="221" t="s">
        <v>1940</v>
      </c>
      <c r="D515" s="221" t="s">
        <v>2184</v>
      </c>
      <c r="E515" s="160">
        <v>42238</v>
      </c>
      <c r="F515" s="221" t="s">
        <v>2183</v>
      </c>
    </row>
    <row r="516" spans="1:6">
      <c r="A516" s="221" t="s">
        <v>2096</v>
      </c>
      <c r="B516" s="221">
        <v>3572263086035200</v>
      </c>
      <c r="C516" s="221" t="s">
        <v>1051</v>
      </c>
      <c r="D516" s="221" t="s">
        <v>2182</v>
      </c>
      <c r="E516" s="160">
        <v>42178</v>
      </c>
      <c r="F516" s="221" t="s">
        <v>2181</v>
      </c>
    </row>
    <row r="517" spans="1:6">
      <c r="A517" s="221" t="s">
        <v>982</v>
      </c>
      <c r="B517" s="221">
        <v>6389253989569710</v>
      </c>
      <c r="C517" s="221" t="s">
        <v>2015</v>
      </c>
      <c r="D517" s="221" t="s">
        <v>2180</v>
      </c>
      <c r="E517" s="160">
        <v>42286</v>
      </c>
      <c r="F517" s="221" t="s">
        <v>2179</v>
      </c>
    </row>
    <row r="518" spans="1:6">
      <c r="A518" s="221" t="s">
        <v>2178</v>
      </c>
      <c r="B518" s="221">
        <v>4844949761017130</v>
      </c>
      <c r="C518" s="221" t="s">
        <v>837</v>
      </c>
      <c r="D518" s="221" t="s">
        <v>2177</v>
      </c>
      <c r="E518" s="160">
        <v>42275</v>
      </c>
      <c r="F518" s="221" t="s">
        <v>2176</v>
      </c>
    </row>
    <row r="519" spans="1:6">
      <c r="A519" s="221" t="s">
        <v>1594</v>
      </c>
      <c r="B519" s="221">
        <v>3544623456630490</v>
      </c>
      <c r="C519" s="221" t="s">
        <v>2175</v>
      </c>
      <c r="D519" s="221" t="s">
        <v>2174</v>
      </c>
      <c r="E519" s="160">
        <v>42410</v>
      </c>
      <c r="F519" s="221" t="s">
        <v>2173</v>
      </c>
    </row>
    <row r="520" spans="1:6">
      <c r="A520" s="221" t="s">
        <v>2172</v>
      </c>
      <c r="B520" s="221">
        <v>5523146638593260</v>
      </c>
      <c r="C520" s="221" t="s">
        <v>790</v>
      </c>
      <c r="D520" s="221" t="s">
        <v>2171</v>
      </c>
      <c r="E520" s="160">
        <v>42135</v>
      </c>
      <c r="F520" s="221" t="s">
        <v>2170</v>
      </c>
    </row>
    <row r="521" spans="1:6">
      <c r="A521" s="221" t="s">
        <v>2169</v>
      </c>
      <c r="B521" s="221">
        <v>3585319057810610</v>
      </c>
      <c r="C521" s="221" t="s">
        <v>810</v>
      </c>
      <c r="D521" s="221" t="s">
        <v>2168</v>
      </c>
      <c r="E521" s="160">
        <v>42448</v>
      </c>
      <c r="F521" s="221" t="s">
        <v>2167</v>
      </c>
    </row>
    <row r="522" spans="1:6">
      <c r="A522" s="221" t="s">
        <v>2166</v>
      </c>
      <c r="B522" s="221">
        <v>3583310559729740</v>
      </c>
      <c r="C522" s="221" t="s">
        <v>999</v>
      </c>
      <c r="D522" s="221" t="s">
        <v>2165</v>
      </c>
      <c r="E522" s="160">
        <v>42140</v>
      </c>
      <c r="F522" s="221" t="s">
        <v>2164</v>
      </c>
    </row>
    <row r="523" spans="1:6">
      <c r="A523" s="221" t="s">
        <v>1293</v>
      </c>
      <c r="B523" s="221">
        <v>6394428648292290</v>
      </c>
      <c r="C523" s="221" t="s">
        <v>2163</v>
      </c>
      <c r="D523" s="221" t="s">
        <v>2162</v>
      </c>
      <c r="E523" s="160">
        <v>42322</v>
      </c>
      <c r="F523" s="221" t="s">
        <v>2161</v>
      </c>
    </row>
    <row r="524" spans="1:6">
      <c r="A524" s="221" t="s">
        <v>2160</v>
      </c>
      <c r="B524" s="221">
        <v>5.6022255877726304E+16</v>
      </c>
      <c r="C524" s="221" t="s">
        <v>1604</v>
      </c>
      <c r="D524" s="221" t="s">
        <v>2159</v>
      </c>
      <c r="E524" s="160">
        <v>42173</v>
      </c>
      <c r="F524" s="221" t="s">
        <v>2158</v>
      </c>
    </row>
    <row r="525" spans="1:6">
      <c r="A525" s="221" t="s">
        <v>2157</v>
      </c>
      <c r="B525" s="221">
        <v>3541531770175160</v>
      </c>
      <c r="C525" s="221" t="s">
        <v>918</v>
      </c>
      <c r="D525" s="221" t="s">
        <v>2156</v>
      </c>
      <c r="E525" s="160">
        <v>42176</v>
      </c>
      <c r="F525" s="221" t="s">
        <v>2155</v>
      </c>
    </row>
    <row r="526" spans="1:6">
      <c r="A526" s="221" t="s">
        <v>1985</v>
      </c>
      <c r="B526" s="221">
        <v>3547813059755080</v>
      </c>
      <c r="C526" s="221" t="s">
        <v>837</v>
      </c>
      <c r="D526" s="221" t="s">
        <v>2154</v>
      </c>
      <c r="E526" s="160">
        <v>42253</v>
      </c>
      <c r="F526" s="221" t="s">
        <v>2153</v>
      </c>
    </row>
    <row r="527" spans="1:6">
      <c r="A527" s="221" t="s">
        <v>1537</v>
      </c>
      <c r="B527" s="221">
        <v>6.3333364087021594E+17</v>
      </c>
      <c r="C527" s="221" t="s">
        <v>895</v>
      </c>
      <c r="D527" s="221" t="s">
        <v>2152</v>
      </c>
      <c r="E527" s="160">
        <v>42319</v>
      </c>
      <c r="F527" s="221" t="s">
        <v>2151</v>
      </c>
    </row>
    <row r="528" spans="1:6">
      <c r="A528" s="221" t="s">
        <v>771</v>
      </c>
      <c r="B528" s="221">
        <v>3549358764535660</v>
      </c>
      <c r="C528" s="221" t="s">
        <v>1095</v>
      </c>
      <c r="D528" s="221" t="s">
        <v>2150</v>
      </c>
      <c r="E528" s="160">
        <v>42224</v>
      </c>
      <c r="F528" s="221" t="s">
        <v>2149</v>
      </c>
    </row>
    <row r="529" spans="1:6">
      <c r="A529" s="221" t="s">
        <v>771</v>
      </c>
      <c r="B529" s="221">
        <v>4026748439522040</v>
      </c>
      <c r="C529" s="221" t="s">
        <v>1267</v>
      </c>
      <c r="D529" s="221" t="s">
        <v>2148</v>
      </c>
      <c r="E529" s="160">
        <v>42184</v>
      </c>
      <c r="F529" s="221" t="s">
        <v>1344</v>
      </c>
    </row>
    <row r="530" spans="1:6">
      <c r="A530" s="221" t="s">
        <v>2147</v>
      </c>
      <c r="B530" s="221">
        <v>5100137130402600</v>
      </c>
      <c r="C530" s="221" t="s">
        <v>1036</v>
      </c>
      <c r="D530" s="221" t="s">
        <v>2146</v>
      </c>
      <c r="E530" s="160">
        <v>42324</v>
      </c>
      <c r="F530" s="221" t="s">
        <v>2145</v>
      </c>
    </row>
    <row r="531" spans="1:6">
      <c r="A531" s="221" t="s">
        <v>818</v>
      </c>
      <c r="B531" s="221">
        <v>5.03874468158646E+16</v>
      </c>
      <c r="C531" s="221" t="s">
        <v>1066</v>
      </c>
      <c r="D531" s="221" t="s">
        <v>2144</v>
      </c>
      <c r="E531" s="160">
        <v>42190</v>
      </c>
      <c r="F531" s="221" t="s">
        <v>2143</v>
      </c>
    </row>
    <row r="532" spans="1:6">
      <c r="A532" s="221" t="s">
        <v>1873</v>
      </c>
      <c r="B532" s="221">
        <v>3565188216666310</v>
      </c>
      <c r="C532" s="221" t="s">
        <v>2052</v>
      </c>
      <c r="D532" s="221" t="s">
        <v>2142</v>
      </c>
      <c r="E532" s="160">
        <v>42288</v>
      </c>
      <c r="F532" s="221" t="s">
        <v>2141</v>
      </c>
    </row>
    <row r="533" spans="1:6">
      <c r="A533" s="221" t="s">
        <v>2140</v>
      </c>
      <c r="B533" s="221">
        <v>5100130319111670</v>
      </c>
      <c r="C533" s="221" t="s">
        <v>750</v>
      </c>
      <c r="D533" s="221" t="s">
        <v>2139</v>
      </c>
      <c r="E533" s="160">
        <v>42164</v>
      </c>
      <c r="F533" s="221" t="s">
        <v>2074</v>
      </c>
    </row>
    <row r="534" spans="1:6">
      <c r="A534" s="221" t="s">
        <v>1357</v>
      </c>
      <c r="B534" s="221">
        <v>4911394592758930</v>
      </c>
      <c r="C534" s="221" t="s">
        <v>2138</v>
      </c>
      <c r="D534" s="221" t="s">
        <v>2137</v>
      </c>
      <c r="E534" s="160">
        <v>42379</v>
      </c>
      <c r="F534" s="221" t="s">
        <v>2136</v>
      </c>
    </row>
    <row r="535" spans="1:6">
      <c r="A535" s="221" t="s">
        <v>2135</v>
      </c>
      <c r="B535" s="221">
        <v>3576989054932730</v>
      </c>
      <c r="C535" s="221" t="s">
        <v>887</v>
      </c>
      <c r="D535" s="221" t="s">
        <v>2134</v>
      </c>
      <c r="E535" s="160">
        <v>42272</v>
      </c>
      <c r="F535" s="221" t="s">
        <v>2133</v>
      </c>
    </row>
    <row r="536" spans="1:6">
      <c r="A536" s="221" t="s">
        <v>1060</v>
      </c>
      <c r="B536" s="221">
        <v>3536079741069250</v>
      </c>
      <c r="C536" s="221" t="s">
        <v>853</v>
      </c>
      <c r="D536" s="221" t="s">
        <v>2132</v>
      </c>
      <c r="E536" s="160">
        <v>42278</v>
      </c>
      <c r="F536" s="221" t="s">
        <v>2131</v>
      </c>
    </row>
    <row r="537" spans="1:6">
      <c r="A537" s="221" t="s">
        <v>1158</v>
      </c>
      <c r="B537" s="221">
        <v>3540969986638730</v>
      </c>
      <c r="C537" s="221" t="s">
        <v>910</v>
      </c>
      <c r="D537" s="221" t="s">
        <v>2130</v>
      </c>
      <c r="E537" s="160">
        <v>42316</v>
      </c>
      <c r="F537" s="221" t="s">
        <v>2129</v>
      </c>
    </row>
    <row r="538" spans="1:6">
      <c r="A538" s="221" t="s">
        <v>799</v>
      </c>
      <c r="B538" s="221">
        <v>3549633410727570</v>
      </c>
      <c r="C538" s="221" t="s">
        <v>2128</v>
      </c>
      <c r="D538" s="221" t="s">
        <v>2127</v>
      </c>
      <c r="E538" s="160">
        <v>42395</v>
      </c>
      <c r="F538" s="221" t="s">
        <v>2126</v>
      </c>
    </row>
    <row r="539" spans="1:6">
      <c r="A539" s="221" t="s">
        <v>2125</v>
      </c>
      <c r="B539" s="221">
        <v>5602259315640610</v>
      </c>
      <c r="C539" s="221" t="s">
        <v>1749</v>
      </c>
      <c r="D539" s="221" t="s">
        <v>2124</v>
      </c>
      <c r="E539" s="160">
        <v>42407</v>
      </c>
      <c r="F539" s="221" t="s">
        <v>2123</v>
      </c>
    </row>
    <row r="540" spans="1:6">
      <c r="A540" s="221" t="s">
        <v>2122</v>
      </c>
      <c r="B540" s="221">
        <v>3577565090370840</v>
      </c>
      <c r="C540" s="221" t="s">
        <v>806</v>
      </c>
      <c r="D540" s="221" t="s">
        <v>2121</v>
      </c>
      <c r="E540" s="160">
        <v>42203</v>
      </c>
      <c r="F540" s="221" t="s">
        <v>2120</v>
      </c>
    </row>
    <row r="541" spans="1:6">
      <c r="A541" s="221" t="s">
        <v>2119</v>
      </c>
      <c r="B541" s="221">
        <v>6376495242600610</v>
      </c>
      <c r="C541" s="221" t="s">
        <v>853</v>
      </c>
      <c r="D541" s="221" t="s">
        <v>2118</v>
      </c>
      <c r="E541" s="160">
        <v>42411</v>
      </c>
      <c r="F541" s="221" t="s">
        <v>2117</v>
      </c>
    </row>
    <row r="542" spans="1:6">
      <c r="A542" s="221" t="s">
        <v>1135</v>
      </c>
      <c r="B542" s="221">
        <v>5100136484431940</v>
      </c>
      <c r="C542" s="221" t="s">
        <v>906</v>
      </c>
      <c r="D542" s="221" t="s">
        <v>2116</v>
      </c>
      <c r="E542" s="160">
        <v>42173</v>
      </c>
      <c r="F542" s="221" t="s">
        <v>2115</v>
      </c>
    </row>
    <row r="543" spans="1:6">
      <c r="A543" s="221" t="s">
        <v>1145</v>
      </c>
      <c r="B543" s="221">
        <v>3559908596662330</v>
      </c>
      <c r="C543" s="221" t="s">
        <v>1036</v>
      </c>
      <c r="D543" s="221" t="s">
        <v>2114</v>
      </c>
      <c r="E543" s="160">
        <v>42186</v>
      </c>
      <c r="F543" s="221" t="s">
        <v>2113</v>
      </c>
    </row>
    <row r="544" spans="1:6">
      <c r="A544" s="221" t="s">
        <v>1458</v>
      </c>
      <c r="B544" s="221">
        <v>3564048906598060</v>
      </c>
      <c r="C544" s="221" t="s">
        <v>806</v>
      </c>
      <c r="D544" s="221" t="s">
        <v>2112</v>
      </c>
      <c r="E544" s="160">
        <v>42255</v>
      </c>
      <c r="F544" s="221" t="s">
        <v>2111</v>
      </c>
    </row>
    <row r="545" spans="1:6">
      <c r="A545" s="221" t="s">
        <v>815</v>
      </c>
      <c r="B545" s="221">
        <v>4405450311764500</v>
      </c>
      <c r="C545" s="221" t="s">
        <v>1055</v>
      </c>
      <c r="D545" s="221" t="s">
        <v>2110</v>
      </c>
      <c r="E545" s="160">
        <v>42297</v>
      </c>
      <c r="F545" s="221" t="s">
        <v>2109</v>
      </c>
    </row>
    <row r="546" spans="1:6">
      <c r="A546" s="221" t="s">
        <v>2091</v>
      </c>
      <c r="B546" s="221">
        <v>6.7094583456934704E+16</v>
      </c>
      <c r="C546" s="221" t="s">
        <v>1419</v>
      </c>
      <c r="D546" s="221" t="s">
        <v>2108</v>
      </c>
      <c r="E546" s="160">
        <v>42285</v>
      </c>
      <c r="F546" s="221" t="s">
        <v>2107</v>
      </c>
    </row>
    <row r="547" spans="1:6">
      <c r="A547" s="221" t="s">
        <v>982</v>
      </c>
      <c r="B547" s="221">
        <v>3552015489405760</v>
      </c>
      <c r="C547" s="221" t="s">
        <v>914</v>
      </c>
      <c r="D547" s="221" t="s">
        <v>2106</v>
      </c>
      <c r="E547" s="160">
        <v>42318</v>
      </c>
      <c r="F547" s="221" t="s">
        <v>2105</v>
      </c>
    </row>
    <row r="548" spans="1:6">
      <c r="A548" s="221" t="s">
        <v>787</v>
      </c>
      <c r="B548" s="221">
        <v>5602227959973060</v>
      </c>
      <c r="C548" s="221" t="s">
        <v>806</v>
      </c>
      <c r="D548" s="221" t="s">
        <v>2104</v>
      </c>
      <c r="E548" s="160">
        <v>42151</v>
      </c>
      <c r="F548" s="221" t="s">
        <v>2103</v>
      </c>
    </row>
    <row r="549" spans="1:6">
      <c r="A549" s="221" t="s">
        <v>1550</v>
      </c>
      <c r="B549" s="221">
        <v>3530578181987460</v>
      </c>
      <c r="C549" s="221" t="s">
        <v>1428</v>
      </c>
      <c r="D549" s="221" t="s">
        <v>2102</v>
      </c>
      <c r="E549" s="160">
        <v>42382</v>
      </c>
      <c r="F549" s="221" t="s">
        <v>2101</v>
      </c>
    </row>
    <row r="550" spans="1:6">
      <c r="A550" s="221" t="s">
        <v>1474</v>
      </c>
      <c r="B550" s="221">
        <v>3555745935872580</v>
      </c>
      <c r="C550" s="221" t="s">
        <v>914</v>
      </c>
      <c r="D550" s="221" t="s">
        <v>2100</v>
      </c>
      <c r="E550" s="160">
        <v>42454</v>
      </c>
      <c r="F550" s="221" t="s">
        <v>2099</v>
      </c>
    </row>
    <row r="551" spans="1:6">
      <c r="A551" s="221" t="s">
        <v>795</v>
      </c>
      <c r="B551" s="221">
        <v>6384624035261330</v>
      </c>
      <c r="C551" s="221" t="s">
        <v>1777</v>
      </c>
      <c r="D551" s="221" t="s">
        <v>2098</v>
      </c>
      <c r="E551" s="160">
        <v>42215</v>
      </c>
      <c r="F551" s="221" t="s">
        <v>2097</v>
      </c>
    </row>
    <row r="552" spans="1:6">
      <c r="A552" s="221" t="s">
        <v>2096</v>
      </c>
      <c r="B552" s="221">
        <v>5.6022266829428E+16</v>
      </c>
      <c r="C552" s="221" t="s">
        <v>1373</v>
      </c>
      <c r="D552" s="221" t="s">
        <v>2095</v>
      </c>
      <c r="E552" s="160">
        <v>42106</v>
      </c>
      <c r="F552" s="221" t="s">
        <v>2094</v>
      </c>
    </row>
    <row r="553" spans="1:6">
      <c r="A553" s="221" t="s">
        <v>934</v>
      </c>
      <c r="B553" s="221">
        <v>201945218917881</v>
      </c>
      <c r="C553" s="221" t="s">
        <v>1742</v>
      </c>
      <c r="D553" s="221" t="s">
        <v>2093</v>
      </c>
      <c r="E553" s="160">
        <v>42458</v>
      </c>
      <c r="F553" s="221" t="s">
        <v>2092</v>
      </c>
    </row>
    <row r="554" spans="1:6">
      <c r="A554" s="221" t="s">
        <v>2091</v>
      </c>
      <c r="B554" s="221">
        <v>3589349198099060</v>
      </c>
      <c r="C554" s="221" t="s">
        <v>1080</v>
      </c>
      <c r="D554" s="221" t="s">
        <v>2090</v>
      </c>
      <c r="E554" s="160">
        <v>42460</v>
      </c>
      <c r="F554" s="221" t="s">
        <v>2089</v>
      </c>
    </row>
    <row r="555" spans="1:6">
      <c r="A555" s="221" t="s">
        <v>1650</v>
      </c>
      <c r="B555" s="221">
        <v>5.6101476783175404E+18</v>
      </c>
      <c r="C555" s="221" t="s">
        <v>2010</v>
      </c>
      <c r="D555" s="221" t="s">
        <v>2088</v>
      </c>
      <c r="E555" s="160">
        <v>42371</v>
      </c>
      <c r="F555" s="221" t="s">
        <v>2087</v>
      </c>
    </row>
    <row r="556" spans="1:6">
      <c r="A556" s="221" t="s">
        <v>938</v>
      </c>
      <c r="B556" s="221">
        <v>5100139114081290</v>
      </c>
      <c r="C556" s="221" t="s">
        <v>1310</v>
      </c>
      <c r="D556" s="221" t="s">
        <v>2086</v>
      </c>
      <c r="E556" s="160">
        <v>42279</v>
      </c>
      <c r="F556" s="221" t="s">
        <v>2085</v>
      </c>
    </row>
    <row r="557" spans="1:6">
      <c r="A557" s="221" t="s">
        <v>2084</v>
      </c>
      <c r="B557" s="221">
        <v>3559769223596780</v>
      </c>
      <c r="C557" s="221" t="s">
        <v>1120</v>
      </c>
      <c r="D557" s="221" t="s">
        <v>2083</v>
      </c>
      <c r="E557" s="160">
        <v>42229</v>
      </c>
      <c r="F557" s="221" t="s">
        <v>2082</v>
      </c>
    </row>
    <row r="558" spans="1:6">
      <c r="A558" s="221" t="s">
        <v>1060</v>
      </c>
      <c r="B558" s="221">
        <v>3585818393989630</v>
      </c>
      <c r="C558" s="221" t="s">
        <v>1116</v>
      </c>
      <c r="D558" s="221" t="s">
        <v>2081</v>
      </c>
      <c r="E558" s="160">
        <v>42111</v>
      </c>
      <c r="F558" s="221" t="s">
        <v>2080</v>
      </c>
    </row>
    <row r="559" spans="1:6">
      <c r="A559" s="221" t="s">
        <v>942</v>
      </c>
      <c r="B559" s="221">
        <v>3548080492332200</v>
      </c>
      <c r="C559" s="221" t="s">
        <v>1088</v>
      </c>
      <c r="D559" s="221" t="s">
        <v>2079</v>
      </c>
      <c r="E559" s="160">
        <v>42133</v>
      </c>
      <c r="F559" s="221" t="s">
        <v>2078</v>
      </c>
    </row>
    <row r="560" spans="1:6">
      <c r="A560" s="221" t="s">
        <v>1000</v>
      </c>
      <c r="B560" s="221">
        <v>3584888369458130</v>
      </c>
      <c r="C560" s="221" t="s">
        <v>1675</v>
      </c>
      <c r="D560" s="221" t="s">
        <v>2077</v>
      </c>
      <c r="E560" s="160">
        <v>42447</v>
      </c>
      <c r="F560" s="221" t="s">
        <v>2076</v>
      </c>
    </row>
    <row r="561" spans="1:6">
      <c r="A561" s="221" t="s">
        <v>1474</v>
      </c>
      <c r="B561" s="221">
        <v>3566169111191000</v>
      </c>
      <c r="C561" s="221" t="s">
        <v>1373</v>
      </c>
      <c r="D561" s="221" t="s">
        <v>2075</v>
      </c>
      <c r="E561" s="160">
        <v>42187</v>
      </c>
      <c r="F561" s="221" t="s">
        <v>2074</v>
      </c>
    </row>
    <row r="562" spans="1:6">
      <c r="A562" s="221" t="s">
        <v>1594</v>
      </c>
      <c r="B562" s="221">
        <v>3554139486995310</v>
      </c>
      <c r="C562" s="221" t="s">
        <v>1440</v>
      </c>
      <c r="D562" s="221" t="s">
        <v>2073</v>
      </c>
      <c r="E562" s="160">
        <v>42274</v>
      </c>
      <c r="F562" s="221" t="s">
        <v>2072</v>
      </c>
    </row>
    <row r="563" spans="1:6">
      <c r="A563" s="221" t="s">
        <v>787</v>
      </c>
      <c r="B563" s="221">
        <v>3577389806476540</v>
      </c>
      <c r="C563" s="221" t="s">
        <v>738</v>
      </c>
      <c r="D563" s="221" t="s">
        <v>2071</v>
      </c>
      <c r="E563" s="160">
        <v>42146</v>
      </c>
      <c r="F563" s="221" t="s">
        <v>2070</v>
      </c>
    </row>
    <row r="564" spans="1:6">
      <c r="A564" s="221" t="s">
        <v>1658</v>
      </c>
      <c r="B564" s="221">
        <v>6706903510680300</v>
      </c>
      <c r="C564" s="221" t="s">
        <v>1321</v>
      </c>
      <c r="D564" s="221" t="s">
        <v>2069</v>
      </c>
      <c r="E564" s="160">
        <v>42443</v>
      </c>
      <c r="F564" s="221" t="s">
        <v>2068</v>
      </c>
    </row>
    <row r="565" spans="1:6">
      <c r="A565" s="221" t="s">
        <v>2067</v>
      </c>
      <c r="B565" s="221">
        <v>374288732462295</v>
      </c>
      <c r="C565" s="221" t="s">
        <v>1444</v>
      </c>
      <c r="D565" s="221" t="s">
        <v>2066</v>
      </c>
      <c r="E565" s="160">
        <v>42255</v>
      </c>
      <c r="F565" s="221" t="s">
        <v>2065</v>
      </c>
    </row>
    <row r="566" spans="1:6">
      <c r="A566" s="221" t="s">
        <v>2064</v>
      </c>
      <c r="B566" s="221">
        <v>30474824685656</v>
      </c>
      <c r="C566" s="221" t="s">
        <v>963</v>
      </c>
      <c r="D566" s="221" t="s">
        <v>2063</v>
      </c>
      <c r="E566" s="160">
        <v>42123</v>
      </c>
      <c r="F566" s="221" t="s">
        <v>2062</v>
      </c>
    </row>
    <row r="567" spans="1:6">
      <c r="A567" s="221" t="s">
        <v>2061</v>
      </c>
      <c r="B567" s="221">
        <v>5324369669168170</v>
      </c>
      <c r="C567" s="221" t="s">
        <v>1047</v>
      </c>
      <c r="D567" s="221" t="s">
        <v>2060</v>
      </c>
      <c r="E567" s="160">
        <v>42339</v>
      </c>
      <c r="F567" s="221" t="s">
        <v>2059</v>
      </c>
    </row>
    <row r="568" spans="1:6">
      <c r="A568" s="221" t="s">
        <v>1797</v>
      </c>
      <c r="B568" s="221">
        <v>3572814501128000</v>
      </c>
      <c r="C568" s="221" t="s">
        <v>906</v>
      </c>
      <c r="D568" s="221" t="s">
        <v>2058</v>
      </c>
      <c r="E568" s="160">
        <v>42435</v>
      </c>
      <c r="F568" s="221" t="s">
        <v>2057</v>
      </c>
    </row>
    <row r="569" spans="1:6">
      <c r="A569" s="221" t="s">
        <v>1948</v>
      </c>
      <c r="B569" s="221">
        <v>5610932001937390</v>
      </c>
      <c r="C569" s="221" t="s">
        <v>1244</v>
      </c>
      <c r="D569" s="221" t="s">
        <v>2056</v>
      </c>
      <c r="E569" s="160">
        <v>42269</v>
      </c>
      <c r="F569" s="221" t="s">
        <v>2055</v>
      </c>
    </row>
    <row r="570" spans="1:6">
      <c r="A570" s="221" t="s">
        <v>2002</v>
      </c>
      <c r="B570" s="221">
        <v>6.7632102333588304E+16</v>
      </c>
      <c r="C570" s="221" t="s">
        <v>1683</v>
      </c>
      <c r="D570" s="221" t="s">
        <v>2054</v>
      </c>
      <c r="E570" s="160">
        <v>42331</v>
      </c>
      <c r="F570" s="221" t="s">
        <v>2053</v>
      </c>
    </row>
    <row r="571" spans="1:6">
      <c r="A571" s="221" t="s">
        <v>1637</v>
      </c>
      <c r="B571" s="221">
        <v>374283557836251</v>
      </c>
      <c r="C571" s="221" t="s">
        <v>2052</v>
      </c>
      <c r="D571" s="221" t="s">
        <v>2051</v>
      </c>
      <c r="E571" s="160">
        <v>42464</v>
      </c>
      <c r="F571" s="221" t="s">
        <v>2050</v>
      </c>
    </row>
    <row r="572" spans="1:6">
      <c r="A572" s="221" t="s">
        <v>2049</v>
      </c>
      <c r="B572" s="221">
        <v>5602220246773230</v>
      </c>
      <c r="C572" s="221" t="s">
        <v>1879</v>
      </c>
      <c r="D572" s="221" t="s">
        <v>2048</v>
      </c>
      <c r="E572" s="160">
        <v>42207</v>
      </c>
      <c r="F572" s="221" t="s">
        <v>1771</v>
      </c>
    </row>
    <row r="573" spans="1:6">
      <c r="A573" s="221" t="s">
        <v>1448</v>
      </c>
      <c r="B573" s="221">
        <v>3529515518766970</v>
      </c>
      <c r="C573" s="221" t="s">
        <v>853</v>
      </c>
      <c r="D573" s="221" t="s">
        <v>2047</v>
      </c>
      <c r="E573" s="160">
        <v>42386</v>
      </c>
      <c r="F573" s="221" t="s">
        <v>2046</v>
      </c>
    </row>
    <row r="574" spans="1:6">
      <c r="A574" s="221" t="s">
        <v>775</v>
      </c>
      <c r="B574" s="221">
        <v>5.6022523878798397E+18</v>
      </c>
      <c r="C574" s="221" t="s">
        <v>1855</v>
      </c>
      <c r="D574" s="221" t="s">
        <v>2045</v>
      </c>
      <c r="E574" s="160">
        <v>42205</v>
      </c>
      <c r="F574" s="221" t="s">
        <v>2044</v>
      </c>
    </row>
    <row r="575" spans="1:6">
      <c r="A575" s="221" t="s">
        <v>870</v>
      </c>
      <c r="B575" s="221">
        <v>6334848901579570</v>
      </c>
      <c r="C575" s="221" t="s">
        <v>1777</v>
      </c>
      <c r="D575" s="221" t="s">
        <v>2043</v>
      </c>
      <c r="E575" s="160">
        <v>42207</v>
      </c>
      <c r="F575" s="221" t="s">
        <v>2042</v>
      </c>
    </row>
    <row r="576" spans="1:6">
      <c r="A576" s="221" t="s">
        <v>2041</v>
      </c>
      <c r="B576" s="221">
        <v>6304007647015680</v>
      </c>
      <c r="C576" s="221" t="s">
        <v>2040</v>
      </c>
      <c r="D576" s="221" t="s">
        <v>2039</v>
      </c>
      <c r="E576" s="160">
        <v>42366</v>
      </c>
      <c r="F576" s="221" t="s">
        <v>2038</v>
      </c>
    </row>
    <row r="577" spans="1:6">
      <c r="A577" s="221" t="s">
        <v>2025</v>
      </c>
      <c r="B577" s="221">
        <v>3584769289340400</v>
      </c>
      <c r="C577" s="221" t="s">
        <v>1716</v>
      </c>
      <c r="D577" s="221" t="s">
        <v>2037</v>
      </c>
      <c r="E577" s="160">
        <v>42334</v>
      </c>
      <c r="F577" s="221" t="s">
        <v>2036</v>
      </c>
    </row>
    <row r="578" spans="1:6">
      <c r="A578" s="221" t="s">
        <v>763</v>
      </c>
      <c r="B578" s="221">
        <v>3578454201674290</v>
      </c>
      <c r="C578" s="221" t="s">
        <v>1597</v>
      </c>
      <c r="D578" s="221" t="s">
        <v>2035</v>
      </c>
      <c r="E578" s="160">
        <v>42405</v>
      </c>
      <c r="F578" s="221" t="s">
        <v>2034</v>
      </c>
    </row>
    <row r="579" spans="1:6">
      <c r="A579" s="221" t="s">
        <v>2033</v>
      </c>
      <c r="B579" s="221">
        <v>6388629719010340</v>
      </c>
      <c r="C579" s="221" t="s">
        <v>2032</v>
      </c>
      <c r="D579" s="221" t="s">
        <v>2031</v>
      </c>
      <c r="E579" s="160">
        <v>42331</v>
      </c>
      <c r="F579" s="221" t="s">
        <v>2030</v>
      </c>
    </row>
    <row r="580" spans="1:6">
      <c r="A580" s="221" t="s">
        <v>1800</v>
      </c>
      <c r="B580" s="221">
        <v>3537640164976020</v>
      </c>
      <c r="C580" s="221" t="s">
        <v>802</v>
      </c>
      <c r="D580" s="221" t="s">
        <v>2029</v>
      </c>
      <c r="E580" s="160">
        <v>42360</v>
      </c>
      <c r="F580" s="221" t="s">
        <v>2028</v>
      </c>
    </row>
    <row r="581" spans="1:6">
      <c r="A581" s="221" t="s">
        <v>791</v>
      </c>
      <c r="B581" s="221">
        <v>3569699510105870</v>
      </c>
      <c r="C581" s="221" t="s">
        <v>1088</v>
      </c>
      <c r="D581" s="221" t="s">
        <v>2027</v>
      </c>
      <c r="E581" s="160">
        <v>42395</v>
      </c>
      <c r="F581" s="221" t="s">
        <v>2026</v>
      </c>
    </row>
    <row r="582" spans="1:6">
      <c r="A582" s="221" t="s">
        <v>2025</v>
      </c>
      <c r="B582" s="221">
        <v>6.7590818418818703E+18</v>
      </c>
      <c r="C582" s="221" t="s">
        <v>1464</v>
      </c>
      <c r="D582" s="221" t="s">
        <v>2024</v>
      </c>
      <c r="E582" s="160">
        <v>42289</v>
      </c>
      <c r="F582" s="221" t="s">
        <v>2023</v>
      </c>
    </row>
    <row r="583" spans="1:6">
      <c r="A583" s="221" t="s">
        <v>834</v>
      </c>
      <c r="B583" s="221">
        <v>5561343036480480</v>
      </c>
      <c r="C583" s="221" t="s">
        <v>1732</v>
      </c>
      <c r="D583" s="221" t="s">
        <v>2022</v>
      </c>
      <c r="E583" s="160">
        <v>42125</v>
      </c>
      <c r="F583" s="221" t="s">
        <v>2021</v>
      </c>
    </row>
    <row r="584" spans="1:6">
      <c r="A584" s="221" t="s">
        <v>2020</v>
      </c>
      <c r="B584" s="221">
        <v>30150750402080</v>
      </c>
      <c r="C584" s="221" t="s">
        <v>1508</v>
      </c>
      <c r="D584" s="221" t="s">
        <v>2019</v>
      </c>
      <c r="E584" s="160">
        <v>42243</v>
      </c>
      <c r="F584" s="221" t="s">
        <v>2018</v>
      </c>
    </row>
    <row r="585" spans="1:6">
      <c r="A585" s="221" t="s">
        <v>1247</v>
      </c>
      <c r="B585" s="221">
        <v>6.3047572677157197E+17</v>
      </c>
      <c r="C585" s="221" t="s">
        <v>1222</v>
      </c>
      <c r="D585" s="221" t="s">
        <v>2017</v>
      </c>
      <c r="E585" s="160">
        <v>42348</v>
      </c>
      <c r="F585" s="221" t="s">
        <v>2016</v>
      </c>
    </row>
    <row r="586" spans="1:6">
      <c r="A586" s="221" t="s">
        <v>811</v>
      </c>
      <c r="B586" s="221">
        <v>372301676707443</v>
      </c>
      <c r="C586" s="221" t="s">
        <v>2015</v>
      </c>
      <c r="D586" s="221" t="s">
        <v>2014</v>
      </c>
      <c r="E586" s="160">
        <v>42137</v>
      </c>
      <c r="F586" s="221" t="s">
        <v>2013</v>
      </c>
    </row>
    <row r="587" spans="1:6">
      <c r="A587" s="221" t="s">
        <v>1733</v>
      </c>
      <c r="B587" s="221">
        <v>5602240120985130</v>
      </c>
      <c r="C587" s="221" t="s">
        <v>999</v>
      </c>
      <c r="D587" s="221" t="s">
        <v>2012</v>
      </c>
      <c r="E587" s="160">
        <v>42204</v>
      </c>
      <c r="F587" s="221" t="s">
        <v>2011</v>
      </c>
    </row>
    <row r="588" spans="1:6">
      <c r="A588" s="221" t="s">
        <v>771</v>
      </c>
      <c r="B588" s="221">
        <v>4041375282537620</v>
      </c>
      <c r="C588" s="221" t="s">
        <v>2010</v>
      </c>
      <c r="D588" s="221" t="s">
        <v>2009</v>
      </c>
      <c r="E588" s="160">
        <v>42274</v>
      </c>
      <c r="F588" s="221" t="s">
        <v>2008</v>
      </c>
    </row>
    <row r="589" spans="1:6">
      <c r="A589" s="221" t="s">
        <v>2007</v>
      </c>
      <c r="B589" s="221">
        <v>201437352531215</v>
      </c>
      <c r="C589" s="221" t="s">
        <v>1514</v>
      </c>
      <c r="D589" s="221" t="s">
        <v>2006</v>
      </c>
      <c r="E589" s="160">
        <v>42252</v>
      </c>
      <c r="F589" s="221" t="s">
        <v>2005</v>
      </c>
    </row>
    <row r="590" spans="1:6">
      <c r="A590" s="221" t="s">
        <v>1048</v>
      </c>
      <c r="B590" s="221">
        <v>5038924081684360</v>
      </c>
      <c r="C590" s="221" t="s">
        <v>933</v>
      </c>
      <c r="D590" s="221" t="s">
        <v>2004</v>
      </c>
      <c r="E590" s="160">
        <v>42310</v>
      </c>
      <c r="F590" s="221" t="s">
        <v>2003</v>
      </c>
    </row>
    <row r="591" spans="1:6">
      <c r="A591" s="221" t="s">
        <v>2002</v>
      </c>
      <c r="B591" s="221">
        <v>3574828267318270</v>
      </c>
      <c r="C591" s="221" t="s">
        <v>798</v>
      </c>
      <c r="D591" s="221" t="s">
        <v>2001</v>
      </c>
      <c r="E591" s="160">
        <v>42207</v>
      </c>
      <c r="F591" s="221" t="s">
        <v>2000</v>
      </c>
    </row>
    <row r="592" spans="1:6">
      <c r="A592" s="221" t="s">
        <v>1736</v>
      </c>
      <c r="B592" s="221">
        <v>5.60225100367568E+17</v>
      </c>
      <c r="C592" s="221" t="s">
        <v>1314</v>
      </c>
      <c r="D592" s="221" t="s">
        <v>1999</v>
      </c>
      <c r="E592" s="160">
        <v>42200</v>
      </c>
      <c r="F592" s="221" t="s">
        <v>1998</v>
      </c>
    </row>
    <row r="593" spans="1:6">
      <c r="A593" s="221" t="s">
        <v>1904</v>
      </c>
      <c r="B593" s="221">
        <v>5469572837405990</v>
      </c>
      <c r="C593" s="221" t="s">
        <v>1404</v>
      </c>
      <c r="D593" s="221" t="s">
        <v>1997</v>
      </c>
      <c r="E593" s="160">
        <v>42234</v>
      </c>
      <c r="F593" s="221" t="s">
        <v>1996</v>
      </c>
    </row>
    <row r="594" spans="1:6">
      <c r="A594" s="221" t="s">
        <v>1995</v>
      </c>
      <c r="B594" s="221">
        <v>201756921386250</v>
      </c>
      <c r="C594" s="221" t="s">
        <v>956</v>
      </c>
      <c r="D594" s="221" t="s">
        <v>1994</v>
      </c>
      <c r="E594" s="160">
        <v>42196</v>
      </c>
      <c r="F594" s="221" t="s">
        <v>1993</v>
      </c>
    </row>
    <row r="595" spans="1:6">
      <c r="A595" s="221" t="s">
        <v>1992</v>
      </c>
      <c r="B595" s="221">
        <v>5602227128933500</v>
      </c>
      <c r="C595" s="221" t="s">
        <v>738</v>
      </c>
      <c r="D595" s="221" t="s">
        <v>1991</v>
      </c>
      <c r="E595" s="160">
        <v>42326</v>
      </c>
      <c r="F595" s="221" t="s">
        <v>1990</v>
      </c>
    </row>
    <row r="596" spans="1:6">
      <c r="A596" s="221" t="s">
        <v>1179</v>
      </c>
      <c r="B596" s="221">
        <v>6771451551784220</v>
      </c>
      <c r="C596" s="221" t="s">
        <v>1838</v>
      </c>
      <c r="D596" s="221" t="s">
        <v>1989</v>
      </c>
      <c r="E596" s="160">
        <v>42387</v>
      </c>
      <c r="F596" s="221" t="s">
        <v>1988</v>
      </c>
    </row>
    <row r="597" spans="1:6">
      <c r="A597" s="221" t="s">
        <v>942</v>
      </c>
      <c r="B597" s="221">
        <v>5.6022340927957299E+17</v>
      </c>
      <c r="C597" s="221" t="s">
        <v>794</v>
      </c>
      <c r="D597" s="221" t="s">
        <v>1987</v>
      </c>
      <c r="E597" s="160">
        <v>42109</v>
      </c>
      <c r="F597" s="221" t="s">
        <v>1986</v>
      </c>
    </row>
    <row r="598" spans="1:6">
      <c r="A598" s="221" t="s">
        <v>1985</v>
      </c>
      <c r="B598" s="221">
        <v>5010129191933450</v>
      </c>
      <c r="C598" s="221" t="s">
        <v>1428</v>
      </c>
      <c r="D598" s="221" t="s">
        <v>1984</v>
      </c>
      <c r="E598" s="160">
        <v>42287</v>
      </c>
      <c r="F598" s="221" t="s">
        <v>1983</v>
      </c>
    </row>
    <row r="599" spans="1:6">
      <c r="A599" s="221" t="s">
        <v>1982</v>
      </c>
      <c r="B599" s="221">
        <v>3580477673890490</v>
      </c>
      <c r="C599" s="221" t="s">
        <v>774</v>
      </c>
      <c r="D599" s="221" t="s">
        <v>1981</v>
      </c>
      <c r="E599" s="160">
        <v>42409</v>
      </c>
      <c r="F599" s="221" t="s">
        <v>1980</v>
      </c>
    </row>
    <row r="600" spans="1:6">
      <c r="A600" s="221" t="s">
        <v>1023</v>
      </c>
      <c r="B600" s="221">
        <v>5517036671080290</v>
      </c>
      <c r="C600" s="221" t="s">
        <v>1979</v>
      </c>
      <c r="D600" s="221" t="s">
        <v>1978</v>
      </c>
      <c r="E600" s="160">
        <v>42128</v>
      </c>
      <c r="F600" s="221" t="s">
        <v>1977</v>
      </c>
    </row>
    <row r="601" spans="1:6">
      <c r="A601" s="221" t="s">
        <v>1658</v>
      </c>
      <c r="B601" s="221">
        <v>3566570932944540</v>
      </c>
      <c r="C601" s="221" t="s">
        <v>1586</v>
      </c>
      <c r="D601" s="221" t="s">
        <v>1976</v>
      </c>
      <c r="E601" s="160">
        <v>42178</v>
      </c>
      <c r="F601" s="221" t="s">
        <v>1975</v>
      </c>
    </row>
    <row r="602" spans="1:6">
      <c r="A602" s="221" t="s">
        <v>735</v>
      </c>
      <c r="B602" s="221">
        <v>5602214057902890</v>
      </c>
      <c r="C602" s="221" t="s">
        <v>1059</v>
      </c>
      <c r="D602" s="221" t="s">
        <v>1974</v>
      </c>
      <c r="E602" s="160">
        <v>42337</v>
      </c>
      <c r="F602" s="221" t="s">
        <v>1973</v>
      </c>
    </row>
    <row r="603" spans="1:6">
      <c r="A603" s="221" t="s">
        <v>1972</v>
      </c>
      <c r="B603" s="221">
        <v>5602244769961000</v>
      </c>
      <c r="C603" s="221" t="s">
        <v>906</v>
      </c>
      <c r="D603" s="221" t="s">
        <v>1971</v>
      </c>
      <c r="E603" s="160">
        <v>42427</v>
      </c>
      <c r="F603" s="221" t="s">
        <v>1970</v>
      </c>
    </row>
    <row r="604" spans="1:6">
      <c r="A604" s="221" t="s">
        <v>942</v>
      </c>
      <c r="B604" s="221">
        <v>5.0185220390528496E+16</v>
      </c>
      <c r="C604" s="221" t="s">
        <v>1969</v>
      </c>
      <c r="D604" s="221" t="s">
        <v>1968</v>
      </c>
      <c r="E604" s="160">
        <v>42208</v>
      </c>
      <c r="F604" s="221" t="s">
        <v>1967</v>
      </c>
    </row>
    <row r="605" spans="1:6">
      <c r="A605" s="221" t="s">
        <v>1966</v>
      </c>
      <c r="B605" s="221">
        <v>6386731838465830</v>
      </c>
      <c r="C605" s="221" t="s">
        <v>1965</v>
      </c>
      <c r="D605" s="221" t="s">
        <v>1964</v>
      </c>
      <c r="E605" s="160">
        <v>42235</v>
      </c>
      <c r="F605" s="221" t="s">
        <v>1963</v>
      </c>
    </row>
    <row r="606" spans="1:6">
      <c r="A606" s="221" t="s">
        <v>1015</v>
      </c>
      <c r="B606" s="221">
        <v>3538718848413820</v>
      </c>
      <c r="C606" s="221" t="s">
        <v>1123</v>
      </c>
      <c r="D606" s="221" t="s">
        <v>1962</v>
      </c>
      <c r="E606" s="160">
        <v>42286</v>
      </c>
      <c r="F606" s="221" t="s">
        <v>1961</v>
      </c>
    </row>
    <row r="607" spans="1:6">
      <c r="A607" s="221" t="s">
        <v>1364</v>
      </c>
      <c r="B607" s="221">
        <v>337941333758851</v>
      </c>
      <c r="C607" s="221" t="s">
        <v>1104</v>
      </c>
      <c r="D607" s="221" t="s">
        <v>1960</v>
      </c>
      <c r="E607" s="160">
        <v>42142</v>
      </c>
      <c r="F607" s="221" t="s">
        <v>1959</v>
      </c>
    </row>
    <row r="608" spans="1:6">
      <c r="A608" s="221" t="s">
        <v>1501</v>
      </c>
      <c r="B608" s="221">
        <v>201554076517971</v>
      </c>
      <c r="C608" s="221" t="s">
        <v>1003</v>
      </c>
      <c r="D608" s="221" t="s">
        <v>1958</v>
      </c>
      <c r="E608" s="160">
        <v>42259</v>
      </c>
      <c r="F608" s="221" t="s">
        <v>1957</v>
      </c>
    </row>
    <row r="609" spans="1:6">
      <c r="A609" s="221" t="s">
        <v>1956</v>
      </c>
      <c r="B609" s="221">
        <v>5540038434478770</v>
      </c>
      <c r="C609" s="221" t="s">
        <v>945</v>
      </c>
      <c r="D609" s="221" t="s">
        <v>1955</v>
      </c>
      <c r="E609" s="160">
        <v>42177</v>
      </c>
      <c r="F609" s="221" t="s">
        <v>1954</v>
      </c>
    </row>
    <row r="610" spans="1:6">
      <c r="A610" s="221" t="s">
        <v>938</v>
      </c>
      <c r="B610" s="221">
        <v>6767977458611430</v>
      </c>
      <c r="C610" s="221" t="s">
        <v>1888</v>
      </c>
      <c r="D610" s="221" t="s">
        <v>1953</v>
      </c>
      <c r="E610" s="160">
        <v>42273</v>
      </c>
      <c r="F610" s="221" t="s">
        <v>1952</v>
      </c>
    </row>
    <row r="611" spans="1:6">
      <c r="A611" s="221" t="s">
        <v>1904</v>
      </c>
      <c r="B611" s="221">
        <v>4041374455244</v>
      </c>
      <c r="C611" s="221" t="s">
        <v>1951</v>
      </c>
      <c r="D611" s="221" t="s">
        <v>1950</v>
      </c>
      <c r="E611" s="160">
        <v>42145</v>
      </c>
      <c r="F611" s="221" t="s">
        <v>1949</v>
      </c>
    </row>
    <row r="612" spans="1:6">
      <c r="A612" s="221" t="s">
        <v>1948</v>
      </c>
      <c r="B612" s="221">
        <v>3542805910809050</v>
      </c>
      <c r="C612" s="221" t="s">
        <v>1947</v>
      </c>
      <c r="D612" s="221" t="s">
        <v>1946</v>
      </c>
      <c r="E612" s="160">
        <v>42212</v>
      </c>
      <c r="F612" s="221" t="s">
        <v>1945</v>
      </c>
    </row>
    <row r="613" spans="1:6">
      <c r="A613" s="221" t="s">
        <v>1594</v>
      </c>
      <c r="B613" s="221">
        <v>3538405285346970</v>
      </c>
      <c r="C613" s="221" t="s">
        <v>849</v>
      </c>
      <c r="D613" s="221" t="s">
        <v>1944</v>
      </c>
      <c r="E613" s="160">
        <v>42129</v>
      </c>
      <c r="F613" s="221" t="s">
        <v>1943</v>
      </c>
    </row>
    <row r="614" spans="1:6">
      <c r="A614" s="221" t="s">
        <v>1254</v>
      </c>
      <c r="B614" s="221">
        <v>4175009636609870</v>
      </c>
      <c r="C614" s="221" t="s">
        <v>1500</v>
      </c>
      <c r="D614" s="221" t="s">
        <v>1942</v>
      </c>
      <c r="E614" s="160">
        <v>42378</v>
      </c>
      <c r="F614" s="221" t="s">
        <v>1941</v>
      </c>
    </row>
    <row r="615" spans="1:6">
      <c r="A615" s="221" t="s">
        <v>842</v>
      </c>
      <c r="B615" s="221">
        <v>4917731914404820</v>
      </c>
      <c r="C615" s="221" t="s">
        <v>1940</v>
      </c>
      <c r="D615" s="221" t="s">
        <v>1939</v>
      </c>
      <c r="E615" s="160">
        <v>42460</v>
      </c>
      <c r="F615" s="221" t="s">
        <v>1938</v>
      </c>
    </row>
    <row r="616" spans="1:6">
      <c r="A616" s="221" t="s">
        <v>1350</v>
      </c>
      <c r="B616" s="221">
        <v>372301776619316</v>
      </c>
      <c r="C616" s="221" t="s">
        <v>1487</v>
      </c>
      <c r="D616" s="221" t="s">
        <v>1937</v>
      </c>
      <c r="E616" s="160">
        <v>42396</v>
      </c>
      <c r="F616" s="221" t="s">
        <v>1936</v>
      </c>
    </row>
    <row r="617" spans="1:6">
      <c r="A617" s="221" t="s">
        <v>1703</v>
      </c>
      <c r="B617" s="221">
        <v>3550245499767240</v>
      </c>
      <c r="C617" s="221" t="s">
        <v>1010</v>
      </c>
      <c r="D617" s="221" t="s">
        <v>1935</v>
      </c>
      <c r="E617" s="160">
        <v>42392</v>
      </c>
      <c r="F617" s="221" t="s">
        <v>1934</v>
      </c>
    </row>
    <row r="618" spans="1:6">
      <c r="A618" s="221" t="s">
        <v>1933</v>
      </c>
      <c r="B618" s="221">
        <v>3545989933845780</v>
      </c>
      <c r="C618" s="221" t="s">
        <v>1360</v>
      </c>
      <c r="D618" s="221" t="s">
        <v>1932</v>
      </c>
      <c r="E618" s="160">
        <v>42321</v>
      </c>
      <c r="F618" s="221" t="s">
        <v>1931</v>
      </c>
    </row>
    <row r="619" spans="1:6">
      <c r="A619" s="221" t="s">
        <v>1587</v>
      </c>
      <c r="B619" s="221">
        <v>30300832142911</v>
      </c>
      <c r="C619" s="221" t="s">
        <v>937</v>
      </c>
      <c r="D619" s="221" t="s">
        <v>1930</v>
      </c>
      <c r="E619" s="160">
        <v>42333</v>
      </c>
      <c r="F619" s="221" t="s">
        <v>1929</v>
      </c>
    </row>
    <row r="620" spans="1:6">
      <c r="A620" s="221" t="s">
        <v>1033</v>
      </c>
      <c r="B620" s="221">
        <v>30500764350214</v>
      </c>
      <c r="C620" s="221" t="s">
        <v>1928</v>
      </c>
      <c r="D620" s="221" t="s">
        <v>1927</v>
      </c>
      <c r="E620" s="160">
        <v>42365</v>
      </c>
      <c r="F620" s="221" t="s">
        <v>1926</v>
      </c>
    </row>
    <row r="621" spans="1:6">
      <c r="A621" s="221" t="s">
        <v>1477</v>
      </c>
      <c r="B621" s="221">
        <v>6.3041751530380104E+18</v>
      </c>
      <c r="C621" s="221" t="s">
        <v>1164</v>
      </c>
      <c r="D621" s="221" t="s">
        <v>1925</v>
      </c>
      <c r="E621" s="160">
        <v>42353</v>
      </c>
      <c r="F621" s="221" t="s">
        <v>1924</v>
      </c>
    </row>
    <row r="622" spans="1:6">
      <c r="A622" s="221" t="s">
        <v>1425</v>
      </c>
      <c r="B622" s="221">
        <v>3532691530173760</v>
      </c>
      <c r="C622" s="221" t="s">
        <v>1182</v>
      </c>
      <c r="D622" s="221" t="s">
        <v>1923</v>
      </c>
      <c r="E622" s="160">
        <v>42373</v>
      </c>
      <c r="F622" s="221" t="s">
        <v>1922</v>
      </c>
    </row>
    <row r="623" spans="1:6">
      <c r="A623" s="221" t="s">
        <v>982</v>
      </c>
      <c r="B623" s="221">
        <v>374288584032915</v>
      </c>
      <c r="C623" s="221" t="s">
        <v>1434</v>
      </c>
      <c r="D623" s="221" t="s">
        <v>1921</v>
      </c>
      <c r="E623" s="160">
        <v>42156</v>
      </c>
      <c r="F623" s="221" t="s">
        <v>1920</v>
      </c>
    </row>
    <row r="624" spans="1:6">
      <c r="A624" s="221" t="s">
        <v>1919</v>
      </c>
      <c r="B624" s="221">
        <v>6.3346993261857498E+17</v>
      </c>
      <c r="C624" s="221" t="s">
        <v>1324</v>
      </c>
      <c r="D624" s="221" t="s">
        <v>1918</v>
      </c>
      <c r="E624" s="160">
        <v>42368</v>
      </c>
      <c r="F624" s="221" t="s">
        <v>1917</v>
      </c>
    </row>
    <row r="625" spans="1:6">
      <c r="A625" s="221" t="s">
        <v>799</v>
      </c>
      <c r="B625" s="221">
        <v>3586838792251990</v>
      </c>
      <c r="C625" s="221" t="s">
        <v>1815</v>
      </c>
      <c r="D625" s="221" t="s">
        <v>1916</v>
      </c>
      <c r="E625" s="160">
        <v>42158</v>
      </c>
      <c r="F625" s="221" t="s">
        <v>1265</v>
      </c>
    </row>
    <row r="626" spans="1:6">
      <c r="A626" s="221" t="s">
        <v>842</v>
      </c>
      <c r="B626" s="221">
        <v>4913229437296720</v>
      </c>
      <c r="C626" s="221" t="s">
        <v>1080</v>
      </c>
      <c r="D626" s="221" t="s">
        <v>1915</v>
      </c>
      <c r="E626" s="160">
        <v>42438</v>
      </c>
      <c r="F626" s="221" t="s">
        <v>1914</v>
      </c>
    </row>
    <row r="627" spans="1:6">
      <c r="A627" s="221" t="s">
        <v>815</v>
      </c>
      <c r="B627" s="221">
        <v>5602212073580270</v>
      </c>
      <c r="C627" s="221" t="s">
        <v>1232</v>
      </c>
      <c r="D627" s="221" t="s">
        <v>1913</v>
      </c>
      <c r="E627" s="160">
        <v>42355</v>
      </c>
      <c r="F627" s="221" t="s">
        <v>1912</v>
      </c>
    </row>
    <row r="628" spans="1:6">
      <c r="A628" s="221" t="s">
        <v>830</v>
      </c>
      <c r="B628" s="221">
        <v>3558797577252020</v>
      </c>
      <c r="C628" s="221" t="s">
        <v>1739</v>
      </c>
      <c r="D628" s="221" t="s">
        <v>1911</v>
      </c>
      <c r="E628" s="160">
        <v>42339</v>
      </c>
      <c r="F628" s="221" t="s">
        <v>1910</v>
      </c>
    </row>
    <row r="629" spans="1:6">
      <c r="A629" s="221" t="s">
        <v>1909</v>
      </c>
      <c r="B629" s="221">
        <v>3573684774547550</v>
      </c>
      <c r="C629" s="221" t="s">
        <v>929</v>
      </c>
      <c r="D629" s="221" t="s">
        <v>1908</v>
      </c>
      <c r="E629" s="160">
        <v>42262</v>
      </c>
      <c r="F629" s="221" t="s">
        <v>1907</v>
      </c>
    </row>
    <row r="630" spans="1:6">
      <c r="A630" s="221" t="s">
        <v>1307</v>
      </c>
      <c r="B630" s="221">
        <v>3556943130632630</v>
      </c>
      <c r="C630" s="221" t="s">
        <v>1211</v>
      </c>
      <c r="D630" s="221" t="s">
        <v>1906</v>
      </c>
      <c r="E630" s="160">
        <v>42162</v>
      </c>
      <c r="F630" s="221" t="s">
        <v>1905</v>
      </c>
    </row>
    <row r="631" spans="1:6">
      <c r="A631" s="221" t="s">
        <v>1904</v>
      </c>
      <c r="B631" s="221">
        <v>372301221181680</v>
      </c>
      <c r="C631" s="221" t="s">
        <v>1260</v>
      </c>
      <c r="D631" s="221" t="s">
        <v>1903</v>
      </c>
      <c r="E631" s="160">
        <v>42246</v>
      </c>
      <c r="F631" s="221" t="s">
        <v>1902</v>
      </c>
    </row>
    <row r="632" spans="1:6">
      <c r="A632" s="221" t="s">
        <v>1676</v>
      </c>
      <c r="B632" s="221">
        <v>5602258343889410</v>
      </c>
      <c r="C632" s="221" t="s">
        <v>1211</v>
      </c>
      <c r="D632" s="221" t="s">
        <v>1901</v>
      </c>
      <c r="E632" s="160">
        <v>42371</v>
      </c>
      <c r="F632" s="221" t="s">
        <v>1900</v>
      </c>
    </row>
    <row r="633" spans="1:6">
      <c r="A633" s="221" t="s">
        <v>1397</v>
      </c>
      <c r="B633" s="221">
        <v>4175009703563570</v>
      </c>
      <c r="C633" s="221" t="s">
        <v>1244</v>
      </c>
      <c r="D633" s="221" t="s">
        <v>1899</v>
      </c>
      <c r="E633" s="160">
        <v>42416</v>
      </c>
      <c r="F633" s="221" t="s">
        <v>1898</v>
      </c>
    </row>
    <row r="634" spans="1:6">
      <c r="A634" s="221" t="s">
        <v>1897</v>
      </c>
      <c r="B634" s="221">
        <v>3572653193115040</v>
      </c>
      <c r="C634" s="221" t="s">
        <v>1164</v>
      </c>
      <c r="D634" s="221" t="s">
        <v>1896</v>
      </c>
      <c r="E634" s="160">
        <v>42211</v>
      </c>
      <c r="F634" s="221" t="s">
        <v>1895</v>
      </c>
    </row>
    <row r="635" spans="1:6">
      <c r="A635" s="221" t="s">
        <v>1894</v>
      </c>
      <c r="B635" s="221">
        <v>4023624626441010</v>
      </c>
      <c r="C635" s="221" t="s">
        <v>1749</v>
      </c>
      <c r="D635" s="221" t="s">
        <v>1893</v>
      </c>
      <c r="E635" s="160">
        <v>42383</v>
      </c>
      <c r="F635" s="221" t="s">
        <v>1892</v>
      </c>
    </row>
    <row r="636" spans="1:6">
      <c r="A636" s="221" t="s">
        <v>1891</v>
      </c>
      <c r="B636" s="221">
        <v>3572298664077840</v>
      </c>
      <c r="C636" s="221" t="s">
        <v>1063</v>
      </c>
      <c r="D636" s="221" t="s">
        <v>1890</v>
      </c>
      <c r="E636" s="160">
        <v>42297</v>
      </c>
      <c r="F636" s="221" t="s">
        <v>1889</v>
      </c>
    </row>
    <row r="637" spans="1:6">
      <c r="A637" s="221" t="s">
        <v>1030</v>
      </c>
      <c r="B637" s="221">
        <v>30326059927759</v>
      </c>
      <c r="C637" s="221" t="s">
        <v>1888</v>
      </c>
      <c r="D637" s="221" t="s">
        <v>1887</v>
      </c>
      <c r="E637" s="160">
        <v>42131</v>
      </c>
      <c r="F637" s="221" t="s">
        <v>1886</v>
      </c>
    </row>
    <row r="638" spans="1:6">
      <c r="A638" s="221" t="s">
        <v>1128</v>
      </c>
      <c r="B638" s="221">
        <v>30544937676584</v>
      </c>
      <c r="C638" s="221" t="s">
        <v>1267</v>
      </c>
      <c r="D638" s="221" t="s">
        <v>1885</v>
      </c>
      <c r="E638" s="160">
        <v>42144</v>
      </c>
      <c r="F638" s="221" t="s">
        <v>1884</v>
      </c>
    </row>
    <row r="639" spans="1:6">
      <c r="A639" s="221" t="s">
        <v>1883</v>
      </c>
      <c r="B639" s="221">
        <v>5.8932734553871706E+17</v>
      </c>
      <c r="C639" s="221" t="s">
        <v>1480</v>
      </c>
      <c r="D639" s="221" t="s">
        <v>1882</v>
      </c>
      <c r="E639" s="160">
        <v>42200</v>
      </c>
      <c r="F639" s="221" t="s">
        <v>1881</v>
      </c>
    </row>
    <row r="640" spans="1:6">
      <c r="A640" s="221" t="s">
        <v>1880</v>
      </c>
      <c r="B640" s="221">
        <v>3586023776763490</v>
      </c>
      <c r="C640" s="221" t="s">
        <v>1879</v>
      </c>
      <c r="D640" s="221" t="s">
        <v>1878</v>
      </c>
      <c r="E640" s="160">
        <v>42386</v>
      </c>
      <c r="F640" s="221" t="s">
        <v>1877</v>
      </c>
    </row>
    <row r="641" spans="1:6">
      <c r="A641" s="221" t="s">
        <v>1876</v>
      </c>
      <c r="B641" s="221">
        <v>374283380155069</v>
      </c>
      <c r="C641" s="221" t="s">
        <v>1688</v>
      </c>
      <c r="D641" s="221" t="s">
        <v>1875</v>
      </c>
      <c r="E641" s="160">
        <v>42390</v>
      </c>
      <c r="F641" s="221" t="s">
        <v>1874</v>
      </c>
    </row>
    <row r="642" spans="1:6">
      <c r="A642" s="221" t="s">
        <v>1873</v>
      </c>
      <c r="B642" s="221">
        <v>344306728210978</v>
      </c>
      <c r="C642" s="221" t="s">
        <v>891</v>
      </c>
      <c r="D642" s="221" t="s">
        <v>1872</v>
      </c>
      <c r="E642" s="160">
        <v>42242</v>
      </c>
      <c r="F642" s="221" t="s">
        <v>1871</v>
      </c>
    </row>
    <row r="643" spans="1:6">
      <c r="A643" s="221" t="s">
        <v>1870</v>
      </c>
      <c r="B643" s="221">
        <v>3554075782126410</v>
      </c>
      <c r="C643" s="221" t="s">
        <v>1869</v>
      </c>
      <c r="D643" s="221" t="s">
        <v>1868</v>
      </c>
      <c r="E643" s="160">
        <v>42351</v>
      </c>
      <c r="F643" s="221" t="s">
        <v>1867</v>
      </c>
    </row>
    <row r="644" spans="1:6">
      <c r="A644" s="221" t="s">
        <v>739</v>
      </c>
      <c r="B644" s="221">
        <v>201901071662163</v>
      </c>
      <c r="C644" s="221" t="s">
        <v>1092</v>
      </c>
      <c r="D644" s="221" t="s">
        <v>1866</v>
      </c>
      <c r="E644" s="160">
        <v>42271</v>
      </c>
      <c r="F644" s="221" t="s">
        <v>1865</v>
      </c>
    </row>
    <row r="645" spans="1:6">
      <c r="A645" s="221" t="s">
        <v>1864</v>
      </c>
      <c r="B645" s="221">
        <v>5239998698278390</v>
      </c>
      <c r="C645" s="221" t="s">
        <v>945</v>
      </c>
      <c r="D645" s="221" t="s">
        <v>1863</v>
      </c>
      <c r="E645" s="160">
        <v>42190</v>
      </c>
      <c r="F645" s="221" t="s">
        <v>1862</v>
      </c>
    </row>
    <row r="646" spans="1:6">
      <c r="A646" s="221" t="s">
        <v>1861</v>
      </c>
      <c r="B646" s="221">
        <v>3569529787241810</v>
      </c>
      <c r="C646" s="221" t="s">
        <v>902</v>
      </c>
      <c r="D646" s="221" t="s">
        <v>1860</v>
      </c>
      <c r="E646" s="160">
        <v>42335</v>
      </c>
      <c r="F646" s="221" t="s">
        <v>1859</v>
      </c>
    </row>
    <row r="647" spans="1:6">
      <c r="A647" s="221" t="s">
        <v>1468</v>
      </c>
      <c r="B647" s="221">
        <v>3531751367458220</v>
      </c>
      <c r="C647" s="221" t="s">
        <v>1440</v>
      </c>
      <c r="D647" s="221" t="s">
        <v>1858</v>
      </c>
      <c r="E647" s="160">
        <v>42323</v>
      </c>
      <c r="F647" s="221" t="s">
        <v>1857</v>
      </c>
    </row>
    <row r="648" spans="1:6">
      <c r="A648" s="221" t="s">
        <v>1856</v>
      </c>
      <c r="B648" s="221">
        <v>372301734396502</v>
      </c>
      <c r="C648" s="221" t="s">
        <v>1855</v>
      </c>
      <c r="D648" s="221" t="s">
        <v>1854</v>
      </c>
      <c r="E648" s="160">
        <v>42215</v>
      </c>
      <c r="F648" s="221" t="s">
        <v>1853</v>
      </c>
    </row>
    <row r="649" spans="1:6">
      <c r="A649" s="221" t="s">
        <v>1852</v>
      </c>
      <c r="B649" s="221">
        <v>3545938351390370</v>
      </c>
      <c r="C649" s="221" t="s">
        <v>734</v>
      </c>
      <c r="D649" s="221" t="s">
        <v>1851</v>
      </c>
      <c r="E649" s="160">
        <v>42263</v>
      </c>
      <c r="F649" s="221" t="s">
        <v>1850</v>
      </c>
    </row>
    <row r="650" spans="1:6">
      <c r="A650" s="221" t="s">
        <v>1849</v>
      </c>
      <c r="B650" s="221">
        <v>3542115677613140</v>
      </c>
      <c r="C650" s="221" t="s">
        <v>821</v>
      </c>
      <c r="D650" s="221" t="s">
        <v>1848</v>
      </c>
      <c r="E650" s="160">
        <v>42134</v>
      </c>
      <c r="F650" s="221" t="s">
        <v>1847</v>
      </c>
    </row>
    <row r="651" spans="1:6">
      <c r="A651" s="221" t="s">
        <v>1197</v>
      </c>
      <c r="B651" s="221">
        <v>5.0181411317962998E+18</v>
      </c>
      <c r="C651" s="221" t="s">
        <v>1695</v>
      </c>
      <c r="D651" s="221" t="s">
        <v>1846</v>
      </c>
      <c r="E651" s="160">
        <v>42245</v>
      </c>
      <c r="F651" s="221" t="s">
        <v>1845</v>
      </c>
    </row>
    <row r="652" spans="1:6">
      <c r="A652" s="221" t="s">
        <v>1290</v>
      </c>
      <c r="B652" s="221">
        <v>3569444018405740</v>
      </c>
      <c r="C652" s="221" t="s">
        <v>1018</v>
      </c>
      <c r="D652" s="221" t="s">
        <v>1844</v>
      </c>
      <c r="E652" s="160">
        <v>42175</v>
      </c>
      <c r="F652" s="221" t="s">
        <v>1843</v>
      </c>
    </row>
    <row r="653" spans="1:6">
      <c r="A653" s="221" t="s">
        <v>1842</v>
      </c>
      <c r="B653" s="221">
        <v>5048375619839560</v>
      </c>
      <c r="C653" s="221" t="s">
        <v>1669</v>
      </c>
      <c r="D653" s="221" t="s">
        <v>1841</v>
      </c>
      <c r="E653" s="160">
        <v>42237</v>
      </c>
      <c r="F653" s="221" t="s">
        <v>1840</v>
      </c>
    </row>
    <row r="654" spans="1:6">
      <c r="A654" s="221" t="s">
        <v>1839</v>
      </c>
      <c r="B654" s="221">
        <v>4026074907717840</v>
      </c>
      <c r="C654" s="221" t="s">
        <v>1838</v>
      </c>
      <c r="D654" s="221" t="s">
        <v>1837</v>
      </c>
      <c r="E654" s="160">
        <v>42256</v>
      </c>
      <c r="F654" s="221" t="s">
        <v>1836</v>
      </c>
    </row>
    <row r="655" spans="1:6">
      <c r="A655" s="221" t="s">
        <v>942</v>
      </c>
      <c r="B655" s="221">
        <v>5602251156770400</v>
      </c>
      <c r="C655" s="221" t="s">
        <v>810</v>
      </c>
      <c r="D655" s="221" t="s">
        <v>1835</v>
      </c>
      <c r="E655" s="160">
        <v>42182</v>
      </c>
      <c r="F655" s="221" t="s">
        <v>1834</v>
      </c>
    </row>
    <row r="656" spans="1:6">
      <c r="A656" s="221" t="s">
        <v>1374</v>
      </c>
      <c r="B656" s="221">
        <v>201895428094148</v>
      </c>
      <c r="C656" s="221" t="s">
        <v>833</v>
      </c>
      <c r="D656" s="221" t="s">
        <v>1833</v>
      </c>
      <c r="E656" s="160">
        <v>42175</v>
      </c>
      <c r="F656" s="221" t="s">
        <v>1832</v>
      </c>
    </row>
    <row r="657" spans="1:6">
      <c r="A657" s="221" t="s">
        <v>1343</v>
      </c>
      <c r="B657" s="221">
        <v>3556993585969140</v>
      </c>
      <c r="C657" s="221" t="s">
        <v>829</v>
      </c>
      <c r="D657" s="221" t="s">
        <v>1831</v>
      </c>
      <c r="E657" s="160">
        <v>42282</v>
      </c>
      <c r="F657" s="221" t="s">
        <v>1830</v>
      </c>
    </row>
    <row r="658" spans="1:6">
      <c r="A658" s="221" t="s">
        <v>942</v>
      </c>
      <c r="B658" s="221">
        <v>3548076404867150</v>
      </c>
      <c r="C658" s="221" t="s">
        <v>1296</v>
      </c>
      <c r="D658" s="221" t="s">
        <v>1829</v>
      </c>
      <c r="E658" s="160">
        <v>42355</v>
      </c>
      <c r="F658" s="221" t="s">
        <v>1828</v>
      </c>
    </row>
    <row r="659" spans="1:6">
      <c r="A659" s="221" t="s">
        <v>1827</v>
      </c>
      <c r="B659" s="221">
        <v>3537817689126660</v>
      </c>
      <c r="C659" s="221" t="s">
        <v>1314</v>
      </c>
      <c r="D659" s="221" t="s">
        <v>1826</v>
      </c>
      <c r="E659" s="160">
        <v>42306</v>
      </c>
      <c r="F659" s="221" t="s">
        <v>1825</v>
      </c>
    </row>
    <row r="660" spans="1:6">
      <c r="A660" s="221" t="s">
        <v>1233</v>
      </c>
      <c r="B660" s="221">
        <v>5002356881583330</v>
      </c>
      <c r="C660" s="221" t="s">
        <v>1742</v>
      </c>
      <c r="D660" s="221" t="s">
        <v>1824</v>
      </c>
      <c r="E660" s="160">
        <v>42165</v>
      </c>
      <c r="F660" s="221" t="s">
        <v>1823</v>
      </c>
    </row>
    <row r="661" spans="1:6">
      <c r="A661" s="221" t="s">
        <v>1822</v>
      </c>
      <c r="B661" s="221">
        <v>4913062234968</v>
      </c>
      <c r="C661" s="221" t="s">
        <v>887</v>
      </c>
      <c r="D661" s="221" t="s">
        <v>1821</v>
      </c>
      <c r="E661" s="160">
        <v>42291</v>
      </c>
      <c r="F661" s="221" t="s">
        <v>1820</v>
      </c>
    </row>
    <row r="662" spans="1:6">
      <c r="A662" s="221" t="s">
        <v>1077</v>
      </c>
      <c r="B662" s="221">
        <v>379422339973892</v>
      </c>
      <c r="C662" s="221" t="s">
        <v>766</v>
      </c>
      <c r="D662" s="221" t="s">
        <v>1819</v>
      </c>
      <c r="E662" s="160">
        <v>42367</v>
      </c>
      <c r="F662" s="221" t="s">
        <v>1818</v>
      </c>
    </row>
    <row r="663" spans="1:6">
      <c r="A663" s="221" t="s">
        <v>1754</v>
      </c>
      <c r="B663" s="221">
        <v>4041593970452</v>
      </c>
      <c r="C663" s="221" t="s">
        <v>985</v>
      </c>
      <c r="D663" s="221" t="s">
        <v>1817</v>
      </c>
      <c r="E663" s="160">
        <v>42417</v>
      </c>
      <c r="F663" s="221" t="s">
        <v>1816</v>
      </c>
    </row>
    <row r="664" spans="1:6">
      <c r="A664" s="221" t="s">
        <v>1128</v>
      </c>
      <c r="B664" s="221">
        <v>4026663415704800</v>
      </c>
      <c r="C664" s="221" t="s">
        <v>1815</v>
      </c>
      <c r="D664" s="221" t="s">
        <v>1814</v>
      </c>
      <c r="E664" s="160">
        <v>42264</v>
      </c>
      <c r="F664" s="221" t="s">
        <v>1813</v>
      </c>
    </row>
    <row r="665" spans="1:6">
      <c r="A665" s="221" t="s">
        <v>1812</v>
      </c>
      <c r="B665" s="221">
        <v>3584922281198170</v>
      </c>
      <c r="C665" s="221" t="s">
        <v>1327</v>
      </c>
      <c r="D665" s="221" t="s">
        <v>1811</v>
      </c>
      <c r="E665" s="160">
        <v>42173</v>
      </c>
      <c r="F665" s="221" t="s">
        <v>1810</v>
      </c>
    </row>
    <row r="666" spans="1:6">
      <c r="A666" s="221" t="s">
        <v>1809</v>
      </c>
      <c r="B666" s="221">
        <v>4041598211118</v>
      </c>
      <c r="C666" s="221" t="s">
        <v>1808</v>
      </c>
      <c r="D666" s="221" t="s">
        <v>1807</v>
      </c>
      <c r="E666" s="160">
        <v>42274</v>
      </c>
      <c r="F666" s="221" t="s">
        <v>1806</v>
      </c>
    </row>
    <row r="667" spans="1:6">
      <c r="A667" s="221" t="s">
        <v>1805</v>
      </c>
      <c r="B667" s="221">
        <v>6.76335526525386E+16</v>
      </c>
      <c r="C667" s="221" t="s">
        <v>1373</v>
      </c>
      <c r="D667" s="221" t="s">
        <v>1804</v>
      </c>
      <c r="E667" s="160">
        <v>42311</v>
      </c>
      <c r="F667" s="221" t="s">
        <v>1803</v>
      </c>
    </row>
    <row r="668" spans="1:6">
      <c r="A668" s="221" t="s">
        <v>1468</v>
      </c>
      <c r="B668" s="221">
        <v>3549888188787380</v>
      </c>
      <c r="C668" s="221" t="s">
        <v>1630</v>
      </c>
      <c r="D668" s="221" t="s">
        <v>1802</v>
      </c>
      <c r="E668" s="160">
        <v>42330</v>
      </c>
      <c r="F668" s="221" t="s">
        <v>1801</v>
      </c>
    </row>
    <row r="669" spans="1:6">
      <c r="A669" s="221" t="s">
        <v>1800</v>
      </c>
      <c r="B669" s="221">
        <v>30128596405905</v>
      </c>
      <c r="C669" s="221" t="s">
        <v>1514</v>
      </c>
      <c r="D669" s="221" t="s">
        <v>1799</v>
      </c>
      <c r="E669" s="160">
        <v>42418</v>
      </c>
      <c r="F669" s="221" t="s">
        <v>1798</v>
      </c>
    </row>
    <row r="670" spans="1:6">
      <c r="A670" s="221" t="s">
        <v>1797</v>
      </c>
      <c r="B670" s="221">
        <v>5641828061026170</v>
      </c>
      <c r="C670" s="221" t="s">
        <v>1796</v>
      </c>
      <c r="D670" s="221" t="s">
        <v>1795</v>
      </c>
      <c r="E670" s="160">
        <v>42173</v>
      </c>
      <c r="F670" s="221" t="s">
        <v>1794</v>
      </c>
    </row>
    <row r="671" spans="1:6">
      <c r="A671" s="221" t="s">
        <v>1793</v>
      </c>
      <c r="B671" s="221">
        <v>6397630603953740</v>
      </c>
      <c r="C671" s="221" t="s">
        <v>937</v>
      </c>
      <c r="D671" s="221" t="s">
        <v>1792</v>
      </c>
      <c r="E671" s="160">
        <v>42289</v>
      </c>
      <c r="F671" s="221" t="s">
        <v>1791</v>
      </c>
    </row>
    <row r="672" spans="1:6">
      <c r="A672" s="221" t="s">
        <v>1790</v>
      </c>
      <c r="B672" s="221">
        <v>5007661142845960</v>
      </c>
      <c r="C672" s="221" t="s">
        <v>1789</v>
      </c>
      <c r="D672" s="221" t="s">
        <v>1788</v>
      </c>
      <c r="E672" s="160">
        <v>42105</v>
      </c>
      <c r="F672" s="221" t="s">
        <v>1787</v>
      </c>
    </row>
    <row r="673" spans="1:6">
      <c r="A673" s="221" t="s">
        <v>1311</v>
      </c>
      <c r="B673" s="221">
        <v>3544330234977280</v>
      </c>
      <c r="C673" s="221" t="s">
        <v>1683</v>
      </c>
      <c r="D673" s="221" t="s">
        <v>1786</v>
      </c>
      <c r="E673" s="160">
        <v>42448</v>
      </c>
      <c r="F673" s="221" t="s">
        <v>1785</v>
      </c>
    </row>
    <row r="674" spans="1:6">
      <c r="A674" s="221" t="s">
        <v>1219</v>
      </c>
      <c r="B674" s="221">
        <v>5576515869488270</v>
      </c>
      <c r="C674" s="221" t="s">
        <v>1675</v>
      </c>
      <c r="D674" s="221" t="s">
        <v>1784</v>
      </c>
      <c r="E674" s="160">
        <v>42185</v>
      </c>
      <c r="F674" s="221" t="s">
        <v>1783</v>
      </c>
    </row>
    <row r="675" spans="1:6">
      <c r="A675" s="221" t="s">
        <v>1650</v>
      </c>
      <c r="B675" s="221">
        <v>3550351180338870</v>
      </c>
      <c r="C675" s="221" t="s">
        <v>1642</v>
      </c>
      <c r="D675" s="221" t="s">
        <v>1782</v>
      </c>
      <c r="E675" s="160">
        <v>42295</v>
      </c>
      <c r="F675" s="221" t="s">
        <v>1781</v>
      </c>
    </row>
    <row r="676" spans="1:6">
      <c r="A676" s="221" t="s">
        <v>934</v>
      </c>
      <c r="B676" s="221">
        <v>201573130217139</v>
      </c>
      <c r="C676" s="221" t="s">
        <v>861</v>
      </c>
      <c r="D676" s="221" t="s">
        <v>1780</v>
      </c>
      <c r="E676" s="160">
        <v>42196</v>
      </c>
      <c r="F676" s="221" t="s">
        <v>1779</v>
      </c>
    </row>
    <row r="677" spans="1:6">
      <c r="A677" s="221" t="s">
        <v>1778</v>
      </c>
      <c r="B677" s="221">
        <v>3540994863430230</v>
      </c>
      <c r="C677" s="221" t="s">
        <v>1777</v>
      </c>
      <c r="D677" s="221" t="s">
        <v>1776</v>
      </c>
      <c r="E677" s="160">
        <v>42389</v>
      </c>
      <c r="F677" s="221" t="s">
        <v>1775</v>
      </c>
    </row>
    <row r="678" spans="1:6">
      <c r="A678" s="221" t="s">
        <v>938</v>
      </c>
      <c r="B678" s="221">
        <v>4508725843825850</v>
      </c>
      <c r="C678" s="221" t="s">
        <v>1287</v>
      </c>
      <c r="D678" s="221" t="s">
        <v>1774</v>
      </c>
      <c r="E678" s="160">
        <v>42324</v>
      </c>
      <c r="F678" s="221" t="s">
        <v>1773</v>
      </c>
    </row>
    <row r="679" spans="1:6">
      <c r="A679" s="221" t="s">
        <v>1278</v>
      </c>
      <c r="B679" s="221">
        <v>4405508520502230</v>
      </c>
      <c r="C679" s="221" t="s">
        <v>1306</v>
      </c>
      <c r="D679" s="221" t="s">
        <v>1772</v>
      </c>
      <c r="E679" s="160">
        <v>42139</v>
      </c>
      <c r="F679" s="221" t="s">
        <v>1771</v>
      </c>
    </row>
    <row r="680" spans="1:6">
      <c r="A680" s="221" t="s">
        <v>1624</v>
      </c>
      <c r="B680" s="221">
        <v>5.0201583409313198E+18</v>
      </c>
      <c r="C680" s="221" t="s">
        <v>1310</v>
      </c>
      <c r="D680" s="221" t="s">
        <v>1770</v>
      </c>
      <c r="E680" s="160">
        <v>42391</v>
      </c>
      <c r="F680" s="221" t="s">
        <v>1769</v>
      </c>
    </row>
    <row r="681" spans="1:6">
      <c r="A681" s="221" t="s">
        <v>1768</v>
      </c>
      <c r="B681" s="221">
        <v>6.3043502839229204E+18</v>
      </c>
      <c r="C681" s="221" t="s">
        <v>1036</v>
      </c>
      <c r="D681" s="221" t="s">
        <v>1767</v>
      </c>
      <c r="E681" s="160">
        <v>42402</v>
      </c>
      <c r="F681" s="221" t="s">
        <v>1766</v>
      </c>
    </row>
    <row r="682" spans="1:6">
      <c r="A682" s="221" t="s">
        <v>1765</v>
      </c>
      <c r="B682" s="221">
        <v>5.0206238582101904E+16</v>
      </c>
      <c r="C682" s="221" t="s">
        <v>1260</v>
      </c>
      <c r="D682" s="221" t="s">
        <v>1764</v>
      </c>
      <c r="E682" s="160">
        <v>42319</v>
      </c>
      <c r="F682" s="221" t="s">
        <v>1763</v>
      </c>
    </row>
    <row r="683" spans="1:6">
      <c r="A683" s="221" t="s">
        <v>1128</v>
      </c>
      <c r="B683" s="221">
        <v>3536558659564480</v>
      </c>
      <c r="C683" s="221" t="s">
        <v>1059</v>
      </c>
      <c r="D683" s="221" t="s">
        <v>1762</v>
      </c>
      <c r="E683" s="160">
        <v>42325</v>
      </c>
      <c r="F683" s="221" t="s">
        <v>1761</v>
      </c>
    </row>
    <row r="684" spans="1:6">
      <c r="A684" s="221" t="s">
        <v>850</v>
      </c>
      <c r="B684" s="221">
        <v>3583659391303980</v>
      </c>
      <c r="C684" s="221" t="s">
        <v>1683</v>
      </c>
      <c r="D684" s="221" t="s">
        <v>1760</v>
      </c>
      <c r="E684" s="160">
        <v>42301</v>
      </c>
      <c r="F684" s="221" t="s">
        <v>1759</v>
      </c>
    </row>
    <row r="685" spans="1:6">
      <c r="A685" s="221" t="s">
        <v>763</v>
      </c>
      <c r="B685" s="221">
        <v>3580190205320490</v>
      </c>
      <c r="C685" s="221" t="s">
        <v>798</v>
      </c>
      <c r="D685" s="221" t="s">
        <v>1758</v>
      </c>
      <c r="E685" s="160">
        <v>42458</v>
      </c>
      <c r="F685" s="221" t="s">
        <v>1757</v>
      </c>
    </row>
    <row r="686" spans="1:6">
      <c r="A686" s="221" t="s">
        <v>1128</v>
      </c>
      <c r="B686" s="221">
        <v>3540639302830770</v>
      </c>
      <c r="C686" s="221" t="s">
        <v>978</v>
      </c>
      <c r="D686" s="221" t="s">
        <v>1756</v>
      </c>
      <c r="E686" s="160">
        <v>42379</v>
      </c>
      <c r="F686" s="221" t="s">
        <v>1755</v>
      </c>
    </row>
    <row r="687" spans="1:6">
      <c r="A687" s="221" t="s">
        <v>1754</v>
      </c>
      <c r="B687" s="221">
        <v>4844251672480980</v>
      </c>
      <c r="C687" s="221" t="s">
        <v>1753</v>
      </c>
      <c r="D687" s="221" t="s">
        <v>1752</v>
      </c>
      <c r="E687" s="160">
        <v>42154</v>
      </c>
      <c r="F687" s="221" t="s">
        <v>1751</v>
      </c>
    </row>
    <row r="688" spans="1:6">
      <c r="A688" s="221" t="s">
        <v>1750</v>
      </c>
      <c r="B688" s="221">
        <v>5500313252266310</v>
      </c>
      <c r="C688" s="221" t="s">
        <v>1749</v>
      </c>
      <c r="D688" s="221" t="s">
        <v>1748</v>
      </c>
      <c r="E688" s="160">
        <v>42375</v>
      </c>
      <c r="F688" s="221" t="s">
        <v>1747</v>
      </c>
    </row>
    <row r="689" spans="1:6">
      <c r="A689" s="221" t="s">
        <v>1484</v>
      </c>
      <c r="B689" s="221">
        <v>6.7590333346707599E+18</v>
      </c>
      <c r="C689" s="221" t="s">
        <v>1182</v>
      </c>
      <c r="D689" s="221" t="s">
        <v>1746</v>
      </c>
      <c r="E689" s="160">
        <v>42294</v>
      </c>
      <c r="F689" s="221" t="s">
        <v>1745</v>
      </c>
    </row>
    <row r="690" spans="1:6">
      <c r="A690" s="221" t="s">
        <v>1441</v>
      </c>
      <c r="B690" s="221">
        <v>343044946146291</v>
      </c>
      <c r="C690" s="221" t="s">
        <v>1428</v>
      </c>
      <c r="D690" s="221" t="s">
        <v>1744</v>
      </c>
      <c r="E690" s="160">
        <v>42393</v>
      </c>
      <c r="F690" s="221" t="s">
        <v>1743</v>
      </c>
    </row>
    <row r="691" spans="1:6">
      <c r="A691" s="221" t="s">
        <v>1303</v>
      </c>
      <c r="B691" s="221">
        <v>3573836379913220</v>
      </c>
      <c r="C691" s="221" t="s">
        <v>1742</v>
      </c>
      <c r="D691" s="221" t="s">
        <v>1741</v>
      </c>
      <c r="E691" s="160">
        <v>42434</v>
      </c>
      <c r="F691" s="221" t="s">
        <v>1740</v>
      </c>
    </row>
    <row r="692" spans="1:6">
      <c r="A692" s="221" t="s">
        <v>942</v>
      </c>
      <c r="B692" s="221">
        <v>5018456904621890</v>
      </c>
      <c r="C692" s="221" t="s">
        <v>1739</v>
      </c>
      <c r="D692" s="221" t="s">
        <v>1738</v>
      </c>
      <c r="E692" s="160">
        <v>42360</v>
      </c>
      <c r="F692" s="221" t="s">
        <v>1737</v>
      </c>
    </row>
    <row r="693" spans="1:6">
      <c r="A693" s="221" t="s">
        <v>1736</v>
      </c>
      <c r="B693" s="221">
        <v>5602254671064220</v>
      </c>
      <c r="C693" s="221" t="s">
        <v>1296</v>
      </c>
      <c r="D693" s="221" t="s">
        <v>1735</v>
      </c>
      <c r="E693" s="160">
        <v>42389</v>
      </c>
      <c r="F693" s="221" t="s">
        <v>1734</v>
      </c>
    </row>
    <row r="694" spans="1:6">
      <c r="A694" s="221" t="s">
        <v>1733</v>
      </c>
      <c r="B694" s="221">
        <v>3531371811281090</v>
      </c>
      <c r="C694" s="221" t="s">
        <v>1732</v>
      </c>
      <c r="D694" s="221" t="s">
        <v>1731</v>
      </c>
      <c r="E694" s="160">
        <v>42278</v>
      </c>
      <c r="F694" s="221" t="s">
        <v>1730</v>
      </c>
    </row>
    <row r="695" spans="1:6">
      <c r="A695" s="221" t="s">
        <v>1663</v>
      </c>
      <c r="B695" s="221">
        <v>3568328809247630</v>
      </c>
      <c r="C695" s="221" t="s">
        <v>1413</v>
      </c>
      <c r="D695" s="221" t="s">
        <v>1729</v>
      </c>
      <c r="E695" s="160">
        <v>42165</v>
      </c>
      <c r="F695" s="221" t="s">
        <v>1728</v>
      </c>
    </row>
    <row r="696" spans="1:6">
      <c r="A696" s="221" t="s">
        <v>1445</v>
      </c>
      <c r="B696" s="221">
        <v>3579026047454660</v>
      </c>
      <c r="C696" s="221" t="s">
        <v>1616</v>
      </c>
      <c r="D696" s="221" t="s">
        <v>1727</v>
      </c>
      <c r="E696" s="160">
        <v>42329</v>
      </c>
      <c r="F696" s="221" t="s">
        <v>1726</v>
      </c>
    </row>
    <row r="697" spans="1:6">
      <c r="A697" s="221" t="s">
        <v>1725</v>
      </c>
      <c r="B697" s="221">
        <v>3581648657308090</v>
      </c>
      <c r="C697" s="221" t="s">
        <v>1123</v>
      </c>
      <c r="D697" s="221" t="s">
        <v>1724</v>
      </c>
      <c r="E697" s="160">
        <v>42312</v>
      </c>
      <c r="F697" s="221" t="s">
        <v>1723</v>
      </c>
    </row>
    <row r="698" spans="1:6">
      <c r="A698" s="221" t="s">
        <v>1139</v>
      </c>
      <c r="B698" s="221">
        <v>5.8939057789130701E+18</v>
      </c>
      <c r="C698" s="221" t="s">
        <v>1597</v>
      </c>
      <c r="D698" s="221" t="s">
        <v>1722</v>
      </c>
      <c r="E698" s="160">
        <v>42187</v>
      </c>
      <c r="F698" s="221" t="s">
        <v>1721</v>
      </c>
    </row>
    <row r="699" spans="1:6">
      <c r="A699" s="221" t="s">
        <v>1007</v>
      </c>
      <c r="B699" s="221">
        <v>6.7632807347883302E+17</v>
      </c>
      <c r="C699" s="221" t="s">
        <v>1014</v>
      </c>
      <c r="D699" s="221" t="s">
        <v>1720</v>
      </c>
      <c r="E699" s="160">
        <v>42258</v>
      </c>
      <c r="F699" s="221" t="s">
        <v>1719</v>
      </c>
    </row>
    <row r="700" spans="1:6">
      <c r="A700" s="221" t="s">
        <v>1397</v>
      </c>
      <c r="B700" s="221">
        <v>5.6107364460346696E+18</v>
      </c>
      <c r="C700" s="221" t="s">
        <v>790</v>
      </c>
      <c r="D700" s="221" t="s">
        <v>1718</v>
      </c>
      <c r="E700" s="160">
        <v>42336</v>
      </c>
      <c r="F700" s="221" t="s">
        <v>1717</v>
      </c>
    </row>
    <row r="701" spans="1:6">
      <c r="A701" s="221" t="s">
        <v>1708</v>
      </c>
      <c r="B701" s="221">
        <v>4041593573868</v>
      </c>
      <c r="C701" s="221" t="s">
        <v>1716</v>
      </c>
      <c r="D701" s="221" t="s">
        <v>1715</v>
      </c>
      <c r="E701" s="160">
        <v>42155</v>
      </c>
      <c r="F701" s="221" t="s">
        <v>1714</v>
      </c>
    </row>
    <row r="702" spans="1:6">
      <c r="A702" s="221" t="s">
        <v>1215</v>
      </c>
      <c r="B702" s="221">
        <v>4405479434210400</v>
      </c>
      <c r="C702" s="221" t="s">
        <v>1088</v>
      </c>
      <c r="D702" s="221" t="s">
        <v>1713</v>
      </c>
      <c r="E702" s="160">
        <v>42149</v>
      </c>
      <c r="F702" s="221" t="s">
        <v>1712</v>
      </c>
    </row>
    <row r="703" spans="1:6">
      <c r="A703" s="221" t="s">
        <v>1711</v>
      </c>
      <c r="B703" s="221">
        <v>4026840020004320</v>
      </c>
      <c r="C703" s="221" t="s">
        <v>762</v>
      </c>
      <c r="D703" s="221" t="s">
        <v>1710</v>
      </c>
      <c r="E703" s="160">
        <v>42359</v>
      </c>
      <c r="F703" s="221" t="s">
        <v>1709</v>
      </c>
    </row>
    <row r="704" spans="1:6">
      <c r="A704" s="221" t="s">
        <v>1708</v>
      </c>
      <c r="B704" s="221">
        <v>6331101688010800</v>
      </c>
      <c r="C704" s="221" t="s">
        <v>1120</v>
      </c>
      <c r="D704" s="221" t="s">
        <v>1707</v>
      </c>
      <c r="E704" s="160">
        <v>42393</v>
      </c>
      <c r="F704" s="221" t="s">
        <v>1706</v>
      </c>
    </row>
    <row r="705" spans="1:6">
      <c r="A705" s="221" t="s">
        <v>1544</v>
      </c>
      <c r="B705" s="221">
        <v>5.6103281561177201E+18</v>
      </c>
      <c r="C705" s="221" t="s">
        <v>1457</v>
      </c>
      <c r="D705" s="221" t="s">
        <v>1705</v>
      </c>
      <c r="E705" s="160">
        <v>42101</v>
      </c>
      <c r="F705" s="221" t="s">
        <v>1704</v>
      </c>
    </row>
    <row r="706" spans="1:6">
      <c r="A706" s="221" t="s">
        <v>1703</v>
      </c>
      <c r="B706" s="221">
        <v>3561801648887880</v>
      </c>
      <c r="C706" s="221" t="s">
        <v>1317</v>
      </c>
      <c r="D706" s="221" t="s">
        <v>1702</v>
      </c>
      <c r="E706" s="160">
        <v>42315</v>
      </c>
      <c r="F706" s="221" t="s">
        <v>1701</v>
      </c>
    </row>
    <row r="707" spans="1:6">
      <c r="A707" s="221" t="s">
        <v>1149</v>
      </c>
      <c r="B707" s="221">
        <v>5018928449565880</v>
      </c>
      <c r="C707" s="221" t="s">
        <v>1314</v>
      </c>
      <c r="D707" s="221" t="s">
        <v>1700</v>
      </c>
      <c r="E707" s="160">
        <v>42162</v>
      </c>
      <c r="F707" s="221" t="s">
        <v>1699</v>
      </c>
    </row>
    <row r="708" spans="1:6">
      <c r="A708" s="221" t="s">
        <v>1698</v>
      </c>
      <c r="B708" s="221">
        <v>30242904143460</v>
      </c>
      <c r="C708" s="221" t="s">
        <v>1428</v>
      </c>
      <c r="D708" s="221" t="s">
        <v>1697</v>
      </c>
      <c r="E708" s="160">
        <v>42257</v>
      </c>
      <c r="F708" s="221" t="s">
        <v>1696</v>
      </c>
    </row>
    <row r="709" spans="1:6">
      <c r="A709" s="221" t="s">
        <v>771</v>
      </c>
      <c r="B709" s="221">
        <v>6373120572543080</v>
      </c>
      <c r="C709" s="221" t="s">
        <v>1695</v>
      </c>
      <c r="D709" s="221" t="s">
        <v>1694</v>
      </c>
      <c r="E709" s="160">
        <v>42291</v>
      </c>
      <c r="F709" s="221" t="s">
        <v>1693</v>
      </c>
    </row>
    <row r="710" spans="1:6">
      <c r="A710" s="221" t="s">
        <v>1519</v>
      </c>
      <c r="B710" s="221">
        <v>201458827669240</v>
      </c>
      <c r="C710" s="221" t="s">
        <v>914</v>
      </c>
      <c r="D710" s="221" t="s">
        <v>1692</v>
      </c>
      <c r="E710" s="160">
        <v>42408</v>
      </c>
      <c r="F710" s="221" t="s">
        <v>1691</v>
      </c>
    </row>
    <row r="711" spans="1:6">
      <c r="A711" s="221" t="s">
        <v>1605</v>
      </c>
      <c r="B711" s="221">
        <v>201762531206094</v>
      </c>
      <c r="C711" s="221" t="s">
        <v>1104</v>
      </c>
      <c r="D711" s="221" t="s">
        <v>1690</v>
      </c>
      <c r="E711" s="160">
        <v>42177</v>
      </c>
      <c r="F711" s="221" t="s">
        <v>1689</v>
      </c>
    </row>
    <row r="712" spans="1:6">
      <c r="A712" s="221" t="s">
        <v>911</v>
      </c>
      <c r="B712" s="221">
        <v>5100142946027890</v>
      </c>
      <c r="C712" s="221" t="s">
        <v>1688</v>
      </c>
      <c r="D712" s="221" t="s">
        <v>1687</v>
      </c>
      <c r="E712" s="160">
        <v>42125</v>
      </c>
      <c r="F712" s="221" t="s">
        <v>1686</v>
      </c>
    </row>
    <row r="713" spans="1:6">
      <c r="A713" s="221" t="s">
        <v>1468</v>
      </c>
      <c r="B713" s="221">
        <v>5.6105062791725E+16</v>
      </c>
      <c r="C713" s="221" t="s">
        <v>1188</v>
      </c>
      <c r="D713" s="221" t="s">
        <v>1685</v>
      </c>
      <c r="E713" s="160">
        <v>42438</v>
      </c>
      <c r="F713" s="221" t="s">
        <v>1684</v>
      </c>
    </row>
    <row r="714" spans="1:6">
      <c r="A714" s="221" t="s">
        <v>957</v>
      </c>
      <c r="B714" s="221">
        <v>374973168140875</v>
      </c>
      <c r="C714" s="221" t="s">
        <v>1683</v>
      </c>
      <c r="D714" s="221" t="s">
        <v>1682</v>
      </c>
      <c r="E714" s="160">
        <v>42310</v>
      </c>
      <c r="F714" s="221" t="s">
        <v>1681</v>
      </c>
    </row>
    <row r="715" spans="1:6">
      <c r="A715" s="221" t="s">
        <v>1680</v>
      </c>
      <c r="B715" s="221">
        <v>4914681401012</v>
      </c>
      <c r="C715" s="221" t="s">
        <v>1679</v>
      </c>
      <c r="D715" s="221" t="s">
        <v>1678</v>
      </c>
      <c r="E715" s="160">
        <v>42132</v>
      </c>
      <c r="F715" s="221" t="s">
        <v>1677</v>
      </c>
    </row>
    <row r="716" spans="1:6">
      <c r="A716" s="221" t="s">
        <v>1676</v>
      </c>
      <c r="B716" s="221">
        <v>5.0204651187445002E+18</v>
      </c>
      <c r="C716" s="221" t="s">
        <v>1675</v>
      </c>
      <c r="D716" s="221" t="s">
        <v>1674</v>
      </c>
      <c r="E716" s="160">
        <v>42360</v>
      </c>
      <c r="F716" s="221" t="s">
        <v>1673</v>
      </c>
    </row>
    <row r="717" spans="1:6">
      <c r="A717" s="221" t="s">
        <v>1672</v>
      </c>
      <c r="B717" s="221">
        <v>4026933140316450</v>
      </c>
      <c r="C717" s="221" t="s">
        <v>1188</v>
      </c>
      <c r="D717" s="221" t="s">
        <v>1671</v>
      </c>
      <c r="E717" s="160">
        <v>42367</v>
      </c>
      <c r="F717" s="221" t="s">
        <v>1670</v>
      </c>
    </row>
    <row r="718" spans="1:6">
      <c r="A718" s="221" t="s">
        <v>1451</v>
      </c>
      <c r="B718" s="221">
        <v>5007667671473920</v>
      </c>
      <c r="C718" s="221" t="s">
        <v>1669</v>
      </c>
      <c r="D718" s="221" t="s">
        <v>1668</v>
      </c>
      <c r="E718" s="160">
        <v>42333</v>
      </c>
      <c r="F718" s="221" t="s">
        <v>1667</v>
      </c>
    </row>
    <row r="719" spans="1:6">
      <c r="A719" s="221" t="s">
        <v>1666</v>
      </c>
      <c r="B719" s="221">
        <v>3556705857720960</v>
      </c>
      <c r="C719" s="221" t="s">
        <v>887</v>
      </c>
      <c r="D719" s="221" t="s">
        <v>1665</v>
      </c>
      <c r="E719" s="160">
        <v>42270</v>
      </c>
      <c r="F719" s="221" t="s">
        <v>1664</v>
      </c>
    </row>
    <row r="720" spans="1:6">
      <c r="A720" s="221" t="s">
        <v>1663</v>
      </c>
      <c r="B720" s="221">
        <v>3571654500090930</v>
      </c>
      <c r="C720" s="221" t="s">
        <v>1642</v>
      </c>
      <c r="D720" s="221" t="s">
        <v>1662</v>
      </c>
      <c r="E720" s="160">
        <v>42165</v>
      </c>
      <c r="F720" s="221" t="s">
        <v>1661</v>
      </c>
    </row>
    <row r="721" spans="1:6">
      <c r="A721" s="221" t="s">
        <v>922</v>
      </c>
      <c r="B721" s="221">
        <v>337941072100109</v>
      </c>
      <c r="C721" s="221" t="s">
        <v>1440</v>
      </c>
      <c r="D721" s="221" t="s">
        <v>1660</v>
      </c>
      <c r="E721" s="160">
        <v>42222</v>
      </c>
      <c r="F721" s="221" t="s">
        <v>1659</v>
      </c>
    </row>
    <row r="722" spans="1:6">
      <c r="A722" s="221" t="s">
        <v>1658</v>
      </c>
      <c r="B722" s="221">
        <v>3537198068632680</v>
      </c>
      <c r="C722" s="221" t="s">
        <v>1424</v>
      </c>
      <c r="D722" s="221" t="s">
        <v>1657</v>
      </c>
      <c r="E722" s="160">
        <v>42310</v>
      </c>
      <c r="F722" s="221" t="s">
        <v>1656</v>
      </c>
    </row>
    <row r="723" spans="1:6">
      <c r="A723" s="221" t="s">
        <v>1526</v>
      </c>
      <c r="B723" s="221">
        <v>3589123131040770</v>
      </c>
      <c r="C723" s="221" t="s">
        <v>1655</v>
      </c>
      <c r="D723" s="221" t="s">
        <v>1654</v>
      </c>
      <c r="E723" s="160">
        <v>42114</v>
      </c>
      <c r="F723" s="221" t="s">
        <v>1653</v>
      </c>
    </row>
    <row r="724" spans="1:6">
      <c r="A724" s="221" t="s">
        <v>1089</v>
      </c>
      <c r="B724" s="221">
        <v>3530581422129920</v>
      </c>
      <c r="C724" s="221" t="s">
        <v>1040</v>
      </c>
      <c r="D724" s="221" t="s">
        <v>1652</v>
      </c>
      <c r="E724" s="160">
        <v>42445</v>
      </c>
      <c r="F724" s="221" t="s">
        <v>1651</v>
      </c>
    </row>
    <row r="725" spans="1:6">
      <c r="A725" s="221" t="s">
        <v>1650</v>
      </c>
      <c r="B725" s="221">
        <v>3529929925355440</v>
      </c>
      <c r="C725" s="221" t="s">
        <v>1416</v>
      </c>
      <c r="D725" s="221" t="s">
        <v>1649</v>
      </c>
      <c r="E725" s="160">
        <v>42133</v>
      </c>
      <c r="F725" s="221" t="s">
        <v>1648</v>
      </c>
    </row>
    <row r="726" spans="1:6">
      <c r="A726" s="221" t="s">
        <v>1647</v>
      </c>
      <c r="B726" s="221">
        <v>6.7590054591650701E+17</v>
      </c>
      <c r="C726" s="221" t="s">
        <v>1413</v>
      </c>
      <c r="D726" s="221" t="s">
        <v>1646</v>
      </c>
      <c r="E726" s="160">
        <v>42345</v>
      </c>
      <c r="F726" s="221" t="s">
        <v>1645</v>
      </c>
    </row>
    <row r="727" spans="1:6">
      <c r="A727" s="221" t="s">
        <v>866</v>
      </c>
      <c r="B727" s="221">
        <v>3561070161083860</v>
      </c>
      <c r="C727" s="221" t="s">
        <v>1171</v>
      </c>
      <c r="D727" s="221" t="s">
        <v>1644</v>
      </c>
      <c r="E727" s="160">
        <v>42221</v>
      </c>
      <c r="F727" s="221" t="s">
        <v>1643</v>
      </c>
    </row>
    <row r="728" spans="1:6">
      <c r="A728" s="221" t="s">
        <v>873</v>
      </c>
      <c r="B728" s="221">
        <v>5155846146136480</v>
      </c>
      <c r="C728" s="221" t="s">
        <v>1642</v>
      </c>
      <c r="D728" s="221" t="s">
        <v>1641</v>
      </c>
      <c r="E728" s="160">
        <v>42393</v>
      </c>
      <c r="F728" s="221" t="s">
        <v>1640</v>
      </c>
    </row>
    <row r="729" spans="1:6">
      <c r="A729" s="221" t="s">
        <v>818</v>
      </c>
      <c r="B729" s="221">
        <v>5100145263708990</v>
      </c>
      <c r="C729" s="221" t="s">
        <v>1444</v>
      </c>
      <c r="D729" s="221" t="s">
        <v>1639</v>
      </c>
      <c r="E729" s="160">
        <v>42401</v>
      </c>
      <c r="F729" s="221" t="s">
        <v>1638</v>
      </c>
    </row>
    <row r="730" spans="1:6">
      <c r="A730" s="221" t="s">
        <v>1637</v>
      </c>
      <c r="B730" s="221">
        <v>4405565831071140</v>
      </c>
      <c r="C730" s="221" t="s">
        <v>1036</v>
      </c>
      <c r="D730" s="221" t="s">
        <v>1636</v>
      </c>
      <c r="E730" s="160">
        <v>42337</v>
      </c>
      <c r="F730" s="221" t="s">
        <v>1635</v>
      </c>
    </row>
    <row r="731" spans="1:6">
      <c r="A731" s="221" t="s">
        <v>1223</v>
      </c>
      <c r="B731" s="221">
        <v>3536466244235180</v>
      </c>
      <c r="C731" s="221" t="s">
        <v>1036</v>
      </c>
      <c r="D731" s="221" t="s">
        <v>1634</v>
      </c>
      <c r="E731" s="160">
        <v>42331</v>
      </c>
      <c r="F731" s="221" t="s">
        <v>1633</v>
      </c>
    </row>
    <row r="732" spans="1:6">
      <c r="A732" s="221" t="s">
        <v>739</v>
      </c>
      <c r="B732" s="221">
        <v>6.7620764168125504E+16</v>
      </c>
      <c r="C732" s="221" t="s">
        <v>766</v>
      </c>
      <c r="D732" s="221" t="s">
        <v>1632</v>
      </c>
      <c r="E732" s="160">
        <v>42151</v>
      </c>
      <c r="F732" s="221" t="s">
        <v>1631</v>
      </c>
    </row>
    <row r="733" spans="1:6">
      <c r="A733" s="221" t="s">
        <v>899</v>
      </c>
      <c r="B733" s="221">
        <v>5.0387557804365701E+18</v>
      </c>
      <c r="C733" s="221" t="s">
        <v>1630</v>
      </c>
      <c r="D733" s="221" t="s">
        <v>1629</v>
      </c>
      <c r="E733" s="160">
        <v>42307</v>
      </c>
      <c r="F733" s="221" t="s">
        <v>1628</v>
      </c>
    </row>
    <row r="734" spans="1:6">
      <c r="A734" s="221" t="s">
        <v>1627</v>
      </c>
      <c r="B734" s="221">
        <v>201502047218336</v>
      </c>
      <c r="C734" s="221" t="s">
        <v>1073</v>
      </c>
      <c r="D734" s="221" t="s">
        <v>1626</v>
      </c>
      <c r="E734" s="160">
        <v>42344</v>
      </c>
      <c r="F734" s="221" t="s">
        <v>1625</v>
      </c>
    </row>
    <row r="735" spans="1:6">
      <c r="A735" s="221" t="s">
        <v>1624</v>
      </c>
      <c r="B735" s="221">
        <v>3534729036397330</v>
      </c>
      <c r="C735" s="221" t="s">
        <v>1047</v>
      </c>
      <c r="D735" s="221" t="s">
        <v>1623</v>
      </c>
      <c r="E735" s="160">
        <v>42452</v>
      </c>
      <c r="F735" s="221" t="s">
        <v>1622</v>
      </c>
    </row>
    <row r="736" spans="1:6">
      <c r="A736" s="221" t="s">
        <v>743</v>
      </c>
      <c r="B736" s="221">
        <v>4.9051820988600301E+17</v>
      </c>
      <c r="C736" s="221" t="s">
        <v>841</v>
      </c>
      <c r="D736" s="221" t="s">
        <v>1621</v>
      </c>
      <c r="E736" s="160">
        <v>42437</v>
      </c>
      <c r="F736" s="221" t="s">
        <v>1620</v>
      </c>
    </row>
    <row r="737" spans="1:6">
      <c r="A737" s="221" t="s">
        <v>1619</v>
      </c>
      <c r="B737" s="221">
        <v>5108756440769890</v>
      </c>
      <c r="C737" s="221" t="s">
        <v>1287</v>
      </c>
      <c r="D737" s="221" t="s">
        <v>1618</v>
      </c>
      <c r="E737" s="160">
        <v>42404</v>
      </c>
      <c r="F737" s="221" t="s">
        <v>1617</v>
      </c>
    </row>
    <row r="738" spans="1:6">
      <c r="A738" s="221" t="s">
        <v>1183</v>
      </c>
      <c r="B738" s="221">
        <v>201500509185563</v>
      </c>
      <c r="C738" s="221" t="s">
        <v>1616</v>
      </c>
      <c r="D738" s="221" t="s">
        <v>1615</v>
      </c>
      <c r="E738" s="160">
        <v>42384</v>
      </c>
      <c r="F738" s="221" t="s">
        <v>1614</v>
      </c>
    </row>
    <row r="739" spans="1:6">
      <c r="A739" s="221" t="s">
        <v>1613</v>
      </c>
      <c r="B739" s="221">
        <v>5602246674803250</v>
      </c>
      <c r="C739" s="221" t="s">
        <v>738</v>
      </c>
      <c r="D739" s="221" t="s">
        <v>1612</v>
      </c>
      <c r="E739" s="160">
        <v>42259</v>
      </c>
      <c r="F739" s="221" t="s">
        <v>1611</v>
      </c>
    </row>
    <row r="740" spans="1:6">
      <c r="A740" s="221" t="s">
        <v>743</v>
      </c>
      <c r="B740" s="221">
        <v>5.6103860984898202E+18</v>
      </c>
      <c r="C740" s="221" t="s">
        <v>1532</v>
      </c>
      <c r="D740" s="221" t="s">
        <v>1610</v>
      </c>
      <c r="E740" s="160">
        <v>42122</v>
      </c>
      <c r="F740" s="221" t="s">
        <v>1609</v>
      </c>
    </row>
    <row r="741" spans="1:6">
      <c r="A741" s="221" t="s">
        <v>1608</v>
      </c>
      <c r="B741" s="221">
        <v>3565424697359010</v>
      </c>
      <c r="C741" s="221" t="s">
        <v>738</v>
      </c>
      <c r="D741" s="221" t="s">
        <v>1607</v>
      </c>
      <c r="E741" s="160">
        <v>42319</v>
      </c>
      <c r="F741" s="221" t="s">
        <v>1606</v>
      </c>
    </row>
    <row r="742" spans="1:6">
      <c r="A742" s="221" t="s">
        <v>1605</v>
      </c>
      <c r="B742" s="221">
        <v>378135958423376</v>
      </c>
      <c r="C742" s="221" t="s">
        <v>1604</v>
      </c>
      <c r="D742" s="221" t="s">
        <v>1603</v>
      </c>
      <c r="E742" s="160">
        <v>42460</v>
      </c>
      <c r="F742" s="221" t="s">
        <v>1602</v>
      </c>
    </row>
    <row r="743" spans="1:6">
      <c r="A743" s="221" t="s">
        <v>783</v>
      </c>
      <c r="B743" s="221">
        <v>5154255591883510</v>
      </c>
      <c r="C743" s="221" t="s">
        <v>1601</v>
      </c>
      <c r="D743" s="221" t="s">
        <v>1600</v>
      </c>
      <c r="E743" s="160">
        <v>42198</v>
      </c>
      <c r="F743" s="221" t="s">
        <v>1599</v>
      </c>
    </row>
    <row r="744" spans="1:6">
      <c r="A744" s="221" t="s">
        <v>1598</v>
      </c>
      <c r="B744" s="221">
        <v>5535830142958040</v>
      </c>
      <c r="C744" s="221" t="s">
        <v>1597</v>
      </c>
      <c r="D744" s="221" t="s">
        <v>1596</v>
      </c>
      <c r="E744" s="160">
        <v>42154</v>
      </c>
      <c r="F744" s="221" t="s">
        <v>1595</v>
      </c>
    </row>
    <row r="745" spans="1:6">
      <c r="A745" s="221" t="s">
        <v>1594</v>
      </c>
      <c r="B745" s="221">
        <v>3558307787575230</v>
      </c>
      <c r="C745" s="221" t="s">
        <v>1593</v>
      </c>
      <c r="D745" s="221" t="s">
        <v>1592</v>
      </c>
      <c r="E745" s="160">
        <v>42430</v>
      </c>
      <c r="F745" s="221" t="s">
        <v>1591</v>
      </c>
    </row>
    <row r="746" spans="1:6">
      <c r="A746" s="221" t="s">
        <v>1590</v>
      </c>
      <c r="B746" s="221">
        <v>372920316787083</v>
      </c>
      <c r="C746" s="221" t="s">
        <v>1260</v>
      </c>
      <c r="D746" s="221" t="s">
        <v>1589</v>
      </c>
      <c r="E746" s="160">
        <v>42295</v>
      </c>
      <c r="F746" s="221" t="s">
        <v>1588</v>
      </c>
    </row>
    <row r="747" spans="1:6">
      <c r="A747" s="221" t="s">
        <v>1587</v>
      </c>
      <c r="B747" s="221">
        <v>5.6022415176273901E+17</v>
      </c>
      <c r="C747" s="221" t="s">
        <v>1586</v>
      </c>
      <c r="D747" s="221" t="s">
        <v>1585</v>
      </c>
      <c r="E747" s="160">
        <v>42195</v>
      </c>
      <c r="F747" s="221" t="s">
        <v>1469</v>
      </c>
    </row>
    <row r="748" spans="1:6">
      <c r="A748" s="221" t="s">
        <v>1584</v>
      </c>
      <c r="B748" s="221">
        <v>3557690118949740</v>
      </c>
      <c r="C748" s="221" t="s">
        <v>995</v>
      </c>
      <c r="D748" s="221" t="s">
        <v>1583</v>
      </c>
      <c r="E748" s="160">
        <v>42266</v>
      </c>
      <c r="F748" s="221" t="s">
        <v>1582</v>
      </c>
    </row>
    <row r="749" spans="1:6">
      <c r="A749" s="221" t="s">
        <v>747</v>
      </c>
      <c r="B749" s="221">
        <v>4026796531730320</v>
      </c>
      <c r="C749" s="221" t="s">
        <v>1400</v>
      </c>
      <c r="D749" s="221" t="s">
        <v>1581</v>
      </c>
      <c r="E749" s="160">
        <v>42141</v>
      </c>
      <c r="F749" s="221" t="s">
        <v>1580</v>
      </c>
    </row>
    <row r="750" spans="1:6">
      <c r="A750" s="221" t="s">
        <v>1579</v>
      </c>
      <c r="B750" s="221">
        <v>3575338277821400</v>
      </c>
      <c r="C750" s="221" t="s">
        <v>1578</v>
      </c>
      <c r="D750" s="221" t="s">
        <v>1577</v>
      </c>
      <c r="E750" s="160">
        <v>42460</v>
      </c>
      <c r="F750" s="221" t="s">
        <v>1576</v>
      </c>
    </row>
    <row r="751" spans="1:6">
      <c r="A751" s="221" t="s">
        <v>1238</v>
      </c>
      <c r="B751" s="221">
        <v>5602244496997950</v>
      </c>
      <c r="C751" s="221" t="s">
        <v>1306</v>
      </c>
      <c r="D751" s="221" t="s">
        <v>1575</v>
      </c>
      <c r="E751" s="160">
        <v>42124</v>
      </c>
      <c r="F751" s="221" t="s">
        <v>1574</v>
      </c>
    </row>
    <row r="752" spans="1:6">
      <c r="A752" s="221" t="s">
        <v>1441</v>
      </c>
      <c r="B752" s="221">
        <v>4936105588288180</v>
      </c>
      <c r="C752" s="221" t="s">
        <v>750</v>
      </c>
      <c r="D752" s="221" t="s">
        <v>1573</v>
      </c>
      <c r="E752" s="160">
        <v>42425</v>
      </c>
      <c r="F752" s="221" t="s">
        <v>1572</v>
      </c>
    </row>
    <row r="753" spans="1:6">
      <c r="A753" s="221" t="s">
        <v>759</v>
      </c>
      <c r="B753" s="221">
        <v>3531445786459410</v>
      </c>
      <c r="C753" s="221" t="s">
        <v>1388</v>
      </c>
      <c r="D753" s="221" t="s">
        <v>1571</v>
      </c>
      <c r="E753" s="160">
        <v>42272</v>
      </c>
      <c r="F753" s="221" t="s">
        <v>1570</v>
      </c>
    </row>
    <row r="754" spans="1:6">
      <c r="A754" s="221" t="s">
        <v>1569</v>
      </c>
      <c r="B754" s="221">
        <v>3587035175912630</v>
      </c>
      <c r="C754" s="221" t="s">
        <v>902</v>
      </c>
      <c r="D754" s="221" t="s">
        <v>1568</v>
      </c>
      <c r="E754" s="160">
        <v>42176</v>
      </c>
      <c r="F754" s="221" t="s">
        <v>1567</v>
      </c>
    </row>
    <row r="755" spans="1:6">
      <c r="A755" s="221" t="s">
        <v>1364</v>
      </c>
      <c r="B755" s="221">
        <v>3532934438737150</v>
      </c>
      <c r="C755" s="221" t="s">
        <v>910</v>
      </c>
      <c r="D755" s="221" t="s">
        <v>1566</v>
      </c>
      <c r="E755" s="160">
        <v>42234</v>
      </c>
      <c r="F755" s="221" t="s">
        <v>1565</v>
      </c>
    </row>
    <row r="756" spans="1:6">
      <c r="A756" s="221" t="s">
        <v>1278</v>
      </c>
      <c r="B756" s="221">
        <v>3529836593732180</v>
      </c>
      <c r="C756" s="221" t="s">
        <v>1123</v>
      </c>
      <c r="D756" s="221" t="s">
        <v>1564</v>
      </c>
      <c r="E756" s="160">
        <v>42230</v>
      </c>
      <c r="F756" s="221" t="s">
        <v>1563</v>
      </c>
    </row>
    <row r="757" spans="1:6">
      <c r="A757" s="221" t="s">
        <v>1183</v>
      </c>
      <c r="B757" s="221">
        <v>3560135494709780</v>
      </c>
      <c r="C757" s="221" t="s">
        <v>941</v>
      </c>
      <c r="D757" s="221" t="s">
        <v>1562</v>
      </c>
      <c r="E757" s="160">
        <v>42413</v>
      </c>
      <c r="F757" s="221" t="s">
        <v>1561</v>
      </c>
    </row>
    <row r="758" spans="1:6">
      <c r="A758" s="221" t="s">
        <v>1033</v>
      </c>
      <c r="B758" s="221">
        <v>4.9118509237364499E+17</v>
      </c>
      <c r="C758" s="221" t="s">
        <v>1560</v>
      </c>
      <c r="D758" s="221" t="s">
        <v>1559</v>
      </c>
      <c r="E758" s="160">
        <v>42444</v>
      </c>
      <c r="F758" s="221" t="s">
        <v>1558</v>
      </c>
    </row>
    <row r="759" spans="1:6">
      <c r="A759" s="221" t="s">
        <v>1338</v>
      </c>
      <c r="B759" s="221">
        <v>6.3043830803396403E+18</v>
      </c>
      <c r="C759" s="221" t="s">
        <v>995</v>
      </c>
      <c r="D759" s="221" t="s">
        <v>1557</v>
      </c>
      <c r="E759" s="160">
        <v>42344</v>
      </c>
      <c r="F759" s="221" t="s">
        <v>1556</v>
      </c>
    </row>
    <row r="760" spans="1:6">
      <c r="A760" s="221" t="s">
        <v>1212</v>
      </c>
      <c r="B760" s="221">
        <v>3579551417021720</v>
      </c>
      <c r="C760" s="221" t="s">
        <v>1555</v>
      </c>
      <c r="D760" s="221" t="s">
        <v>1554</v>
      </c>
      <c r="E760" s="160">
        <v>42276</v>
      </c>
      <c r="F760" s="221" t="s">
        <v>1553</v>
      </c>
    </row>
    <row r="761" spans="1:6">
      <c r="A761" s="221" t="s">
        <v>1060</v>
      </c>
      <c r="B761" s="221">
        <v>3584701265615500</v>
      </c>
      <c r="C761" s="221" t="s">
        <v>766</v>
      </c>
      <c r="D761" s="221" t="s">
        <v>1552</v>
      </c>
      <c r="E761" s="160">
        <v>42231</v>
      </c>
      <c r="F761" s="221" t="s">
        <v>1551</v>
      </c>
    </row>
    <row r="762" spans="1:6">
      <c r="A762" s="221" t="s">
        <v>1550</v>
      </c>
      <c r="B762" s="221">
        <v>201750006084385</v>
      </c>
      <c r="C762" s="221" t="s">
        <v>1549</v>
      </c>
      <c r="D762" s="221" t="s">
        <v>1548</v>
      </c>
      <c r="E762" s="160">
        <v>42437</v>
      </c>
      <c r="F762" s="221" t="s">
        <v>1547</v>
      </c>
    </row>
    <row r="763" spans="1:6">
      <c r="A763" s="221" t="s">
        <v>907</v>
      </c>
      <c r="B763" s="221">
        <v>3546246507638670</v>
      </c>
      <c r="C763" s="221" t="s">
        <v>1356</v>
      </c>
      <c r="D763" s="221" t="s">
        <v>1546</v>
      </c>
      <c r="E763" s="160">
        <v>42400</v>
      </c>
      <c r="F763" s="221" t="s">
        <v>1545</v>
      </c>
    </row>
    <row r="764" spans="1:6">
      <c r="A764" s="221" t="s">
        <v>1544</v>
      </c>
      <c r="B764" s="221">
        <v>3579584215221660</v>
      </c>
      <c r="C764" s="221" t="s">
        <v>730</v>
      </c>
      <c r="D764" s="221" t="s">
        <v>1543</v>
      </c>
      <c r="E764" s="160">
        <v>42189</v>
      </c>
      <c r="F764" s="221" t="s">
        <v>1542</v>
      </c>
    </row>
    <row r="765" spans="1:6">
      <c r="A765" s="221" t="s">
        <v>1541</v>
      </c>
      <c r="B765" s="221">
        <v>3578817020115530</v>
      </c>
      <c r="C765" s="221" t="s">
        <v>1540</v>
      </c>
      <c r="D765" s="221" t="s">
        <v>1539</v>
      </c>
      <c r="E765" s="160">
        <v>42373</v>
      </c>
      <c r="F765" s="221" t="s">
        <v>1538</v>
      </c>
    </row>
    <row r="766" spans="1:6">
      <c r="A766" s="221" t="s">
        <v>1537</v>
      </c>
      <c r="B766" s="221">
        <v>3569298778298840</v>
      </c>
      <c r="C766" s="221" t="s">
        <v>1440</v>
      </c>
      <c r="D766" s="221" t="s">
        <v>1536</v>
      </c>
      <c r="E766" s="160">
        <v>42137</v>
      </c>
      <c r="F766" s="221" t="s">
        <v>1535</v>
      </c>
    </row>
    <row r="767" spans="1:6">
      <c r="A767" s="221" t="s">
        <v>899</v>
      </c>
      <c r="B767" s="221">
        <v>5100178069338090</v>
      </c>
      <c r="C767" s="221" t="s">
        <v>774</v>
      </c>
      <c r="D767" s="221" t="s">
        <v>1534</v>
      </c>
      <c r="E767" s="160">
        <v>42350</v>
      </c>
      <c r="F767" s="221" t="s">
        <v>1533</v>
      </c>
    </row>
    <row r="768" spans="1:6">
      <c r="A768" s="221" t="s">
        <v>1408</v>
      </c>
      <c r="B768" s="221">
        <v>6.7626274282109094E+17</v>
      </c>
      <c r="C768" s="221" t="s">
        <v>1532</v>
      </c>
      <c r="D768" s="221" t="s">
        <v>1531</v>
      </c>
      <c r="E768" s="160">
        <v>42101</v>
      </c>
      <c r="F768" s="221" t="s">
        <v>1530</v>
      </c>
    </row>
    <row r="769" spans="1:6">
      <c r="A769" s="221" t="s">
        <v>1529</v>
      </c>
      <c r="B769" s="221">
        <v>3564782586378710</v>
      </c>
      <c r="C769" s="221" t="s">
        <v>845</v>
      </c>
      <c r="D769" s="221" t="s">
        <v>1528</v>
      </c>
      <c r="E769" s="160">
        <v>42304</v>
      </c>
      <c r="F769" s="221" t="s">
        <v>1527</v>
      </c>
    </row>
    <row r="770" spans="1:6">
      <c r="A770" s="221" t="s">
        <v>1526</v>
      </c>
      <c r="B770" s="221">
        <v>3580307285808090</v>
      </c>
      <c r="C770" s="221" t="s">
        <v>1182</v>
      </c>
      <c r="D770" s="221" t="s">
        <v>1525</v>
      </c>
      <c r="E770" s="160">
        <v>42120</v>
      </c>
      <c r="F770" s="221" t="s">
        <v>1524</v>
      </c>
    </row>
    <row r="771" spans="1:6">
      <c r="A771" s="221" t="s">
        <v>1523</v>
      </c>
      <c r="B771" s="221">
        <v>5141954949082800</v>
      </c>
      <c r="C771" s="221" t="s">
        <v>1522</v>
      </c>
      <c r="D771" s="221" t="s">
        <v>1521</v>
      </c>
      <c r="E771" s="160">
        <v>42224</v>
      </c>
      <c r="F771" s="221" t="s">
        <v>1520</v>
      </c>
    </row>
    <row r="772" spans="1:6">
      <c r="A772" s="221" t="s">
        <v>1519</v>
      </c>
      <c r="B772" s="221">
        <v>3576931021957470</v>
      </c>
      <c r="C772" s="221" t="s">
        <v>1047</v>
      </c>
      <c r="D772" s="221" t="s">
        <v>1518</v>
      </c>
      <c r="E772" s="160">
        <v>42257</v>
      </c>
      <c r="F772" s="221" t="s">
        <v>1517</v>
      </c>
    </row>
    <row r="773" spans="1:6">
      <c r="A773" s="221" t="s">
        <v>1139</v>
      </c>
      <c r="B773" s="221">
        <v>3589791862174320</v>
      </c>
      <c r="C773" s="221" t="s">
        <v>999</v>
      </c>
      <c r="D773" s="221" t="s">
        <v>1516</v>
      </c>
      <c r="E773" s="160">
        <v>42221</v>
      </c>
      <c r="F773" s="221" t="s">
        <v>1515</v>
      </c>
    </row>
    <row r="774" spans="1:6">
      <c r="A774" s="221" t="s">
        <v>1268</v>
      </c>
      <c r="B774" s="221">
        <v>3566039684180670</v>
      </c>
      <c r="C774" s="221" t="s">
        <v>1514</v>
      </c>
      <c r="D774" s="221" t="s">
        <v>1513</v>
      </c>
      <c r="E774" s="160">
        <v>42175</v>
      </c>
      <c r="F774" s="221" t="s">
        <v>1512</v>
      </c>
    </row>
    <row r="775" spans="1:6">
      <c r="A775" s="221" t="s">
        <v>1511</v>
      </c>
      <c r="B775" s="221">
        <v>5010123572098090</v>
      </c>
      <c r="C775" s="221" t="s">
        <v>738</v>
      </c>
      <c r="D775" s="221" t="s">
        <v>1510</v>
      </c>
      <c r="E775" s="160">
        <v>42162</v>
      </c>
      <c r="F775" s="221" t="s">
        <v>1509</v>
      </c>
    </row>
    <row r="776" spans="1:6">
      <c r="A776" s="221" t="s">
        <v>1445</v>
      </c>
      <c r="B776" s="221">
        <v>5.6418284202265798E+17</v>
      </c>
      <c r="C776" s="221" t="s">
        <v>1508</v>
      </c>
      <c r="D776" s="221" t="s">
        <v>1507</v>
      </c>
      <c r="E776" s="160">
        <v>42206</v>
      </c>
      <c r="F776" s="221" t="s">
        <v>1506</v>
      </c>
    </row>
    <row r="777" spans="1:6">
      <c r="A777" s="221" t="s">
        <v>1505</v>
      </c>
      <c r="B777" s="221">
        <v>3544855801809410</v>
      </c>
      <c r="C777" s="221" t="s">
        <v>1504</v>
      </c>
      <c r="D777" s="221" t="s">
        <v>1503</v>
      </c>
      <c r="E777" s="160">
        <v>42203</v>
      </c>
      <c r="F777" s="221" t="s">
        <v>1502</v>
      </c>
    </row>
    <row r="778" spans="1:6">
      <c r="A778" s="221" t="s">
        <v>1501</v>
      </c>
      <c r="B778" s="221">
        <v>3538042816580530</v>
      </c>
      <c r="C778" s="221" t="s">
        <v>1500</v>
      </c>
      <c r="D778" s="221" t="s">
        <v>1499</v>
      </c>
      <c r="E778" s="160">
        <v>42152</v>
      </c>
      <c r="F778" s="221" t="s">
        <v>1498</v>
      </c>
    </row>
    <row r="779" spans="1:6">
      <c r="A779" s="221" t="s">
        <v>1145</v>
      </c>
      <c r="B779" s="221">
        <v>3570878053106520</v>
      </c>
      <c r="C779" s="221" t="s">
        <v>1497</v>
      </c>
      <c r="D779" s="221" t="s">
        <v>1496</v>
      </c>
      <c r="E779" s="160">
        <v>42442</v>
      </c>
      <c r="F779" s="221" t="s">
        <v>1495</v>
      </c>
    </row>
    <row r="780" spans="1:6">
      <c r="A780" s="221" t="s">
        <v>1494</v>
      </c>
      <c r="B780" s="221">
        <v>30162833165998</v>
      </c>
      <c r="C780" s="221" t="s">
        <v>730</v>
      </c>
      <c r="D780" s="221" t="s">
        <v>1493</v>
      </c>
      <c r="E780" s="160">
        <v>42144</v>
      </c>
      <c r="F780" s="221" t="s">
        <v>1492</v>
      </c>
    </row>
    <row r="781" spans="1:6">
      <c r="A781" s="221" t="s">
        <v>1491</v>
      </c>
      <c r="B781" s="221">
        <v>4041379271950</v>
      </c>
      <c r="C781" s="221" t="s">
        <v>1356</v>
      </c>
      <c r="D781" s="221" t="s">
        <v>1490</v>
      </c>
      <c r="E781" s="160">
        <v>42330</v>
      </c>
      <c r="F781" s="221" t="s">
        <v>1489</v>
      </c>
    </row>
    <row r="782" spans="1:6">
      <c r="A782" s="221" t="s">
        <v>1488</v>
      </c>
      <c r="B782" s="221">
        <v>374288590493283</v>
      </c>
      <c r="C782" s="221" t="s">
        <v>1487</v>
      </c>
      <c r="D782" s="221" t="s">
        <v>1486</v>
      </c>
      <c r="E782" s="160">
        <v>42110</v>
      </c>
      <c r="F782" s="221" t="s">
        <v>1485</v>
      </c>
    </row>
    <row r="783" spans="1:6">
      <c r="A783" s="221" t="s">
        <v>1484</v>
      </c>
      <c r="B783" s="221">
        <v>4026673773126750</v>
      </c>
      <c r="C783" s="221" t="s">
        <v>1483</v>
      </c>
      <c r="D783" s="221" t="s">
        <v>1482</v>
      </c>
      <c r="E783" s="160">
        <v>42241</v>
      </c>
      <c r="F783" s="221" t="s">
        <v>1481</v>
      </c>
    </row>
    <row r="784" spans="1:6">
      <c r="A784" s="221" t="s">
        <v>1383</v>
      </c>
      <c r="B784" s="221">
        <v>3538117674465200</v>
      </c>
      <c r="C784" s="221" t="s">
        <v>1480</v>
      </c>
      <c r="D784" s="221" t="s">
        <v>1479</v>
      </c>
      <c r="E784" s="160">
        <v>42406</v>
      </c>
      <c r="F784" s="221" t="s">
        <v>1478</v>
      </c>
    </row>
    <row r="785" spans="1:6">
      <c r="A785" s="221" t="s">
        <v>1477</v>
      </c>
      <c r="B785" s="221">
        <v>3535265922015580</v>
      </c>
      <c r="C785" s="221" t="s">
        <v>918</v>
      </c>
      <c r="D785" s="221" t="s">
        <v>1476</v>
      </c>
      <c r="E785" s="160">
        <v>42162</v>
      </c>
      <c r="F785" s="221" t="s">
        <v>1475</v>
      </c>
    </row>
    <row r="786" spans="1:6">
      <c r="A786" s="221" t="s">
        <v>1474</v>
      </c>
      <c r="B786" s="221">
        <v>3548836975028940</v>
      </c>
      <c r="C786" s="221" t="s">
        <v>933</v>
      </c>
      <c r="D786" s="221" t="s">
        <v>1473</v>
      </c>
      <c r="E786" s="160">
        <v>42308</v>
      </c>
      <c r="F786" s="221" t="s">
        <v>1472</v>
      </c>
    </row>
    <row r="787" spans="1:6">
      <c r="A787" s="221" t="s">
        <v>1471</v>
      </c>
      <c r="B787" s="221">
        <v>36891401859087</v>
      </c>
      <c r="C787" s="221" t="s">
        <v>1377</v>
      </c>
      <c r="D787" s="221" t="s">
        <v>1470</v>
      </c>
      <c r="E787" s="160">
        <v>42225</v>
      </c>
      <c r="F787" s="221" t="s">
        <v>1469</v>
      </c>
    </row>
    <row r="788" spans="1:6">
      <c r="A788" s="221" t="s">
        <v>1468</v>
      </c>
      <c r="B788" s="221">
        <v>4844990650861640</v>
      </c>
      <c r="C788" s="221" t="s">
        <v>1014</v>
      </c>
      <c r="D788" s="221" t="s">
        <v>1467</v>
      </c>
      <c r="E788" s="160">
        <v>42164</v>
      </c>
      <c r="F788" s="221" t="s">
        <v>1466</v>
      </c>
    </row>
    <row r="789" spans="1:6">
      <c r="A789" s="221" t="s">
        <v>1465</v>
      </c>
      <c r="B789" s="221">
        <v>3528279620306280</v>
      </c>
      <c r="C789" s="221" t="s">
        <v>1464</v>
      </c>
      <c r="D789" s="221" t="s">
        <v>1463</v>
      </c>
      <c r="E789" s="160">
        <v>42452</v>
      </c>
      <c r="F789" s="221" t="s">
        <v>1462</v>
      </c>
    </row>
    <row r="790" spans="1:6">
      <c r="A790" s="221" t="s">
        <v>1461</v>
      </c>
      <c r="B790" s="221">
        <v>4508871962763540</v>
      </c>
      <c r="C790" s="221" t="s">
        <v>738</v>
      </c>
      <c r="D790" s="221" t="s">
        <v>1460</v>
      </c>
      <c r="E790" s="160">
        <v>42381</v>
      </c>
      <c r="F790" s="221" t="s">
        <v>1459</v>
      </c>
    </row>
    <row r="791" spans="1:6">
      <c r="A791" s="221" t="s">
        <v>1458</v>
      </c>
      <c r="B791" s="221">
        <v>3572196409314580</v>
      </c>
      <c r="C791" s="221" t="s">
        <v>1457</v>
      </c>
      <c r="D791" s="221" t="s">
        <v>1456</v>
      </c>
      <c r="E791" s="160">
        <v>42413</v>
      </c>
      <c r="F791" s="221" t="s">
        <v>1455</v>
      </c>
    </row>
    <row r="792" spans="1:6">
      <c r="A792" s="221" t="s">
        <v>1454</v>
      </c>
      <c r="B792" s="221">
        <v>5486113324895860</v>
      </c>
      <c r="C792" s="221" t="s">
        <v>978</v>
      </c>
      <c r="D792" s="221" t="s">
        <v>1453</v>
      </c>
      <c r="E792" s="160">
        <v>42358</v>
      </c>
      <c r="F792" s="221" t="s">
        <v>1452</v>
      </c>
    </row>
    <row r="793" spans="1:6">
      <c r="A793" s="221" t="s">
        <v>1451</v>
      </c>
      <c r="B793" s="221">
        <v>3545828072988250</v>
      </c>
      <c r="C793" s="221" t="s">
        <v>1148</v>
      </c>
      <c r="D793" s="221" t="s">
        <v>1450</v>
      </c>
      <c r="E793" s="160">
        <v>42297</v>
      </c>
      <c r="F793" s="221" t="s">
        <v>1449</v>
      </c>
    </row>
    <row r="794" spans="1:6">
      <c r="A794" s="221" t="s">
        <v>1448</v>
      </c>
      <c r="B794" s="221">
        <v>3559922991779760</v>
      </c>
      <c r="C794" s="221" t="s">
        <v>1281</v>
      </c>
      <c r="D794" s="221" t="s">
        <v>1447</v>
      </c>
      <c r="E794" s="160">
        <v>42460</v>
      </c>
      <c r="F794" s="221" t="s">
        <v>1446</v>
      </c>
    </row>
    <row r="795" spans="1:6">
      <c r="A795" s="221" t="s">
        <v>1445</v>
      </c>
      <c r="B795" s="221">
        <v>374288903916541</v>
      </c>
      <c r="C795" s="221" t="s">
        <v>1444</v>
      </c>
      <c r="D795" s="221" t="s">
        <v>1443</v>
      </c>
      <c r="E795" s="160">
        <v>42382</v>
      </c>
      <c r="F795" s="221" t="s">
        <v>1442</v>
      </c>
    </row>
    <row r="796" spans="1:6">
      <c r="A796" s="221" t="s">
        <v>1441</v>
      </c>
      <c r="B796" s="221">
        <v>3548919336927840</v>
      </c>
      <c r="C796" s="221" t="s">
        <v>1440</v>
      </c>
      <c r="D796" s="221" t="s">
        <v>1439</v>
      </c>
      <c r="E796" s="160">
        <v>42308</v>
      </c>
      <c r="F796" s="221" t="s">
        <v>1438</v>
      </c>
    </row>
    <row r="797" spans="1:6">
      <c r="A797" s="221" t="s">
        <v>982</v>
      </c>
      <c r="B797" s="221">
        <v>5610978577493420</v>
      </c>
      <c r="C797" s="221" t="s">
        <v>1437</v>
      </c>
      <c r="D797" s="221" t="s">
        <v>1436</v>
      </c>
      <c r="E797" s="160">
        <v>42387</v>
      </c>
      <c r="F797" s="221" t="s">
        <v>1435</v>
      </c>
    </row>
    <row r="798" spans="1:6">
      <c r="A798" s="221" t="s">
        <v>775</v>
      </c>
      <c r="B798" s="221">
        <v>6.3311079189392896E+17</v>
      </c>
      <c r="C798" s="221" t="s">
        <v>1434</v>
      </c>
      <c r="D798" s="221" t="s">
        <v>1433</v>
      </c>
      <c r="E798" s="160">
        <v>42411</v>
      </c>
      <c r="F798" s="221" t="s">
        <v>1432</v>
      </c>
    </row>
    <row r="799" spans="1:6">
      <c r="A799" s="221" t="s">
        <v>982</v>
      </c>
      <c r="B799" s="221">
        <v>4175008531894750</v>
      </c>
      <c r="C799" s="221" t="s">
        <v>1155</v>
      </c>
      <c r="D799" s="221" t="s">
        <v>1431</v>
      </c>
      <c r="E799" s="160">
        <v>42360</v>
      </c>
      <c r="F799" s="221" t="s">
        <v>1430</v>
      </c>
    </row>
    <row r="800" spans="1:6">
      <c r="A800" s="221" t="s">
        <v>1429</v>
      </c>
      <c r="B800" s="221">
        <v>3534008443520510</v>
      </c>
      <c r="C800" s="221" t="s">
        <v>1428</v>
      </c>
      <c r="D800" s="221" t="s">
        <v>1427</v>
      </c>
      <c r="E800" s="160">
        <v>42364</v>
      </c>
      <c r="F800" s="221" t="s">
        <v>1426</v>
      </c>
    </row>
    <row r="801" spans="1:6">
      <c r="A801" s="221" t="s">
        <v>1425</v>
      </c>
      <c r="B801" s="221">
        <v>5100133482894430</v>
      </c>
      <c r="C801" s="221" t="s">
        <v>1424</v>
      </c>
      <c r="D801" s="221" t="s">
        <v>1423</v>
      </c>
      <c r="E801" s="160">
        <v>42111</v>
      </c>
      <c r="F801" s="221" t="s">
        <v>1422</v>
      </c>
    </row>
    <row r="802" spans="1:6">
      <c r="A802" s="221" t="s">
        <v>846</v>
      </c>
      <c r="B802" s="221">
        <v>6.3345592753046003E+17</v>
      </c>
      <c r="C802" s="221" t="s">
        <v>1281</v>
      </c>
      <c r="D802" s="221" t="s">
        <v>1421</v>
      </c>
      <c r="E802" s="160">
        <v>42249</v>
      </c>
      <c r="F802" s="221" t="s">
        <v>1420</v>
      </c>
    </row>
    <row r="803" spans="1:6">
      <c r="A803" s="221" t="s">
        <v>1233</v>
      </c>
      <c r="B803" s="221">
        <v>3589807843307180</v>
      </c>
      <c r="C803" s="221" t="s">
        <v>1419</v>
      </c>
      <c r="D803" s="221" t="s">
        <v>1418</v>
      </c>
      <c r="E803" s="160">
        <v>42359</v>
      </c>
      <c r="F803" s="221" t="s">
        <v>1417</v>
      </c>
    </row>
    <row r="804" spans="1:6">
      <c r="A804" s="221" t="s">
        <v>1067</v>
      </c>
      <c r="B804" s="221">
        <v>201550255315765</v>
      </c>
      <c r="C804" s="221" t="s">
        <v>1416</v>
      </c>
      <c r="D804" s="221" t="s">
        <v>1415</v>
      </c>
      <c r="E804" s="160">
        <v>42167</v>
      </c>
      <c r="F804" s="221" t="s">
        <v>1414</v>
      </c>
    </row>
    <row r="805" spans="1:6">
      <c r="A805" s="221" t="s">
        <v>1089</v>
      </c>
      <c r="B805" s="221">
        <v>3561442032775810</v>
      </c>
      <c r="C805" s="221" t="s">
        <v>1413</v>
      </c>
      <c r="D805" s="221" t="s">
        <v>1412</v>
      </c>
      <c r="E805" s="160">
        <v>42269</v>
      </c>
      <c r="F805" s="221" t="s">
        <v>1411</v>
      </c>
    </row>
    <row r="806" spans="1:6">
      <c r="A806" s="221" t="s">
        <v>1307</v>
      </c>
      <c r="B806" s="221">
        <v>3542258288094730</v>
      </c>
      <c r="C806" s="221" t="s">
        <v>786</v>
      </c>
      <c r="D806" s="221" t="s">
        <v>1410</v>
      </c>
      <c r="E806" s="160">
        <v>42416</v>
      </c>
      <c r="F806" s="221" t="s">
        <v>1409</v>
      </c>
    </row>
    <row r="807" spans="1:6">
      <c r="A807" s="221" t="s">
        <v>1408</v>
      </c>
      <c r="B807" s="221">
        <v>5.03807998574118E+16</v>
      </c>
      <c r="C807" s="221" t="s">
        <v>1014</v>
      </c>
      <c r="D807" s="221" t="s">
        <v>1407</v>
      </c>
      <c r="E807" s="160">
        <v>42269</v>
      </c>
      <c r="F807" s="221" t="s">
        <v>1406</v>
      </c>
    </row>
    <row r="808" spans="1:6">
      <c r="A808" s="221" t="s">
        <v>1405</v>
      </c>
      <c r="B808" s="221">
        <v>5.0182836032422096E+16</v>
      </c>
      <c r="C808" s="221" t="s">
        <v>1404</v>
      </c>
      <c r="D808" s="221" t="s">
        <v>1403</v>
      </c>
      <c r="E808" s="160">
        <v>42221</v>
      </c>
      <c r="F808" s="221" t="s">
        <v>1402</v>
      </c>
    </row>
    <row r="809" spans="1:6">
      <c r="A809" s="221" t="s">
        <v>1401</v>
      </c>
      <c r="B809" s="221">
        <v>30571869759856</v>
      </c>
      <c r="C809" s="221" t="s">
        <v>1400</v>
      </c>
      <c r="D809" s="221" t="s">
        <v>1399</v>
      </c>
      <c r="E809" s="160">
        <v>42220</v>
      </c>
      <c r="F809" s="221" t="s">
        <v>1398</v>
      </c>
    </row>
    <row r="810" spans="1:6">
      <c r="A810" s="221" t="s">
        <v>1397</v>
      </c>
      <c r="B810" s="221">
        <v>3555564746702530</v>
      </c>
      <c r="C810" s="221" t="s">
        <v>1396</v>
      </c>
      <c r="D810" s="221" t="s">
        <v>1395</v>
      </c>
      <c r="E810" s="160">
        <v>42439</v>
      </c>
      <c r="F810" s="221" t="s">
        <v>1394</v>
      </c>
    </row>
    <row r="811" spans="1:6">
      <c r="A811" s="221" t="s">
        <v>1393</v>
      </c>
      <c r="B811" s="221">
        <v>5.6022249525966598E+17</v>
      </c>
      <c r="C811" s="221" t="s">
        <v>1392</v>
      </c>
      <c r="D811" s="221" t="s">
        <v>1391</v>
      </c>
      <c r="E811" s="160">
        <v>42458</v>
      </c>
      <c r="F811" s="221" t="s">
        <v>1390</v>
      </c>
    </row>
    <row r="812" spans="1:6">
      <c r="A812" s="221" t="s">
        <v>1389</v>
      </c>
      <c r="B812" s="221">
        <v>5602213456132670</v>
      </c>
      <c r="C812" s="221" t="s">
        <v>1388</v>
      </c>
      <c r="D812" s="221" t="s">
        <v>1387</v>
      </c>
      <c r="E812" s="160">
        <v>42372</v>
      </c>
      <c r="F812" s="221" t="s">
        <v>1386</v>
      </c>
    </row>
    <row r="813" spans="1:6">
      <c r="A813" s="221" t="s">
        <v>911</v>
      </c>
      <c r="B813" s="221">
        <v>3584397100172600</v>
      </c>
      <c r="C813" s="221" t="s">
        <v>1010</v>
      </c>
      <c r="D813" s="221" t="s">
        <v>1385</v>
      </c>
      <c r="E813" s="160">
        <v>42283</v>
      </c>
      <c r="F813" s="221" t="s">
        <v>1384</v>
      </c>
    </row>
    <row r="814" spans="1:6">
      <c r="A814" s="221" t="s">
        <v>1383</v>
      </c>
      <c r="B814" s="221">
        <v>3546349249079400</v>
      </c>
      <c r="C814" s="221" t="s">
        <v>1382</v>
      </c>
      <c r="D814" s="221" t="s">
        <v>1381</v>
      </c>
      <c r="E814" s="160">
        <v>42150</v>
      </c>
      <c r="F814" s="221" t="s">
        <v>1380</v>
      </c>
    </row>
    <row r="815" spans="1:6">
      <c r="A815" s="221" t="s">
        <v>930</v>
      </c>
      <c r="B815" s="221">
        <v>3572689912440330</v>
      </c>
      <c r="C815" s="221" t="s">
        <v>861</v>
      </c>
      <c r="D815" s="221" t="s">
        <v>1379</v>
      </c>
      <c r="E815" s="160">
        <v>42363</v>
      </c>
      <c r="F815" s="221" t="s">
        <v>1378</v>
      </c>
    </row>
    <row r="816" spans="1:6">
      <c r="A816" s="221" t="s">
        <v>1183</v>
      </c>
      <c r="B816" s="221">
        <v>4913585541604760</v>
      </c>
      <c r="C816" s="221" t="s">
        <v>1377</v>
      </c>
      <c r="D816" s="221" t="s">
        <v>1376</v>
      </c>
      <c r="E816" s="160">
        <v>42259</v>
      </c>
      <c r="F816" s="221" t="s">
        <v>1375</v>
      </c>
    </row>
    <row r="817" spans="1:6">
      <c r="A817" s="221" t="s">
        <v>1374</v>
      </c>
      <c r="B817" s="221">
        <v>3578160663063760</v>
      </c>
      <c r="C817" s="221" t="s">
        <v>1373</v>
      </c>
      <c r="D817" s="221" t="s">
        <v>1372</v>
      </c>
      <c r="E817" s="160">
        <v>42270</v>
      </c>
      <c r="F817" s="221" t="s">
        <v>1371</v>
      </c>
    </row>
    <row r="818" spans="1:6">
      <c r="A818" s="221" t="s">
        <v>1303</v>
      </c>
      <c r="B818" s="221">
        <v>3568601922797340</v>
      </c>
      <c r="C818" s="221" t="s">
        <v>1003</v>
      </c>
      <c r="D818" s="221" t="s">
        <v>1370</v>
      </c>
      <c r="E818" s="160">
        <v>42436</v>
      </c>
      <c r="F818" s="221" t="s">
        <v>1369</v>
      </c>
    </row>
    <row r="819" spans="1:6">
      <c r="A819" s="221" t="s">
        <v>1215</v>
      </c>
      <c r="B819" s="221">
        <v>4844328170762160</v>
      </c>
      <c r="C819" s="221" t="s">
        <v>1116</v>
      </c>
      <c r="D819" s="221" t="s">
        <v>1368</v>
      </c>
      <c r="E819" s="160">
        <v>42377</v>
      </c>
      <c r="F819" s="221" t="s">
        <v>1367</v>
      </c>
    </row>
    <row r="820" spans="1:6">
      <c r="A820" s="221" t="s">
        <v>1089</v>
      </c>
      <c r="B820" s="221">
        <v>3542085929888340</v>
      </c>
      <c r="C820" s="221" t="s">
        <v>219</v>
      </c>
      <c r="D820" s="221" t="s">
        <v>1366</v>
      </c>
      <c r="E820" s="160">
        <v>42206</v>
      </c>
      <c r="F820" s="221" t="s">
        <v>1365</v>
      </c>
    </row>
    <row r="821" spans="1:6">
      <c r="A821" s="221" t="s">
        <v>1364</v>
      </c>
      <c r="B821" s="221">
        <v>3560450248697420</v>
      </c>
      <c r="C821" s="221" t="s">
        <v>1363</v>
      </c>
      <c r="D821" s="221" t="s">
        <v>1362</v>
      </c>
      <c r="E821" s="160">
        <v>42165</v>
      </c>
      <c r="F821" s="221" t="s">
        <v>1361</v>
      </c>
    </row>
    <row r="822" spans="1:6">
      <c r="A822" s="221" t="s">
        <v>946</v>
      </c>
      <c r="B822" s="221">
        <v>3554121372798510</v>
      </c>
      <c r="C822" s="221" t="s">
        <v>1360</v>
      </c>
      <c r="D822" s="221" t="s">
        <v>1359</v>
      </c>
      <c r="E822" s="160">
        <v>42320</v>
      </c>
      <c r="F822" s="221" t="s">
        <v>1358</v>
      </c>
    </row>
    <row r="823" spans="1:6">
      <c r="A823" s="221" t="s">
        <v>1357</v>
      </c>
      <c r="B823" s="221">
        <v>3571802335711670</v>
      </c>
      <c r="C823" s="221" t="s">
        <v>1356</v>
      </c>
      <c r="D823" s="221" t="s">
        <v>1355</v>
      </c>
      <c r="E823" s="160">
        <v>42246</v>
      </c>
      <c r="F823" s="221" t="s">
        <v>1354</v>
      </c>
    </row>
    <row r="824" spans="1:6">
      <c r="A824" s="221" t="s">
        <v>1353</v>
      </c>
      <c r="B824" s="221">
        <v>3583918124670850</v>
      </c>
      <c r="C824" s="221" t="s">
        <v>865</v>
      </c>
      <c r="D824" s="221" t="s">
        <v>1352</v>
      </c>
      <c r="E824" s="160">
        <v>42158</v>
      </c>
      <c r="F824" s="221" t="s">
        <v>1351</v>
      </c>
    </row>
    <row r="825" spans="1:6">
      <c r="A825" s="221" t="s">
        <v>1350</v>
      </c>
      <c r="B825" s="221">
        <v>372301447192784</v>
      </c>
      <c r="C825" s="221" t="s">
        <v>1349</v>
      </c>
      <c r="D825" s="221" t="s">
        <v>1348</v>
      </c>
      <c r="E825" s="160">
        <v>42268</v>
      </c>
      <c r="F825" s="221" t="s">
        <v>1347</v>
      </c>
    </row>
    <row r="826" spans="1:6">
      <c r="A826" s="221" t="s">
        <v>1346</v>
      </c>
      <c r="B826" s="221">
        <v>30514453349692</v>
      </c>
      <c r="C826" s="221" t="s">
        <v>806</v>
      </c>
      <c r="D826" s="221" t="s">
        <v>1345</v>
      </c>
      <c r="E826" s="160">
        <v>42131</v>
      </c>
      <c r="F826" s="221" t="s">
        <v>1344</v>
      </c>
    </row>
    <row r="827" spans="1:6">
      <c r="A827" s="221" t="s">
        <v>1343</v>
      </c>
      <c r="B827" s="221">
        <v>3537929138793490</v>
      </c>
      <c r="C827" s="221" t="s">
        <v>925</v>
      </c>
      <c r="D827" s="221" t="s">
        <v>1342</v>
      </c>
      <c r="E827" s="160">
        <v>42215</v>
      </c>
      <c r="F827" s="221" t="s">
        <v>1341</v>
      </c>
    </row>
    <row r="828" spans="1:6">
      <c r="A828" s="221" t="s">
        <v>1212</v>
      </c>
      <c r="B828" s="221">
        <v>3558519087816720</v>
      </c>
      <c r="C828" s="221" t="s">
        <v>1003</v>
      </c>
      <c r="D828" s="221" t="s">
        <v>1340</v>
      </c>
      <c r="E828" s="160">
        <v>42207</v>
      </c>
      <c r="F828" s="221" t="s">
        <v>1339</v>
      </c>
    </row>
    <row r="829" spans="1:6">
      <c r="A829" s="221" t="s">
        <v>1338</v>
      </c>
      <c r="B829" s="221">
        <v>3581747259533700</v>
      </c>
      <c r="C829" s="221" t="s">
        <v>1175</v>
      </c>
      <c r="D829" s="221" t="s">
        <v>1337</v>
      </c>
      <c r="E829" s="160">
        <v>42215</v>
      </c>
      <c r="F829" s="221" t="s">
        <v>1336</v>
      </c>
    </row>
    <row r="830" spans="1:6">
      <c r="A830" s="221" t="s">
        <v>1335</v>
      </c>
      <c r="B830" s="221">
        <v>4041590611810</v>
      </c>
      <c r="C830" s="221" t="s">
        <v>1317</v>
      </c>
      <c r="D830" s="221" t="s">
        <v>1334</v>
      </c>
      <c r="E830" s="160">
        <v>42234</v>
      </c>
      <c r="F830" s="221" t="s">
        <v>1333</v>
      </c>
    </row>
    <row r="831" spans="1:6">
      <c r="A831" s="221" t="s">
        <v>1332</v>
      </c>
      <c r="B831" s="221">
        <v>3538705957837550</v>
      </c>
      <c r="C831" s="221" t="s">
        <v>1331</v>
      </c>
      <c r="D831" s="221" t="s">
        <v>1330</v>
      </c>
      <c r="E831" s="160">
        <v>42353</v>
      </c>
      <c r="F831" s="221" t="s">
        <v>1329</v>
      </c>
    </row>
    <row r="832" spans="1:6">
      <c r="A832" s="221" t="s">
        <v>1328</v>
      </c>
      <c r="B832" s="221">
        <v>3577264978242810</v>
      </c>
      <c r="C832" s="221" t="s">
        <v>1327</v>
      </c>
      <c r="D832" s="221" t="s">
        <v>1326</v>
      </c>
      <c r="E832" s="160">
        <v>42250</v>
      </c>
      <c r="F832" s="221" t="s">
        <v>1325</v>
      </c>
    </row>
    <row r="833" spans="1:6">
      <c r="A833" s="221" t="s">
        <v>1108</v>
      </c>
      <c r="B833" s="221">
        <v>6396376067792860</v>
      </c>
      <c r="C833" s="221" t="s">
        <v>1324</v>
      </c>
      <c r="D833" s="221" t="s">
        <v>1323</v>
      </c>
      <c r="E833" s="160">
        <v>42195</v>
      </c>
      <c r="F833" s="221" t="s">
        <v>1322</v>
      </c>
    </row>
    <row r="834" spans="1:6">
      <c r="A834" s="221" t="s">
        <v>907</v>
      </c>
      <c r="B834" s="221">
        <v>4429073450840</v>
      </c>
      <c r="C834" s="221" t="s">
        <v>1321</v>
      </c>
      <c r="D834" s="221" t="s">
        <v>1320</v>
      </c>
      <c r="E834" s="160">
        <v>42309</v>
      </c>
      <c r="F834" s="221" t="s">
        <v>1319</v>
      </c>
    </row>
    <row r="835" spans="1:6">
      <c r="A835" s="221" t="s">
        <v>1318</v>
      </c>
      <c r="B835" s="221">
        <v>5299425885190470</v>
      </c>
      <c r="C835" s="221" t="s">
        <v>1317</v>
      </c>
      <c r="D835" s="221" t="s">
        <v>1316</v>
      </c>
      <c r="E835" s="160">
        <v>42300</v>
      </c>
      <c r="F835" s="221" t="s">
        <v>1315</v>
      </c>
    </row>
    <row r="836" spans="1:6">
      <c r="A836" s="221" t="s">
        <v>795</v>
      </c>
      <c r="B836" s="221">
        <v>3575879461890090</v>
      </c>
      <c r="C836" s="221" t="s">
        <v>1314</v>
      </c>
      <c r="D836" s="221" t="s">
        <v>1313</v>
      </c>
      <c r="E836" s="160">
        <v>42122</v>
      </c>
      <c r="F836" s="221" t="s">
        <v>1312</v>
      </c>
    </row>
    <row r="837" spans="1:6">
      <c r="A837" s="221" t="s">
        <v>1311</v>
      </c>
      <c r="B837" s="221">
        <v>3575782475692480</v>
      </c>
      <c r="C837" s="221" t="s">
        <v>1310</v>
      </c>
      <c r="D837" s="221" t="s">
        <v>1309</v>
      </c>
      <c r="E837" s="160">
        <v>42378</v>
      </c>
      <c r="F837" s="221" t="s">
        <v>1308</v>
      </c>
    </row>
    <row r="838" spans="1:6">
      <c r="A838" s="221" t="s">
        <v>1307</v>
      </c>
      <c r="B838" s="221">
        <v>5345343792883100</v>
      </c>
      <c r="C838" s="221" t="s">
        <v>1306</v>
      </c>
      <c r="D838" s="221" t="s">
        <v>1305</v>
      </c>
      <c r="E838" s="160">
        <v>42357</v>
      </c>
      <c r="F838" s="221" t="s">
        <v>1304</v>
      </c>
    </row>
    <row r="839" spans="1:6">
      <c r="A839" s="221" t="s">
        <v>1303</v>
      </c>
      <c r="B839" s="221">
        <v>3558464442348530</v>
      </c>
      <c r="C839" s="221" t="s">
        <v>591</v>
      </c>
      <c r="D839" s="221" t="s">
        <v>1302</v>
      </c>
      <c r="E839" s="160">
        <v>42206</v>
      </c>
      <c r="F839" s="221" t="s">
        <v>1301</v>
      </c>
    </row>
    <row r="840" spans="1:6">
      <c r="A840" s="221" t="s">
        <v>1300</v>
      </c>
      <c r="B840" s="221">
        <v>6.3339766166477197E+17</v>
      </c>
      <c r="C840" s="221" t="s">
        <v>821</v>
      </c>
      <c r="D840" s="221" t="s">
        <v>1299</v>
      </c>
      <c r="E840" s="160">
        <v>42300</v>
      </c>
      <c r="F840" s="221" t="s">
        <v>1298</v>
      </c>
    </row>
    <row r="841" spans="1:6">
      <c r="A841" s="221" t="s">
        <v>1297</v>
      </c>
      <c r="B841" s="221">
        <v>3586150252402490</v>
      </c>
      <c r="C841" s="221" t="s">
        <v>1296</v>
      </c>
      <c r="D841" s="221" t="s">
        <v>1295</v>
      </c>
      <c r="E841" s="160">
        <v>42138</v>
      </c>
      <c r="F841" s="221" t="s">
        <v>1294</v>
      </c>
    </row>
    <row r="842" spans="1:6">
      <c r="A842" s="221" t="s">
        <v>1293</v>
      </c>
      <c r="B842" s="221">
        <v>5007663550174950</v>
      </c>
      <c r="C842" s="221" t="s">
        <v>853</v>
      </c>
      <c r="D842" s="221" t="s">
        <v>1292</v>
      </c>
      <c r="E842" s="160">
        <v>42112</v>
      </c>
      <c r="F842" s="221" t="s">
        <v>1291</v>
      </c>
    </row>
    <row r="843" spans="1:6">
      <c r="A843" s="221" t="s">
        <v>1290</v>
      </c>
      <c r="B843" s="221">
        <v>3532734094852490</v>
      </c>
      <c r="C843" s="221" t="s">
        <v>1099</v>
      </c>
      <c r="D843" s="221" t="s">
        <v>1289</v>
      </c>
      <c r="E843" s="160">
        <v>42123</v>
      </c>
      <c r="F843" s="221" t="s">
        <v>1288</v>
      </c>
    </row>
    <row r="844" spans="1:6">
      <c r="A844" s="221" t="s">
        <v>907</v>
      </c>
      <c r="B844" s="221">
        <v>3552062795930870</v>
      </c>
      <c r="C844" s="221" t="s">
        <v>1287</v>
      </c>
      <c r="D844" s="221" t="s">
        <v>1286</v>
      </c>
      <c r="E844" s="160">
        <v>42118</v>
      </c>
      <c r="F844" s="221" t="s">
        <v>1285</v>
      </c>
    </row>
    <row r="845" spans="1:6">
      <c r="A845" s="221" t="s">
        <v>1284</v>
      </c>
      <c r="B845" s="221">
        <v>5463353790400200</v>
      </c>
      <c r="C845" s="221" t="s">
        <v>1142</v>
      </c>
      <c r="D845" s="221" t="s">
        <v>1283</v>
      </c>
      <c r="E845" s="160">
        <v>42438</v>
      </c>
      <c r="F845" s="221" t="s">
        <v>1282</v>
      </c>
    </row>
    <row r="846" spans="1:6">
      <c r="A846" s="221" t="s">
        <v>1197</v>
      </c>
      <c r="B846" s="221">
        <v>5581165245744550</v>
      </c>
      <c r="C846" s="221" t="s">
        <v>1281</v>
      </c>
      <c r="D846" s="221" t="s">
        <v>1280</v>
      </c>
      <c r="E846" s="160">
        <v>42375</v>
      </c>
      <c r="F846" s="221" t="s">
        <v>1279</v>
      </c>
    </row>
    <row r="847" spans="1:6">
      <c r="A847" s="221" t="s">
        <v>1278</v>
      </c>
      <c r="B847" s="221">
        <v>5103352258413060</v>
      </c>
      <c r="C847" s="221" t="s">
        <v>1010</v>
      </c>
      <c r="D847" s="221" t="s">
        <v>1277</v>
      </c>
      <c r="E847" s="160">
        <v>42185</v>
      </c>
      <c r="F847" s="221" t="s">
        <v>1276</v>
      </c>
    </row>
    <row r="848" spans="1:6">
      <c r="A848" s="221" t="s">
        <v>979</v>
      </c>
      <c r="B848" s="221">
        <v>3586584422905110</v>
      </c>
      <c r="C848" s="221" t="s">
        <v>1095</v>
      </c>
      <c r="D848" s="221" t="s">
        <v>1275</v>
      </c>
      <c r="E848" s="160">
        <v>42210</v>
      </c>
      <c r="F848" s="221" t="s">
        <v>1274</v>
      </c>
    </row>
    <row r="849" spans="1:6">
      <c r="A849" s="221" t="s">
        <v>1052</v>
      </c>
      <c r="B849" s="221">
        <v>4017955427695</v>
      </c>
      <c r="C849" s="221" t="s">
        <v>1273</v>
      </c>
      <c r="D849" s="221" t="s">
        <v>1272</v>
      </c>
      <c r="E849" s="160">
        <v>42291</v>
      </c>
      <c r="F849" s="221" t="s">
        <v>1271</v>
      </c>
    </row>
    <row r="850" spans="1:6">
      <c r="A850" s="221" t="s">
        <v>779</v>
      </c>
      <c r="B850" s="221">
        <v>3530996289841970</v>
      </c>
      <c r="C850" s="221" t="s">
        <v>774</v>
      </c>
      <c r="D850" s="221" t="s">
        <v>1270</v>
      </c>
      <c r="E850" s="160">
        <v>42303</v>
      </c>
      <c r="F850" s="221" t="s">
        <v>1269</v>
      </c>
    </row>
    <row r="851" spans="1:6">
      <c r="A851" s="221" t="s">
        <v>1268</v>
      </c>
      <c r="B851" s="221">
        <v>5010123471222030</v>
      </c>
      <c r="C851" s="221" t="s">
        <v>1267</v>
      </c>
      <c r="D851" s="221" t="s">
        <v>1266</v>
      </c>
      <c r="E851" s="160">
        <v>42256</v>
      </c>
      <c r="F851" s="221" t="s">
        <v>1265</v>
      </c>
    </row>
    <row r="852" spans="1:6">
      <c r="A852" s="221" t="s">
        <v>1149</v>
      </c>
      <c r="B852" s="221">
        <v>3556413640919950</v>
      </c>
      <c r="C852" s="221" t="s">
        <v>1264</v>
      </c>
      <c r="D852" s="221" t="s">
        <v>1263</v>
      </c>
      <c r="E852" s="160">
        <v>42456</v>
      </c>
      <c r="F852" s="221" t="s">
        <v>1262</v>
      </c>
    </row>
    <row r="853" spans="1:6">
      <c r="A853" s="221" t="s">
        <v>1261</v>
      </c>
      <c r="B853" s="221">
        <v>3552295444811640</v>
      </c>
      <c r="C853" s="221" t="s">
        <v>1260</v>
      </c>
      <c r="D853" s="221" t="s">
        <v>1259</v>
      </c>
      <c r="E853" s="160">
        <v>42330</v>
      </c>
      <c r="F853" s="221" t="s">
        <v>1258</v>
      </c>
    </row>
    <row r="854" spans="1:6">
      <c r="A854" s="221" t="s">
        <v>1257</v>
      </c>
      <c r="B854" s="221">
        <v>3547468412878670</v>
      </c>
      <c r="C854" s="221" t="s">
        <v>918</v>
      </c>
      <c r="D854" s="221" t="s">
        <v>1256</v>
      </c>
      <c r="E854" s="160">
        <v>42100</v>
      </c>
      <c r="F854" s="221" t="s">
        <v>1255</v>
      </c>
    </row>
    <row r="855" spans="1:6">
      <c r="A855" s="221" t="s">
        <v>1254</v>
      </c>
      <c r="B855" s="221">
        <v>6761440928086510</v>
      </c>
      <c r="C855" s="221" t="s">
        <v>1253</v>
      </c>
      <c r="D855" s="221" t="s">
        <v>1252</v>
      </c>
      <c r="E855" s="160">
        <v>42417</v>
      </c>
      <c r="F855" s="221" t="s">
        <v>1251</v>
      </c>
    </row>
    <row r="856" spans="1:6">
      <c r="A856" s="221" t="s">
        <v>1250</v>
      </c>
      <c r="B856" s="221">
        <v>3535238497816960</v>
      </c>
      <c r="C856" s="221" t="s">
        <v>1175</v>
      </c>
      <c r="D856" s="221" t="s">
        <v>1249</v>
      </c>
      <c r="E856" s="160">
        <v>42336</v>
      </c>
      <c r="F856" s="221" t="s">
        <v>1248</v>
      </c>
    </row>
    <row r="857" spans="1:6">
      <c r="A857" s="221" t="s">
        <v>1247</v>
      </c>
      <c r="B857" s="221">
        <v>3538394601400840</v>
      </c>
      <c r="C857" s="221" t="s">
        <v>1127</v>
      </c>
      <c r="D857" s="221" t="s">
        <v>1246</v>
      </c>
      <c r="E857" s="160">
        <v>42157</v>
      </c>
      <c r="F857" s="221" t="s">
        <v>1245</v>
      </c>
    </row>
    <row r="858" spans="1:6">
      <c r="A858" s="221" t="s">
        <v>815</v>
      </c>
      <c r="B858" s="221">
        <v>4844947232763300</v>
      </c>
      <c r="C858" s="221" t="s">
        <v>1244</v>
      </c>
      <c r="D858" s="221" t="s">
        <v>1243</v>
      </c>
      <c r="E858" s="160">
        <v>42347</v>
      </c>
      <c r="F858" s="221" t="s">
        <v>1242</v>
      </c>
    </row>
    <row r="859" spans="1:6">
      <c r="A859" s="221" t="s">
        <v>1241</v>
      </c>
      <c r="B859" s="221">
        <v>5602245080444700</v>
      </c>
      <c r="C859" s="221" t="s">
        <v>734</v>
      </c>
      <c r="D859" s="221" t="s">
        <v>1240</v>
      </c>
      <c r="E859" s="160">
        <v>42252</v>
      </c>
      <c r="F859" s="221" t="s">
        <v>1239</v>
      </c>
    </row>
    <row r="860" spans="1:6">
      <c r="A860" s="221" t="s">
        <v>1238</v>
      </c>
      <c r="B860" s="221">
        <v>3575177009138690</v>
      </c>
      <c r="C860" s="221" t="s">
        <v>906</v>
      </c>
      <c r="D860" s="221" t="s">
        <v>1237</v>
      </c>
      <c r="E860" s="160">
        <v>42170</v>
      </c>
      <c r="F860" s="221" t="s">
        <v>1236</v>
      </c>
    </row>
    <row r="861" spans="1:6">
      <c r="A861" s="221" t="s">
        <v>854</v>
      </c>
      <c r="B861" s="221">
        <v>4911689211029770</v>
      </c>
      <c r="C861" s="221" t="s">
        <v>1026</v>
      </c>
      <c r="D861" s="221" t="s">
        <v>1235</v>
      </c>
      <c r="E861" s="160">
        <v>42141</v>
      </c>
      <c r="F861" s="221" t="s">
        <v>1234</v>
      </c>
    </row>
    <row r="862" spans="1:6">
      <c r="A862" s="221" t="s">
        <v>1233</v>
      </c>
      <c r="B862" s="221">
        <v>6763947597384440</v>
      </c>
      <c r="C862" s="221" t="s">
        <v>1232</v>
      </c>
      <c r="D862" s="221" t="s">
        <v>1231</v>
      </c>
      <c r="E862" s="160">
        <v>42217</v>
      </c>
      <c r="F862" s="221" t="s">
        <v>1230</v>
      </c>
    </row>
    <row r="863" spans="1:6">
      <c r="A863" s="221" t="s">
        <v>1229</v>
      </c>
      <c r="B863" s="221">
        <v>201792108859546</v>
      </c>
      <c r="C863" s="221" t="s">
        <v>833</v>
      </c>
      <c r="D863" s="221" t="s">
        <v>1228</v>
      </c>
      <c r="E863" s="160">
        <v>42112</v>
      </c>
      <c r="F863" s="221" t="s">
        <v>1227</v>
      </c>
    </row>
    <row r="864" spans="1:6">
      <c r="A864" s="221" t="s">
        <v>1226</v>
      </c>
      <c r="B864" s="221">
        <v>3566906972406610</v>
      </c>
      <c r="C864" s="221" t="s">
        <v>1063</v>
      </c>
      <c r="D864" s="221" t="s">
        <v>1225</v>
      </c>
      <c r="E864" s="160">
        <v>42248</v>
      </c>
      <c r="F864" s="221" t="s">
        <v>1224</v>
      </c>
    </row>
    <row r="865" spans="1:6">
      <c r="A865" s="221" t="s">
        <v>1223</v>
      </c>
      <c r="B865" s="221">
        <v>3538650667184890</v>
      </c>
      <c r="C865" s="221" t="s">
        <v>1222</v>
      </c>
      <c r="D865" s="221" t="s">
        <v>1221</v>
      </c>
      <c r="E865" s="160">
        <v>42251</v>
      </c>
      <c r="F865" s="221" t="s">
        <v>1220</v>
      </c>
    </row>
    <row r="866" spans="1:6">
      <c r="A866" s="221" t="s">
        <v>1219</v>
      </c>
      <c r="B866" s="221">
        <v>4026841491723790</v>
      </c>
      <c r="C866" s="221" t="s">
        <v>1218</v>
      </c>
      <c r="D866" s="221" t="s">
        <v>1217</v>
      </c>
      <c r="E866" s="160">
        <v>42196</v>
      </c>
      <c r="F866" s="221" t="s">
        <v>1216</v>
      </c>
    </row>
    <row r="867" spans="1:6">
      <c r="A867" s="221" t="s">
        <v>1215</v>
      </c>
      <c r="B867" s="221">
        <v>4017952782247060</v>
      </c>
      <c r="C867" s="221" t="s">
        <v>1047</v>
      </c>
      <c r="D867" s="221" t="s">
        <v>1214</v>
      </c>
      <c r="E867" s="160">
        <v>42231</v>
      </c>
      <c r="F867" s="221" t="s">
        <v>1213</v>
      </c>
    </row>
    <row r="868" spans="1:6">
      <c r="A868" s="221" t="s">
        <v>1212</v>
      </c>
      <c r="B868" s="221">
        <v>3567608574579260</v>
      </c>
      <c r="C868" s="221" t="s">
        <v>1211</v>
      </c>
      <c r="D868" s="221" t="s">
        <v>1210</v>
      </c>
      <c r="E868" s="160">
        <v>42426</v>
      </c>
      <c r="F868" s="221" t="s">
        <v>1209</v>
      </c>
    </row>
    <row r="869" spans="1:6">
      <c r="A869" s="221" t="s">
        <v>1208</v>
      </c>
      <c r="B869" s="221">
        <v>4017958239915</v>
      </c>
      <c r="C869" s="221" t="s">
        <v>1116</v>
      </c>
      <c r="D869" s="221" t="s">
        <v>1207</v>
      </c>
      <c r="E869" s="160">
        <v>42170</v>
      </c>
      <c r="F869" s="221" t="s">
        <v>1206</v>
      </c>
    </row>
    <row r="870" spans="1:6">
      <c r="A870" s="221" t="s">
        <v>1205</v>
      </c>
      <c r="B870" s="221">
        <v>3573443819178800</v>
      </c>
      <c r="C870" s="221" t="s">
        <v>794</v>
      </c>
      <c r="D870" s="221" t="s">
        <v>1204</v>
      </c>
      <c r="E870" s="160">
        <v>42242</v>
      </c>
      <c r="F870" s="221" t="s">
        <v>1203</v>
      </c>
    </row>
    <row r="871" spans="1:6">
      <c r="A871" s="221" t="s">
        <v>1000</v>
      </c>
      <c r="B871" s="221">
        <v>5460121188613060</v>
      </c>
      <c r="C871" s="221" t="s">
        <v>933</v>
      </c>
      <c r="D871" s="221" t="s">
        <v>1202</v>
      </c>
      <c r="E871" s="160">
        <v>42277</v>
      </c>
      <c r="F871" s="221" t="s">
        <v>1201</v>
      </c>
    </row>
    <row r="872" spans="1:6">
      <c r="A872" s="221" t="s">
        <v>1200</v>
      </c>
      <c r="B872" s="221">
        <v>3560564286204820</v>
      </c>
      <c r="C872" s="221" t="s">
        <v>1142</v>
      </c>
      <c r="D872" s="221" t="s">
        <v>1199</v>
      </c>
      <c r="E872" s="160">
        <v>42260</v>
      </c>
      <c r="F872" s="221" t="s">
        <v>1198</v>
      </c>
    </row>
    <row r="873" spans="1:6">
      <c r="A873" s="221" t="s">
        <v>1197</v>
      </c>
      <c r="B873" s="221">
        <v>3531370504237050</v>
      </c>
      <c r="C873" s="221" t="s">
        <v>887</v>
      </c>
      <c r="D873" s="221" t="s">
        <v>1196</v>
      </c>
      <c r="E873" s="160">
        <v>42110</v>
      </c>
      <c r="F873" s="221" t="s">
        <v>1195</v>
      </c>
    </row>
    <row r="874" spans="1:6">
      <c r="A874" s="221" t="s">
        <v>862</v>
      </c>
      <c r="B874" s="221">
        <v>3589535703231260</v>
      </c>
      <c r="C874" s="221" t="s">
        <v>1073</v>
      </c>
      <c r="D874" s="221" t="s">
        <v>1194</v>
      </c>
      <c r="E874" s="160">
        <v>42321</v>
      </c>
      <c r="F874" s="221" t="s">
        <v>1193</v>
      </c>
    </row>
    <row r="875" spans="1:6">
      <c r="A875" s="221" t="s">
        <v>1192</v>
      </c>
      <c r="B875" s="221">
        <v>3573945703625560</v>
      </c>
      <c r="C875" s="221" t="s">
        <v>1191</v>
      </c>
      <c r="D875" s="221" t="s">
        <v>1190</v>
      </c>
      <c r="E875" s="160">
        <v>42190</v>
      </c>
      <c r="F875" s="221" t="s">
        <v>1189</v>
      </c>
    </row>
    <row r="876" spans="1:6">
      <c r="A876" s="221" t="s">
        <v>1067</v>
      </c>
      <c r="B876" s="221">
        <v>3571434535536720</v>
      </c>
      <c r="C876" s="221" t="s">
        <v>1188</v>
      </c>
      <c r="D876" s="221" t="s">
        <v>1187</v>
      </c>
      <c r="E876" s="160">
        <v>42176</v>
      </c>
      <c r="F876" s="221" t="s">
        <v>1186</v>
      </c>
    </row>
    <row r="877" spans="1:6">
      <c r="A877" s="221" t="s">
        <v>996</v>
      </c>
      <c r="B877" s="221">
        <v>4652364945727970</v>
      </c>
      <c r="C877" s="221" t="s">
        <v>941</v>
      </c>
      <c r="D877" s="221" t="s">
        <v>1185</v>
      </c>
      <c r="E877" s="160">
        <v>42371</v>
      </c>
      <c r="F877" s="221" t="s">
        <v>1184</v>
      </c>
    </row>
    <row r="878" spans="1:6">
      <c r="A878" s="221" t="s">
        <v>1183</v>
      </c>
      <c r="B878" s="221">
        <v>3549229653223350</v>
      </c>
      <c r="C878" s="221" t="s">
        <v>1182</v>
      </c>
      <c r="D878" s="221" t="s">
        <v>1181</v>
      </c>
      <c r="E878" s="160">
        <v>42414</v>
      </c>
      <c r="F878" s="221" t="s">
        <v>1180</v>
      </c>
    </row>
    <row r="879" spans="1:6">
      <c r="A879" s="221" t="s">
        <v>1179</v>
      </c>
      <c r="B879" s="221">
        <v>5002350584563750</v>
      </c>
      <c r="C879" s="221" t="s">
        <v>1070</v>
      </c>
      <c r="D879" s="221" t="s">
        <v>1178</v>
      </c>
      <c r="E879" s="160">
        <v>42195</v>
      </c>
      <c r="F879" s="221" t="s">
        <v>1177</v>
      </c>
    </row>
    <row r="880" spans="1:6">
      <c r="A880" s="221" t="s">
        <v>1176</v>
      </c>
      <c r="B880" s="221">
        <v>5.6418274496500102E+17</v>
      </c>
      <c r="C880" s="221" t="s">
        <v>1175</v>
      </c>
      <c r="D880" s="221" t="s">
        <v>1174</v>
      </c>
      <c r="E880" s="160">
        <v>42199</v>
      </c>
      <c r="F880" s="221" t="s">
        <v>1173</v>
      </c>
    </row>
    <row r="881" spans="1:6">
      <c r="A881" s="221" t="s">
        <v>1172</v>
      </c>
      <c r="B881" s="221">
        <v>5602241305516340</v>
      </c>
      <c r="C881" s="221" t="s">
        <v>1171</v>
      </c>
      <c r="D881" s="221" t="s">
        <v>1170</v>
      </c>
      <c r="E881" s="160">
        <v>42272</v>
      </c>
      <c r="F881" s="221" t="s">
        <v>1169</v>
      </c>
    </row>
    <row r="882" spans="1:6">
      <c r="A882" s="221" t="s">
        <v>1168</v>
      </c>
      <c r="B882" s="221">
        <v>5100140351453170</v>
      </c>
      <c r="C882" s="221" t="s">
        <v>865</v>
      </c>
      <c r="D882" s="221" t="s">
        <v>1167</v>
      </c>
      <c r="E882" s="160">
        <v>42119</v>
      </c>
      <c r="F882" s="221" t="s">
        <v>1166</v>
      </c>
    </row>
    <row r="883" spans="1:6">
      <c r="A883" s="221" t="s">
        <v>1165</v>
      </c>
      <c r="B883" s="221">
        <v>3576157150142640</v>
      </c>
      <c r="C883" s="221" t="s">
        <v>1164</v>
      </c>
      <c r="D883" s="221" t="s">
        <v>1163</v>
      </c>
      <c r="E883" s="160">
        <v>42351</v>
      </c>
      <c r="F883" s="221" t="s">
        <v>1162</v>
      </c>
    </row>
    <row r="884" spans="1:6">
      <c r="A884" s="221" t="s">
        <v>1161</v>
      </c>
      <c r="B884" s="221">
        <v>6.7095738821430395E+18</v>
      </c>
      <c r="C884" s="221" t="s">
        <v>734</v>
      </c>
      <c r="D884" s="221" t="s">
        <v>1160</v>
      </c>
      <c r="E884" s="160">
        <v>42424</v>
      </c>
      <c r="F884" s="221" t="s">
        <v>1159</v>
      </c>
    </row>
    <row r="885" spans="1:6">
      <c r="A885" s="221" t="s">
        <v>1158</v>
      </c>
      <c r="B885" s="221">
        <v>4913584075642910</v>
      </c>
      <c r="C885" s="221" t="s">
        <v>1088</v>
      </c>
      <c r="D885" s="221" t="s">
        <v>1157</v>
      </c>
      <c r="E885" s="160">
        <v>42321</v>
      </c>
      <c r="F885" s="221" t="s">
        <v>1156</v>
      </c>
    </row>
    <row r="886" spans="1:6">
      <c r="A886" s="221" t="s">
        <v>1131</v>
      </c>
      <c r="B886" s="221">
        <v>604897130060337</v>
      </c>
      <c r="C886" s="221" t="s">
        <v>1155</v>
      </c>
      <c r="D886" s="221" t="s">
        <v>1154</v>
      </c>
      <c r="E886" s="160">
        <v>42231</v>
      </c>
      <c r="F886" s="221" t="s">
        <v>1153</v>
      </c>
    </row>
    <row r="887" spans="1:6">
      <c r="A887" s="221" t="s">
        <v>919</v>
      </c>
      <c r="B887" s="221">
        <v>5100179764199260</v>
      </c>
      <c r="C887" s="221" t="s">
        <v>1152</v>
      </c>
      <c r="D887" s="221" t="s">
        <v>1151</v>
      </c>
      <c r="E887" s="160">
        <v>42359</v>
      </c>
      <c r="F887" s="221" t="s">
        <v>1150</v>
      </c>
    </row>
    <row r="888" spans="1:6">
      <c r="A888" s="221" t="s">
        <v>1149</v>
      </c>
      <c r="B888" s="221">
        <v>3536809593923890</v>
      </c>
      <c r="C888" s="221" t="s">
        <v>1148</v>
      </c>
      <c r="D888" s="221" t="s">
        <v>1147</v>
      </c>
      <c r="E888" s="160">
        <v>42170</v>
      </c>
      <c r="F888" s="221" t="s">
        <v>1146</v>
      </c>
    </row>
    <row r="889" spans="1:6">
      <c r="A889" s="221" t="s">
        <v>1145</v>
      </c>
      <c r="B889" s="221">
        <v>3558127612590410</v>
      </c>
      <c r="C889" s="221" t="s">
        <v>1003</v>
      </c>
      <c r="D889" s="221" t="s">
        <v>1144</v>
      </c>
      <c r="E889" s="160">
        <v>42441</v>
      </c>
      <c r="F889" s="221" t="s">
        <v>1143</v>
      </c>
    </row>
    <row r="890" spans="1:6">
      <c r="A890" s="221" t="s">
        <v>1096</v>
      </c>
      <c r="B890" s="221">
        <v>374288900989863</v>
      </c>
      <c r="C890" s="221" t="s">
        <v>1142</v>
      </c>
      <c r="D890" s="221" t="s">
        <v>1141</v>
      </c>
      <c r="E890" s="160">
        <v>42330</v>
      </c>
      <c r="F890" s="221" t="s">
        <v>1140</v>
      </c>
    </row>
    <row r="891" spans="1:6">
      <c r="A891" s="221" t="s">
        <v>1139</v>
      </c>
      <c r="B891" s="221">
        <v>3552731259094820</v>
      </c>
      <c r="C891" s="221" t="s">
        <v>1138</v>
      </c>
      <c r="D891" s="221" t="s">
        <v>1137</v>
      </c>
      <c r="E891" s="160">
        <v>42349</v>
      </c>
      <c r="F891" s="221" t="s">
        <v>1136</v>
      </c>
    </row>
    <row r="892" spans="1:6">
      <c r="A892" s="221" t="s">
        <v>1135</v>
      </c>
      <c r="B892" s="221">
        <v>5419978966485770</v>
      </c>
      <c r="C892" s="221" t="s">
        <v>1134</v>
      </c>
      <c r="D892" s="221" t="s">
        <v>1133</v>
      </c>
      <c r="E892" s="160">
        <v>42366</v>
      </c>
      <c r="F892" s="221" t="s">
        <v>1132</v>
      </c>
    </row>
    <row r="893" spans="1:6">
      <c r="A893" s="221" t="s">
        <v>1131</v>
      </c>
      <c r="B893" s="221">
        <v>6.3040787634094298E+17</v>
      </c>
      <c r="C893" s="221" t="s">
        <v>762</v>
      </c>
      <c r="D893" s="221" t="s">
        <v>1130</v>
      </c>
      <c r="E893" s="160">
        <v>42100</v>
      </c>
      <c r="F893" s="221" t="s">
        <v>1129</v>
      </c>
    </row>
    <row r="894" spans="1:6">
      <c r="A894" s="221" t="s">
        <v>1128</v>
      </c>
      <c r="B894" s="221">
        <v>3588903248376070</v>
      </c>
      <c r="C894" s="221" t="s">
        <v>1127</v>
      </c>
      <c r="D894" s="221" t="s">
        <v>1126</v>
      </c>
      <c r="E894" s="160">
        <v>42394</v>
      </c>
      <c r="F894" s="221" t="s">
        <v>1125</v>
      </c>
    </row>
    <row r="895" spans="1:6">
      <c r="A895" s="221" t="s">
        <v>1124</v>
      </c>
      <c r="B895" s="221">
        <v>3532417827766470</v>
      </c>
      <c r="C895" s="221" t="s">
        <v>1123</v>
      </c>
      <c r="D895" s="221" t="s">
        <v>1122</v>
      </c>
      <c r="E895" s="160">
        <v>42220</v>
      </c>
      <c r="F895" s="221" t="s">
        <v>1121</v>
      </c>
    </row>
    <row r="896" spans="1:6">
      <c r="A896" s="221" t="s">
        <v>1030</v>
      </c>
      <c r="B896" s="221">
        <v>4917300398060570</v>
      </c>
      <c r="C896" s="221" t="s">
        <v>1120</v>
      </c>
      <c r="D896" s="221" t="s">
        <v>1119</v>
      </c>
      <c r="E896" s="160">
        <v>42154</v>
      </c>
      <c r="F896" s="221" t="s">
        <v>1118</v>
      </c>
    </row>
    <row r="897" spans="1:6">
      <c r="A897" s="221" t="s">
        <v>1117</v>
      </c>
      <c r="B897" s="221">
        <v>3589378264342170</v>
      </c>
      <c r="C897" s="221" t="s">
        <v>1116</v>
      </c>
      <c r="D897" s="221" t="s">
        <v>1115</v>
      </c>
      <c r="E897" s="160">
        <v>42303</v>
      </c>
      <c r="F897" s="221" t="s">
        <v>1114</v>
      </c>
    </row>
    <row r="898" spans="1:6">
      <c r="A898" s="221" t="s">
        <v>922</v>
      </c>
      <c r="B898" s="221">
        <v>6.7677457951544402E+18</v>
      </c>
      <c r="C898" s="221" t="s">
        <v>995</v>
      </c>
      <c r="D898" s="221" t="s">
        <v>1113</v>
      </c>
      <c r="E898" s="160">
        <v>42252</v>
      </c>
      <c r="F898" s="221" t="s">
        <v>1112</v>
      </c>
    </row>
    <row r="899" spans="1:6">
      <c r="A899" s="221" t="s">
        <v>1111</v>
      </c>
      <c r="B899" s="221">
        <v>3550090499780010</v>
      </c>
      <c r="C899" s="221" t="s">
        <v>1073</v>
      </c>
      <c r="D899" s="221" t="s">
        <v>1110</v>
      </c>
      <c r="E899" s="160">
        <v>42362</v>
      </c>
      <c r="F899" s="221" t="s">
        <v>1109</v>
      </c>
    </row>
    <row r="900" spans="1:6">
      <c r="A900" s="221" t="s">
        <v>1108</v>
      </c>
      <c r="B900" s="221">
        <v>6762672686392100</v>
      </c>
      <c r="C900" s="221" t="s">
        <v>1070</v>
      </c>
      <c r="D900" s="221" t="s">
        <v>1107</v>
      </c>
      <c r="E900" s="160">
        <v>42159</v>
      </c>
      <c r="F900" s="221" t="s">
        <v>1106</v>
      </c>
    </row>
    <row r="901" spans="1:6">
      <c r="A901" s="221" t="s">
        <v>1105</v>
      </c>
      <c r="B901" s="221">
        <v>3529101160110360</v>
      </c>
      <c r="C901" s="221" t="s">
        <v>1104</v>
      </c>
      <c r="D901" s="221" t="s">
        <v>1103</v>
      </c>
      <c r="E901" s="160">
        <v>42396</v>
      </c>
      <c r="F901" s="221" t="s">
        <v>1102</v>
      </c>
    </row>
    <row r="902" spans="1:6">
      <c r="A902" s="221" t="s">
        <v>903</v>
      </c>
      <c r="B902" s="221">
        <v>3548270401440850</v>
      </c>
      <c r="C902" s="221" t="s">
        <v>770</v>
      </c>
      <c r="D902" s="221" t="s">
        <v>1101</v>
      </c>
      <c r="E902" s="160">
        <v>42305</v>
      </c>
      <c r="F902" s="221" t="s">
        <v>1100</v>
      </c>
    </row>
    <row r="903" spans="1:6">
      <c r="A903" s="221" t="s">
        <v>880</v>
      </c>
      <c r="B903" s="221">
        <v>3549469816701610</v>
      </c>
      <c r="C903" s="221" t="s">
        <v>1099</v>
      </c>
      <c r="D903" s="221" t="s">
        <v>1098</v>
      </c>
      <c r="E903" s="160">
        <v>42322</v>
      </c>
      <c r="F903" s="221" t="s">
        <v>1097</v>
      </c>
    </row>
    <row r="904" spans="1:6">
      <c r="A904" s="221" t="s">
        <v>1096</v>
      </c>
      <c r="B904" s="221">
        <v>3571692257301980</v>
      </c>
      <c r="C904" s="221" t="s">
        <v>1095</v>
      </c>
      <c r="D904" s="221" t="s">
        <v>1094</v>
      </c>
      <c r="E904" s="160">
        <v>42229</v>
      </c>
      <c r="F904" s="221" t="s">
        <v>1093</v>
      </c>
    </row>
    <row r="905" spans="1:6">
      <c r="A905" s="221" t="s">
        <v>899</v>
      </c>
      <c r="B905" s="221">
        <v>6389165277553810</v>
      </c>
      <c r="C905" s="221" t="s">
        <v>1092</v>
      </c>
      <c r="D905" s="221" t="s">
        <v>1091</v>
      </c>
      <c r="E905" s="160">
        <v>42440</v>
      </c>
      <c r="F905" s="221" t="s">
        <v>1090</v>
      </c>
    </row>
    <row r="906" spans="1:6">
      <c r="A906" s="221" t="s">
        <v>1089</v>
      </c>
      <c r="B906" s="221">
        <v>3535060761098770</v>
      </c>
      <c r="C906" s="221" t="s">
        <v>1088</v>
      </c>
      <c r="D906" s="221" t="s">
        <v>1087</v>
      </c>
      <c r="E906" s="160">
        <v>42106</v>
      </c>
      <c r="F906" s="221" t="s">
        <v>1086</v>
      </c>
    </row>
    <row r="907" spans="1:6">
      <c r="A907" s="221" t="s">
        <v>1085</v>
      </c>
      <c r="B907" s="221">
        <v>3531177854066260</v>
      </c>
      <c r="C907" s="221" t="s">
        <v>1084</v>
      </c>
      <c r="D907" s="221" t="s">
        <v>1083</v>
      </c>
      <c r="E907" s="160">
        <v>42234</v>
      </c>
      <c r="F907" s="221" t="s">
        <v>1082</v>
      </c>
    </row>
    <row r="908" spans="1:6">
      <c r="A908" s="221" t="s">
        <v>1081</v>
      </c>
      <c r="B908" s="221">
        <v>3573420967108400</v>
      </c>
      <c r="C908" s="221" t="s">
        <v>1080</v>
      </c>
      <c r="D908" s="221" t="s">
        <v>1079</v>
      </c>
      <c r="E908" s="160">
        <v>42352</v>
      </c>
      <c r="F908" s="221" t="s">
        <v>1078</v>
      </c>
    </row>
    <row r="909" spans="1:6">
      <c r="A909" s="221" t="s">
        <v>1077</v>
      </c>
      <c r="B909" s="221">
        <v>3538657723228740</v>
      </c>
      <c r="C909" s="221" t="s">
        <v>1076</v>
      </c>
      <c r="D909" s="221" t="s">
        <v>1075</v>
      </c>
      <c r="E909" s="160">
        <v>42189</v>
      </c>
      <c r="F909" s="221" t="s">
        <v>1074</v>
      </c>
    </row>
    <row r="910" spans="1:6">
      <c r="A910" s="221" t="s">
        <v>783</v>
      </c>
      <c r="B910" s="221">
        <v>3538975225718480</v>
      </c>
      <c r="C910" s="221" t="s">
        <v>1073</v>
      </c>
      <c r="D910" s="221" t="s">
        <v>1072</v>
      </c>
      <c r="E910" s="160">
        <v>42295</v>
      </c>
      <c r="F910" s="221" t="s">
        <v>1071</v>
      </c>
    </row>
    <row r="911" spans="1:6">
      <c r="A911" s="221" t="s">
        <v>982</v>
      </c>
      <c r="B911" s="221">
        <v>6762952906793850</v>
      </c>
      <c r="C911" s="221" t="s">
        <v>1070</v>
      </c>
      <c r="D911" s="221" t="s">
        <v>1069</v>
      </c>
      <c r="E911" s="160">
        <v>42320</v>
      </c>
      <c r="F911" s="221" t="s">
        <v>1068</v>
      </c>
    </row>
    <row r="912" spans="1:6">
      <c r="A912" s="221" t="s">
        <v>1067</v>
      </c>
      <c r="B912" s="221">
        <v>5108754531661930</v>
      </c>
      <c r="C912" s="221" t="s">
        <v>1066</v>
      </c>
      <c r="D912" s="221" t="s">
        <v>1065</v>
      </c>
      <c r="E912" s="160">
        <v>42292</v>
      </c>
      <c r="F912" s="221" t="s">
        <v>1064</v>
      </c>
    </row>
    <row r="913" spans="1:6">
      <c r="A913" s="221" t="s">
        <v>763</v>
      </c>
      <c r="B913" s="221">
        <v>3536870213574180</v>
      </c>
      <c r="C913" s="221" t="s">
        <v>1063</v>
      </c>
      <c r="D913" s="221" t="s">
        <v>1062</v>
      </c>
      <c r="E913" s="160">
        <v>42178</v>
      </c>
      <c r="F913" s="221" t="s">
        <v>1061</v>
      </c>
    </row>
    <row r="914" spans="1:6">
      <c r="A914" s="221" t="s">
        <v>1060</v>
      </c>
      <c r="B914" s="221">
        <v>201829513505619</v>
      </c>
      <c r="C914" s="221" t="s">
        <v>1059</v>
      </c>
      <c r="D914" s="221" t="s">
        <v>1058</v>
      </c>
      <c r="E914" s="160">
        <v>42225</v>
      </c>
      <c r="F914" s="221" t="s">
        <v>1057</v>
      </c>
    </row>
    <row r="915" spans="1:6">
      <c r="A915" s="221" t="s">
        <v>1056</v>
      </c>
      <c r="B915" s="221">
        <v>4917647670629670</v>
      </c>
      <c r="C915" s="221" t="s">
        <v>1055</v>
      </c>
      <c r="D915" s="221" t="s">
        <v>1054</v>
      </c>
      <c r="E915" s="160">
        <v>42110</v>
      </c>
      <c r="F915" s="221" t="s">
        <v>1053</v>
      </c>
    </row>
    <row r="916" spans="1:6">
      <c r="A916" s="221" t="s">
        <v>1052</v>
      </c>
      <c r="B916" s="221">
        <v>3559232483431120</v>
      </c>
      <c r="C916" s="221" t="s">
        <v>1051</v>
      </c>
      <c r="D916" s="221" t="s">
        <v>1050</v>
      </c>
      <c r="E916" s="160">
        <v>42188</v>
      </c>
      <c r="F916" s="221" t="s">
        <v>1049</v>
      </c>
    </row>
    <row r="917" spans="1:6">
      <c r="A917" s="221" t="s">
        <v>1048</v>
      </c>
      <c r="B917" s="221">
        <v>3530047637435980</v>
      </c>
      <c r="C917" s="221" t="s">
        <v>1047</v>
      </c>
      <c r="D917" s="221" t="s">
        <v>1046</v>
      </c>
      <c r="E917" s="160">
        <v>42163</v>
      </c>
      <c r="F917" s="221" t="s">
        <v>1045</v>
      </c>
    </row>
    <row r="918" spans="1:6">
      <c r="A918" s="221" t="s">
        <v>1044</v>
      </c>
      <c r="B918" s="221">
        <v>5108751612166130</v>
      </c>
      <c r="C918" s="221" t="s">
        <v>978</v>
      </c>
      <c r="D918" s="221" t="s">
        <v>1043</v>
      </c>
      <c r="E918" s="160">
        <v>42335</v>
      </c>
      <c r="F918" s="221" t="s">
        <v>1042</v>
      </c>
    </row>
    <row r="919" spans="1:6">
      <c r="A919" s="221" t="s">
        <v>1041</v>
      </c>
      <c r="B919" s="221">
        <v>5.6022415825156403E+18</v>
      </c>
      <c r="C919" s="221" t="s">
        <v>1040</v>
      </c>
      <c r="D919" s="221" t="s">
        <v>1039</v>
      </c>
      <c r="E919" s="160">
        <v>42314</v>
      </c>
      <c r="F919" s="221" t="s">
        <v>1038</v>
      </c>
    </row>
    <row r="920" spans="1:6">
      <c r="A920" s="221" t="s">
        <v>1037</v>
      </c>
      <c r="B920" s="221">
        <v>3543907405302990</v>
      </c>
      <c r="C920" s="221" t="s">
        <v>1036</v>
      </c>
      <c r="D920" s="221" t="s">
        <v>1035</v>
      </c>
      <c r="E920" s="160">
        <v>42370</v>
      </c>
      <c r="F920" s="221" t="s">
        <v>1034</v>
      </c>
    </row>
    <row r="921" spans="1:6">
      <c r="A921" s="221" t="s">
        <v>1033</v>
      </c>
      <c r="B921" s="221">
        <v>6759289549396260</v>
      </c>
      <c r="C921" s="221" t="s">
        <v>985</v>
      </c>
      <c r="D921" s="221" t="s">
        <v>1032</v>
      </c>
      <c r="E921" s="160">
        <v>42309</v>
      </c>
      <c r="F921" s="221" t="s">
        <v>1031</v>
      </c>
    </row>
    <row r="922" spans="1:6">
      <c r="A922" s="221" t="s">
        <v>1030</v>
      </c>
      <c r="B922" s="221">
        <v>5567759989389370</v>
      </c>
      <c r="C922" s="221" t="s">
        <v>887</v>
      </c>
      <c r="D922" s="221" t="s">
        <v>1029</v>
      </c>
      <c r="E922" s="160">
        <v>42330</v>
      </c>
      <c r="F922" s="221" t="s">
        <v>1028</v>
      </c>
    </row>
    <row r="923" spans="1:6">
      <c r="A923" s="221" t="s">
        <v>1027</v>
      </c>
      <c r="B923" s="221">
        <v>5401340872385930</v>
      </c>
      <c r="C923" s="221" t="s">
        <v>1026</v>
      </c>
      <c r="D923" s="221" t="s">
        <v>1025</v>
      </c>
      <c r="E923" s="160">
        <v>42422</v>
      </c>
      <c r="F923" s="221" t="s">
        <v>1024</v>
      </c>
    </row>
    <row r="924" spans="1:6">
      <c r="A924" s="221" t="s">
        <v>1023</v>
      </c>
      <c r="B924" s="221">
        <v>6.7629884712922296E+18</v>
      </c>
      <c r="C924" s="221" t="s">
        <v>1022</v>
      </c>
      <c r="D924" s="221" t="s">
        <v>1021</v>
      </c>
      <c r="E924" s="160">
        <v>42451</v>
      </c>
      <c r="F924" s="221" t="s">
        <v>1020</v>
      </c>
    </row>
    <row r="925" spans="1:6">
      <c r="A925" s="221" t="s">
        <v>1019</v>
      </c>
      <c r="B925" s="221">
        <v>3557377972268800</v>
      </c>
      <c r="C925" s="221" t="s">
        <v>1018</v>
      </c>
      <c r="D925" s="221" t="s">
        <v>1017</v>
      </c>
      <c r="E925" s="160">
        <v>42106</v>
      </c>
      <c r="F925" s="221" t="s">
        <v>1016</v>
      </c>
    </row>
    <row r="926" spans="1:6">
      <c r="A926" s="221" t="s">
        <v>1015</v>
      </c>
      <c r="B926" s="221">
        <v>4026310893401630</v>
      </c>
      <c r="C926" s="221" t="s">
        <v>1014</v>
      </c>
      <c r="D926" s="221" t="s">
        <v>1013</v>
      </c>
      <c r="E926" s="160">
        <v>42193</v>
      </c>
      <c r="F926" s="221" t="s">
        <v>1012</v>
      </c>
    </row>
    <row r="927" spans="1:6">
      <c r="A927" s="221" t="s">
        <v>1011</v>
      </c>
      <c r="B927" s="221">
        <v>201910204625542</v>
      </c>
      <c r="C927" s="221" t="s">
        <v>1010</v>
      </c>
      <c r="D927" s="221" t="s">
        <v>1009</v>
      </c>
      <c r="E927" s="160">
        <v>42237</v>
      </c>
      <c r="F927" s="221" t="s">
        <v>1008</v>
      </c>
    </row>
    <row r="928" spans="1:6">
      <c r="A928" s="221" t="s">
        <v>1007</v>
      </c>
      <c r="B928" s="221">
        <v>3586490456819740</v>
      </c>
      <c r="C928" s="221" t="s">
        <v>960</v>
      </c>
      <c r="D928" s="221" t="s">
        <v>1006</v>
      </c>
      <c r="E928" s="160">
        <v>42121</v>
      </c>
      <c r="F928" s="221" t="s">
        <v>1005</v>
      </c>
    </row>
    <row r="929" spans="1:6">
      <c r="A929" s="221" t="s">
        <v>1004</v>
      </c>
      <c r="B929" s="221">
        <v>4913498454047500</v>
      </c>
      <c r="C929" s="221" t="s">
        <v>1003</v>
      </c>
      <c r="D929" s="221" t="s">
        <v>1002</v>
      </c>
      <c r="E929" s="160">
        <v>42296</v>
      </c>
      <c r="F929" s="221" t="s">
        <v>1001</v>
      </c>
    </row>
    <row r="930" spans="1:6">
      <c r="A930" s="221" t="s">
        <v>1000</v>
      </c>
      <c r="B930" s="221">
        <v>5100178694656490</v>
      </c>
      <c r="C930" s="221" t="s">
        <v>999</v>
      </c>
      <c r="D930" s="221" t="s">
        <v>998</v>
      </c>
      <c r="E930" s="160">
        <v>42202</v>
      </c>
      <c r="F930" s="221" t="s">
        <v>997</v>
      </c>
    </row>
    <row r="931" spans="1:6">
      <c r="A931" s="221" t="s">
        <v>996</v>
      </c>
      <c r="B931" s="221">
        <v>3579170746833340</v>
      </c>
      <c r="C931" s="221" t="s">
        <v>995</v>
      </c>
      <c r="D931" s="221" t="s">
        <v>994</v>
      </c>
      <c r="E931" s="160">
        <v>42291</v>
      </c>
      <c r="F931" s="221" t="s">
        <v>993</v>
      </c>
    </row>
    <row r="932" spans="1:6">
      <c r="A932" s="221" t="s">
        <v>992</v>
      </c>
      <c r="B932" s="221">
        <v>201425335504847</v>
      </c>
      <c r="C932" s="221" t="s">
        <v>869</v>
      </c>
      <c r="D932" s="221" t="s">
        <v>991</v>
      </c>
      <c r="E932" s="160">
        <v>42304</v>
      </c>
      <c r="F932" s="221" t="s">
        <v>990</v>
      </c>
    </row>
    <row r="933" spans="1:6">
      <c r="A933" s="221" t="s">
        <v>989</v>
      </c>
      <c r="B933" s="221">
        <v>340722814251136</v>
      </c>
      <c r="C933" s="221" t="s">
        <v>988</v>
      </c>
      <c r="D933" s="221" t="s">
        <v>987</v>
      </c>
      <c r="E933" s="160">
        <v>42374</v>
      </c>
      <c r="F933" s="221" t="s">
        <v>986</v>
      </c>
    </row>
    <row r="934" spans="1:6">
      <c r="A934" s="221" t="s">
        <v>771</v>
      </c>
      <c r="B934" s="221">
        <v>3543119576917960</v>
      </c>
      <c r="C934" s="221" t="s">
        <v>985</v>
      </c>
      <c r="D934" s="221" t="s">
        <v>984</v>
      </c>
      <c r="E934" s="160">
        <v>42153</v>
      </c>
      <c r="F934" s="221" t="s">
        <v>983</v>
      </c>
    </row>
    <row r="935" spans="1:6">
      <c r="A935" s="221" t="s">
        <v>982</v>
      </c>
      <c r="B935" s="221">
        <v>3572232805476200</v>
      </c>
      <c r="C935" s="221" t="s">
        <v>730</v>
      </c>
      <c r="D935" s="221" t="s">
        <v>981</v>
      </c>
      <c r="E935" s="160">
        <v>42404</v>
      </c>
      <c r="F935" s="221" t="s">
        <v>980</v>
      </c>
    </row>
    <row r="936" spans="1:6">
      <c r="A936" s="221" t="s">
        <v>979</v>
      </c>
      <c r="B936" s="221">
        <v>3587940270632210</v>
      </c>
      <c r="C936" s="221" t="s">
        <v>978</v>
      </c>
      <c r="D936" s="221" t="s">
        <v>977</v>
      </c>
      <c r="E936" s="160">
        <v>42277</v>
      </c>
      <c r="F936" s="221" t="s">
        <v>976</v>
      </c>
    </row>
    <row r="937" spans="1:6">
      <c r="A937" s="221" t="s">
        <v>838</v>
      </c>
      <c r="B937" s="221">
        <v>3584956237918110</v>
      </c>
      <c r="C937" s="221" t="s">
        <v>975</v>
      </c>
      <c r="D937" s="221" t="s">
        <v>974</v>
      </c>
      <c r="E937" s="160">
        <v>42414</v>
      </c>
      <c r="F937" s="221" t="s">
        <v>973</v>
      </c>
    </row>
    <row r="938" spans="1:6">
      <c r="A938" s="221" t="s">
        <v>972</v>
      </c>
      <c r="B938" s="221">
        <v>5100134708286540</v>
      </c>
      <c r="C938" s="221" t="s">
        <v>895</v>
      </c>
      <c r="D938" s="221" t="s">
        <v>971</v>
      </c>
      <c r="E938" s="160">
        <v>42223</v>
      </c>
      <c r="F938" s="221" t="s">
        <v>970</v>
      </c>
    </row>
    <row r="939" spans="1:6">
      <c r="A939" s="221" t="s">
        <v>779</v>
      </c>
      <c r="B939" s="221">
        <v>6395989062420980</v>
      </c>
      <c r="C939" s="221" t="s">
        <v>969</v>
      </c>
      <c r="D939" s="221" t="s">
        <v>968</v>
      </c>
      <c r="E939" s="160">
        <v>42278</v>
      </c>
      <c r="F939" s="221" t="s">
        <v>967</v>
      </c>
    </row>
    <row r="940" spans="1:6">
      <c r="A940" s="221" t="s">
        <v>938</v>
      </c>
      <c r="B940" s="221">
        <v>5489798066707240</v>
      </c>
      <c r="C940" s="221" t="s">
        <v>750</v>
      </c>
      <c r="D940" s="221" t="s">
        <v>966</v>
      </c>
      <c r="E940" s="160">
        <v>42207</v>
      </c>
      <c r="F940" s="221" t="s">
        <v>965</v>
      </c>
    </row>
    <row r="941" spans="1:6">
      <c r="A941" s="221" t="s">
        <v>964</v>
      </c>
      <c r="B941" s="221">
        <v>4844815036701750</v>
      </c>
      <c r="C941" s="221" t="s">
        <v>963</v>
      </c>
      <c r="D941" s="221" t="s">
        <v>962</v>
      </c>
      <c r="E941" s="160">
        <v>42222</v>
      </c>
      <c r="F941" s="221" t="s">
        <v>961</v>
      </c>
    </row>
    <row r="942" spans="1:6">
      <c r="A942" s="221" t="s">
        <v>896</v>
      </c>
      <c r="B942" s="221">
        <v>3581269014113410</v>
      </c>
      <c r="C942" s="221" t="s">
        <v>960</v>
      </c>
      <c r="D942" s="221" t="s">
        <v>959</v>
      </c>
      <c r="E942" s="160">
        <v>42448</v>
      </c>
      <c r="F942" s="221" t="s">
        <v>958</v>
      </c>
    </row>
    <row r="943" spans="1:6">
      <c r="A943" s="221" t="s">
        <v>957</v>
      </c>
      <c r="B943" s="221">
        <v>5501458105135850</v>
      </c>
      <c r="C943" s="221" t="s">
        <v>956</v>
      </c>
      <c r="D943" s="221" t="s">
        <v>955</v>
      </c>
      <c r="E943" s="160">
        <v>42177</v>
      </c>
      <c r="F943" s="221" t="s">
        <v>954</v>
      </c>
    </row>
    <row r="944" spans="1:6">
      <c r="A944" s="221" t="s">
        <v>953</v>
      </c>
      <c r="B944" s="221">
        <v>5602256821372030</v>
      </c>
      <c r="C944" s="221" t="s">
        <v>810</v>
      </c>
      <c r="D944" s="221" t="s">
        <v>952</v>
      </c>
      <c r="E944" s="160">
        <v>42348</v>
      </c>
      <c r="F944" s="221" t="s">
        <v>951</v>
      </c>
    </row>
    <row r="945" spans="1:6">
      <c r="A945" s="221" t="s">
        <v>950</v>
      </c>
      <c r="B945" s="221">
        <v>5.6022436308265101E+17</v>
      </c>
      <c r="C945" s="221" t="s">
        <v>949</v>
      </c>
      <c r="D945" s="221" t="s">
        <v>948</v>
      </c>
      <c r="E945" s="160">
        <v>42331</v>
      </c>
      <c r="F945" s="221" t="s">
        <v>947</v>
      </c>
    </row>
    <row r="946" spans="1:6">
      <c r="A946" s="221" t="s">
        <v>946</v>
      </c>
      <c r="B946" s="221">
        <v>3539992240899380</v>
      </c>
      <c r="C946" s="221" t="s">
        <v>945</v>
      </c>
      <c r="D946" s="221" t="s">
        <v>944</v>
      </c>
      <c r="E946" s="160">
        <v>42245</v>
      </c>
      <c r="F946" s="221" t="s">
        <v>943</v>
      </c>
    </row>
    <row r="947" spans="1:6">
      <c r="A947" s="221" t="s">
        <v>942</v>
      </c>
      <c r="B947" s="221">
        <v>3559880964258740</v>
      </c>
      <c r="C947" s="221" t="s">
        <v>941</v>
      </c>
      <c r="D947" s="221" t="s">
        <v>940</v>
      </c>
      <c r="E947" s="160">
        <v>42135</v>
      </c>
      <c r="F947" s="221" t="s">
        <v>939</v>
      </c>
    </row>
    <row r="948" spans="1:6">
      <c r="A948" s="221" t="s">
        <v>938</v>
      </c>
      <c r="B948" s="221">
        <v>3548607148452800</v>
      </c>
      <c r="C948" s="221" t="s">
        <v>937</v>
      </c>
      <c r="D948" s="221" t="s">
        <v>936</v>
      </c>
      <c r="E948" s="160">
        <v>42124</v>
      </c>
      <c r="F948" s="221" t="s">
        <v>935</v>
      </c>
    </row>
    <row r="949" spans="1:6">
      <c r="A949" s="221" t="s">
        <v>934</v>
      </c>
      <c r="B949" s="221">
        <v>3536455442200520</v>
      </c>
      <c r="C949" s="221" t="s">
        <v>933</v>
      </c>
      <c r="D949" s="221" t="s">
        <v>932</v>
      </c>
      <c r="E949" s="160">
        <v>42305</v>
      </c>
      <c r="F949" s="221" t="s">
        <v>931</v>
      </c>
    </row>
    <row r="950" spans="1:6">
      <c r="A950" s="221" t="s">
        <v>930</v>
      </c>
      <c r="B950" s="221">
        <v>374622548181873</v>
      </c>
      <c r="C950" s="221" t="s">
        <v>929</v>
      </c>
      <c r="D950" s="221" t="s">
        <v>928</v>
      </c>
      <c r="E950" s="160">
        <v>42419</v>
      </c>
      <c r="F950" s="221" t="s">
        <v>927</v>
      </c>
    </row>
    <row r="951" spans="1:6">
      <c r="A951" s="221" t="s">
        <v>926</v>
      </c>
      <c r="B951" s="221">
        <v>5212226322883820</v>
      </c>
      <c r="C951" s="221" t="s">
        <v>925</v>
      </c>
      <c r="D951" s="221" t="s">
        <v>924</v>
      </c>
      <c r="E951" s="160">
        <v>42109</v>
      </c>
      <c r="F951" s="221" t="s">
        <v>923</v>
      </c>
    </row>
    <row r="952" spans="1:6">
      <c r="A952" s="221" t="s">
        <v>922</v>
      </c>
      <c r="B952" s="221">
        <v>3548853908189760</v>
      </c>
      <c r="C952" s="221" t="s">
        <v>591</v>
      </c>
      <c r="D952" s="221" t="s">
        <v>921</v>
      </c>
      <c r="E952" s="160">
        <v>42289</v>
      </c>
      <c r="F952" s="221" t="s">
        <v>920</v>
      </c>
    </row>
    <row r="953" spans="1:6">
      <c r="A953" s="221" t="s">
        <v>919</v>
      </c>
      <c r="B953" s="221">
        <v>201430516629488</v>
      </c>
      <c r="C953" s="221" t="s">
        <v>918</v>
      </c>
      <c r="D953" s="221" t="s">
        <v>917</v>
      </c>
      <c r="E953" s="160">
        <v>42249</v>
      </c>
      <c r="F953" s="221" t="s">
        <v>916</v>
      </c>
    </row>
    <row r="954" spans="1:6">
      <c r="A954" s="221" t="s">
        <v>915</v>
      </c>
      <c r="B954" s="221">
        <v>3544853773174980</v>
      </c>
      <c r="C954" s="221" t="s">
        <v>914</v>
      </c>
      <c r="D954" s="221" t="s">
        <v>913</v>
      </c>
      <c r="E954" s="160">
        <v>42385</v>
      </c>
      <c r="F954" s="221" t="s">
        <v>912</v>
      </c>
    </row>
    <row r="955" spans="1:6">
      <c r="A955" s="221" t="s">
        <v>911</v>
      </c>
      <c r="B955" s="221">
        <v>201863902081494</v>
      </c>
      <c r="C955" s="221" t="s">
        <v>910</v>
      </c>
      <c r="D955" s="221" t="s">
        <v>909</v>
      </c>
      <c r="E955" s="160">
        <v>42327</v>
      </c>
      <c r="F955" s="221" t="s">
        <v>908</v>
      </c>
    </row>
    <row r="956" spans="1:6">
      <c r="A956" s="221" t="s">
        <v>907</v>
      </c>
      <c r="B956" s="221">
        <v>30449749199504</v>
      </c>
      <c r="C956" s="221" t="s">
        <v>906</v>
      </c>
      <c r="D956" s="221" t="s">
        <v>905</v>
      </c>
      <c r="E956" s="160">
        <v>42312</v>
      </c>
      <c r="F956" s="221" t="s">
        <v>904</v>
      </c>
    </row>
    <row r="957" spans="1:6">
      <c r="A957" s="221" t="s">
        <v>903</v>
      </c>
      <c r="B957" s="221">
        <v>3532979134918820</v>
      </c>
      <c r="C957" s="221" t="s">
        <v>902</v>
      </c>
      <c r="D957" s="221" t="s">
        <v>901</v>
      </c>
      <c r="E957" s="160">
        <v>42355</v>
      </c>
      <c r="F957" s="221" t="s">
        <v>900</v>
      </c>
    </row>
    <row r="958" spans="1:6">
      <c r="A958" s="221" t="s">
        <v>899</v>
      </c>
      <c r="B958" s="221">
        <v>6.7595509310119398E+17</v>
      </c>
      <c r="C958" s="221" t="s">
        <v>798</v>
      </c>
      <c r="D958" s="221" t="s">
        <v>898</v>
      </c>
      <c r="E958" s="160">
        <v>42361</v>
      </c>
      <c r="F958" s="221" t="s">
        <v>897</v>
      </c>
    </row>
    <row r="959" spans="1:6">
      <c r="A959" s="221" t="s">
        <v>896</v>
      </c>
      <c r="B959" s="221">
        <v>6759865308959830</v>
      </c>
      <c r="C959" s="221" t="s">
        <v>895</v>
      </c>
      <c r="D959" s="221" t="s">
        <v>894</v>
      </c>
      <c r="E959" s="160">
        <v>42182</v>
      </c>
      <c r="F959" s="221" t="s">
        <v>893</v>
      </c>
    </row>
    <row r="960" spans="1:6">
      <c r="A960" s="221" t="s">
        <v>892</v>
      </c>
      <c r="B960" s="221">
        <v>6048944754963200</v>
      </c>
      <c r="C960" s="221" t="s">
        <v>891</v>
      </c>
      <c r="D960" s="221" t="s">
        <v>890</v>
      </c>
      <c r="E960" s="160">
        <v>42449</v>
      </c>
      <c r="F960" s="221" t="s">
        <v>889</v>
      </c>
    </row>
    <row r="961" spans="1:6">
      <c r="A961" s="221" t="s">
        <v>888</v>
      </c>
      <c r="B961" s="221">
        <v>3555534211898000</v>
      </c>
      <c r="C961" s="221" t="s">
        <v>887</v>
      </c>
      <c r="D961" s="221" t="s">
        <v>886</v>
      </c>
      <c r="E961" s="160">
        <v>42170</v>
      </c>
      <c r="F961" s="221" t="s">
        <v>885</v>
      </c>
    </row>
    <row r="962" spans="1:6">
      <c r="A962" s="221" t="s">
        <v>884</v>
      </c>
      <c r="B962" s="221">
        <v>6370495586941830</v>
      </c>
      <c r="C962" s="221" t="s">
        <v>883</v>
      </c>
      <c r="D962" s="221" t="s">
        <v>882</v>
      </c>
      <c r="E962" s="160">
        <v>42160</v>
      </c>
      <c r="F962" s="221" t="s">
        <v>881</v>
      </c>
    </row>
    <row r="963" spans="1:6">
      <c r="A963" s="221" t="s">
        <v>880</v>
      </c>
      <c r="B963" s="221">
        <v>201635839640877</v>
      </c>
      <c r="C963" s="221" t="s">
        <v>742</v>
      </c>
      <c r="D963" s="221" t="s">
        <v>879</v>
      </c>
      <c r="E963" s="160">
        <v>42103</v>
      </c>
      <c r="F963" s="221" t="s">
        <v>878</v>
      </c>
    </row>
    <row r="964" spans="1:6">
      <c r="A964" s="221" t="s">
        <v>877</v>
      </c>
      <c r="B964" s="221">
        <v>5100176644502020</v>
      </c>
      <c r="C964" s="221" t="s">
        <v>876</v>
      </c>
      <c r="D964" s="221" t="s">
        <v>875</v>
      </c>
      <c r="E964" s="160">
        <v>42219</v>
      </c>
      <c r="F964" s="221" t="s">
        <v>874</v>
      </c>
    </row>
    <row r="965" spans="1:6">
      <c r="A965" s="221" t="s">
        <v>873</v>
      </c>
      <c r="B965" s="221">
        <v>5100178323155440</v>
      </c>
      <c r="C965" s="221" t="s">
        <v>837</v>
      </c>
      <c r="D965" s="221" t="s">
        <v>872</v>
      </c>
      <c r="E965" s="160">
        <v>42379</v>
      </c>
      <c r="F965" s="221" t="s">
        <v>871</v>
      </c>
    </row>
    <row r="966" spans="1:6">
      <c r="A966" s="221" t="s">
        <v>870</v>
      </c>
      <c r="B966" s="221">
        <v>376086404699402</v>
      </c>
      <c r="C966" s="221" t="s">
        <v>869</v>
      </c>
      <c r="D966" s="221" t="s">
        <v>868</v>
      </c>
      <c r="E966" s="160">
        <v>42303</v>
      </c>
      <c r="F966" s="221" t="s">
        <v>867</v>
      </c>
    </row>
    <row r="967" spans="1:6">
      <c r="A967" s="221" t="s">
        <v>866</v>
      </c>
      <c r="B967" s="221">
        <v>5007667012913440</v>
      </c>
      <c r="C967" s="221" t="s">
        <v>865</v>
      </c>
      <c r="D967" s="221" t="s">
        <v>864</v>
      </c>
      <c r="E967" s="160">
        <v>42415</v>
      </c>
      <c r="F967" s="221" t="s">
        <v>863</v>
      </c>
    </row>
    <row r="968" spans="1:6">
      <c r="A968" s="221" t="s">
        <v>862</v>
      </c>
      <c r="B968" s="221">
        <v>3574881945176770</v>
      </c>
      <c r="C968" s="221" t="s">
        <v>861</v>
      </c>
      <c r="D968" s="221" t="s">
        <v>860</v>
      </c>
      <c r="E968" s="160">
        <v>42415</v>
      </c>
      <c r="F968" s="221" t="s">
        <v>859</v>
      </c>
    </row>
    <row r="969" spans="1:6">
      <c r="A969" s="221" t="s">
        <v>858</v>
      </c>
      <c r="B969" s="221">
        <v>5193538810812480</v>
      </c>
      <c r="C969" s="221" t="s">
        <v>857</v>
      </c>
      <c r="D969" s="221" t="s">
        <v>856</v>
      </c>
      <c r="E969" s="160">
        <v>42375</v>
      </c>
      <c r="F969" s="221" t="s">
        <v>855</v>
      </c>
    </row>
    <row r="970" spans="1:6">
      <c r="A970" s="221" t="s">
        <v>854</v>
      </c>
      <c r="B970" s="221">
        <v>3588958826685360</v>
      </c>
      <c r="C970" s="221" t="s">
        <v>853</v>
      </c>
      <c r="D970" s="221" t="s">
        <v>852</v>
      </c>
      <c r="E970" s="160">
        <v>42461</v>
      </c>
      <c r="F970" s="221" t="s">
        <v>851</v>
      </c>
    </row>
    <row r="971" spans="1:6">
      <c r="A971" s="221" t="s">
        <v>850</v>
      </c>
      <c r="B971" s="221">
        <v>3540292001804860</v>
      </c>
      <c r="C971" s="221" t="s">
        <v>849</v>
      </c>
      <c r="D971" s="221" t="s">
        <v>848</v>
      </c>
      <c r="E971" s="160">
        <v>42172</v>
      </c>
      <c r="F971" s="221" t="s">
        <v>847</v>
      </c>
    </row>
    <row r="972" spans="1:6">
      <c r="A972" s="221" t="s">
        <v>846</v>
      </c>
      <c r="B972" s="221">
        <v>4405084462666270</v>
      </c>
      <c r="C972" s="221" t="s">
        <v>845</v>
      </c>
      <c r="D972" s="221" t="s">
        <v>844</v>
      </c>
      <c r="E972" s="160">
        <v>42132</v>
      </c>
      <c r="F972" s="221" t="s">
        <v>843</v>
      </c>
    </row>
    <row r="973" spans="1:6">
      <c r="A973" s="221" t="s">
        <v>842</v>
      </c>
      <c r="B973" s="221">
        <v>3552495320263530</v>
      </c>
      <c r="C973" s="221" t="s">
        <v>841</v>
      </c>
      <c r="D973" s="221" t="s">
        <v>840</v>
      </c>
      <c r="E973" s="160">
        <v>42347</v>
      </c>
      <c r="F973" s="221" t="s">
        <v>839</v>
      </c>
    </row>
    <row r="974" spans="1:6">
      <c r="A974" s="221" t="s">
        <v>838</v>
      </c>
      <c r="B974" s="221">
        <v>3554016285133620</v>
      </c>
      <c r="C974" s="221" t="s">
        <v>837</v>
      </c>
      <c r="D974" s="221" t="s">
        <v>836</v>
      </c>
      <c r="E974" s="160">
        <v>42111</v>
      </c>
      <c r="F974" s="221" t="s">
        <v>835</v>
      </c>
    </row>
    <row r="975" spans="1:6">
      <c r="A975" s="221" t="s">
        <v>834</v>
      </c>
      <c r="B975" s="221">
        <v>3562658736862690</v>
      </c>
      <c r="C975" s="221" t="s">
        <v>833</v>
      </c>
      <c r="D975" s="221" t="s">
        <v>832</v>
      </c>
      <c r="E975" s="160">
        <v>42412</v>
      </c>
      <c r="F975" s="221" t="s">
        <v>831</v>
      </c>
    </row>
    <row r="976" spans="1:6">
      <c r="A976" s="221" t="s">
        <v>830</v>
      </c>
      <c r="B976" s="221">
        <v>3528634394971730</v>
      </c>
      <c r="C976" s="221" t="s">
        <v>829</v>
      </c>
      <c r="D976" s="221" t="s">
        <v>828</v>
      </c>
      <c r="E976" s="160">
        <v>42246</v>
      </c>
      <c r="F976" s="221" t="s">
        <v>827</v>
      </c>
    </row>
    <row r="977" spans="1:6">
      <c r="A977" s="221" t="s">
        <v>826</v>
      </c>
      <c r="B977" s="221">
        <v>3559109081142830</v>
      </c>
      <c r="C977" s="221" t="s">
        <v>825</v>
      </c>
      <c r="D977" s="221" t="s">
        <v>824</v>
      </c>
      <c r="E977" s="160">
        <v>42336</v>
      </c>
      <c r="F977" s="221" t="s">
        <v>823</v>
      </c>
    </row>
    <row r="978" spans="1:6">
      <c r="A978" s="221" t="s">
        <v>822</v>
      </c>
      <c r="B978" s="221">
        <v>5.6418236875888698E+17</v>
      </c>
      <c r="C978" s="221" t="s">
        <v>821</v>
      </c>
      <c r="D978" s="221" t="s">
        <v>820</v>
      </c>
      <c r="E978" s="160">
        <v>42231</v>
      </c>
      <c r="F978" s="221" t="s">
        <v>819</v>
      </c>
    </row>
    <row r="979" spans="1:6">
      <c r="A979" s="221" t="s">
        <v>818</v>
      </c>
      <c r="B979" s="221">
        <v>3528457223742300</v>
      </c>
      <c r="C979" s="221" t="s">
        <v>782</v>
      </c>
      <c r="D979" s="221" t="s">
        <v>817</v>
      </c>
      <c r="E979" s="160">
        <v>42248</v>
      </c>
      <c r="F979" s="221" t="s">
        <v>816</v>
      </c>
    </row>
    <row r="980" spans="1:6">
      <c r="A980" s="221" t="s">
        <v>815</v>
      </c>
      <c r="B980" s="221">
        <v>3567463633380430</v>
      </c>
      <c r="C980" s="221" t="s">
        <v>814</v>
      </c>
      <c r="D980" s="221" t="s">
        <v>813</v>
      </c>
      <c r="E980" s="160">
        <v>42170</v>
      </c>
      <c r="F980" s="221" t="s">
        <v>812</v>
      </c>
    </row>
    <row r="981" spans="1:6">
      <c r="A981" s="221" t="s">
        <v>811</v>
      </c>
      <c r="B981" s="221">
        <v>3580559120542030</v>
      </c>
      <c r="C981" s="221" t="s">
        <v>810</v>
      </c>
      <c r="D981" s="221" t="s">
        <v>809</v>
      </c>
      <c r="E981" s="160">
        <v>42324</v>
      </c>
      <c r="F981" s="221" t="s">
        <v>808</v>
      </c>
    </row>
    <row r="982" spans="1:6">
      <c r="A982" s="221" t="s">
        <v>807</v>
      </c>
      <c r="B982" s="221">
        <v>3547653200045630</v>
      </c>
      <c r="C982" s="221" t="s">
        <v>806</v>
      </c>
      <c r="D982" s="221" t="s">
        <v>805</v>
      </c>
      <c r="E982" s="160">
        <v>42178</v>
      </c>
      <c r="F982" s="221" t="s">
        <v>804</v>
      </c>
    </row>
    <row r="983" spans="1:6">
      <c r="A983" s="221" t="s">
        <v>803</v>
      </c>
      <c r="B983" s="221">
        <v>5100781547109830</v>
      </c>
      <c r="C983" s="221" t="s">
        <v>802</v>
      </c>
      <c r="D983" s="221" t="s">
        <v>801</v>
      </c>
      <c r="E983" s="160">
        <v>42175</v>
      </c>
      <c r="F983" s="221" t="s">
        <v>800</v>
      </c>
    </row>
    <row r="984" spans="1:6">
      <c r="A984" s="221" t="s">
        <v>799</v>
      </c>
      <c r="B984" s="221">
        <v>6042334566785330</v>
      </c>
      <c r="C984" s="221" t="s">
        <v>798</v>
      </c>
      <c r="D984" s="221" t="s">
        <v>797</v>
      </c>
      <c r="E984" s="160">
        <v>42462</v>
      </c>
      <c r="F984" s="221" t="s">
        <v>796</v>
      </c>
    </row>
    <row r="985" spans="1:6">
      <c r="A985" s="221" t="s">
        <v>795</v>
      </c>
      <c r="B985" s="221">
        <v>3583582427999940</v>
      </c>
      <c r="C985" s="221" t="s">
        <v>794</v>
      </c>
      <c r="D985" s="221" t="s">
        <v>793</v>
      </c>
      <c r="E985" s="160">
        <v>42200</v>
      </c>
      <c r="F985" s="221" t="s">
        <v>792</v>
      </c>
    </row>
    <row r="986" spans="1:6">
      <c r="A986" s="221" t="s">
        <v>791</v>
      </c>
      <c r="B986" s="221">
        <v>5.60223005564083E+18</v>
      </c>
      <c r="C986" s="221" t="s">
        <v>790</v>
      </c>
      <c r="D986" s="221" t="s">
        <v>789</v>
      </c>
      <c r="E986" s="160">
        <v>42324</v>
      </c>
      <c r="F986" s="221" t="s">
        <v>788</v>
      </c>
    </row>
    <row r="987" spans="1:6">
      <c r="A987" s="221" t="s">
        <v>787</v>
      </c>
      <c r="B987" s="221">
        <v>5108757263371350</v>
      </c>
      <c r="C987" s="221" t="s">
        <v>786</v>
      </c>
      <c r="D987" s="221" t="s">
        <v>785</v>
      </c>
      <c r="E987" s="160">
        <v>42394</v>
      </c>
      <c r="F987" s="221" t="s">
        <v>784</v>
      </c>
    </row>
    <row r="988" spans="1:6">
      <c r="A988" s="221" t="s">
        <v>783</v>
      </c>
      <c r="B988" s="221">
        <v>3584069301623870</v>
      </c>
      <c r="C988" s="221" t="s">
        <v>782</v>
      </c>
      <c r="D988" s="221" t="s">
        <v>781</v>
      </c>
      <c r="E988" s="160">
        <v>42454</v>
      </c>
      <c r="F988" s="221" t="s">
        <v>780</v>
      </c>
    </row>
    <row r="989" spans="1:6">
      <c r="A989" s="221" t="s">
        <v>779</v>
      </c>
      <c r="B989" s="221">
        <v>6.3311077616345897E+18</v>
      </c>
      <c r="C989" s="221" t="s">
        <v>778</v>
      </c>
      <c r="D989" s="221" t="s">
        <v>777</v>
      </c>
      <c r="E989" s="160">
        <v>42238</v>
      </c>
      <c r="F989" s="221" t="s">
        <v>776</v>
      </c>
    </row>
    <row r="990" spans="1:6">
      <c r="A990" s="221" t="s">
        <v>775</v>
      </c>
      <c r="B990" s="221">
        <v>5.0200255714858899E+17</v>
      </c>
      <c r="C990" s="221" t="s">
        <v>774</v>
      </c>
      <c r="D990" s="221" t="s">
        <v>773</v>
      </c>
      <c r="E990" s="160">
        <v>42129</v>
      </c>
      <c r="F990" s="221" t="s">
        <v>772</v>
      </c>
    </row>
    <row r="991" spans="1:6">
      <c r="A991" s="221" t="s">
        <v>771</v>
      </c>
      <c r="B991" s="221">
        <v>6.7090718076930304E+17</v>
      </c>
      <c r="C991" s="221" t="s">
        <v>770</v>
      </c>
      <c r="D991" s="221" t="s">
        <v>769</v>
      </c>
      <c r="E991" s="160">
        <v>42418</v>
      </c>
      <c r="F991" s="221" t="s">
        <v>768</v>
      </c>
    </row>
    <row r="992" spans="1:6">
      <c r="A992" s="221" t="s">
        <v>767</v>
      </c>
      <c r="B992" s="221">
        <v>4.9033318448126802E+18</v>
      </c>
      <c r="C992" s="221" t="s">
        <v>766</v>
      </c>
      <c r="D992" s="221" t="s">
        <v>765</v>
      </c>
      <c r="E992" s="160">
        <v>42306</v>
      </c>
      <c r="F992" s="221" t="s">
        <v>764</v>
      </c>
    </row>
    <row r="993" spans="1:6">
      <c r="A993" s="221" t="s">
        <v>763</v>
      </c>
      <c r="B993" s="221">
        <v>5491793421401710</v>
      </c>
      <c r="C993" s="221" t="s">
        <v>762</v>
      </c>
      <c r="D993" s="221" t="s">
        <v>761</v>
      </c>
      <c r="E993" s="160">
        <v>42103</v>
      </c>
      <c r="F993" s="221" t="s">
        <v>760</v>
      </c>
    </row>
    <row r="994" spans="1:6">
      <c r="A994" s="221" t="s">
        <v>759</v>
      </c>
      <c r="B994" s="221">
        <v>4405432234913250</v>
      </c>
      <c r="C994" s="221" t="s">
        <v>758</v>
      </c>
      <c r="D994" s="221" t="s">
        <v>757</v>
      </c>
      <c r="E994" s="160">
        <v>42375</v>
      </c>
      <c r="F994" s="221" t="s">
        <v>756</v>
      </c>
    </row>
    <row r="995" spans="1:6">
      <c r="A995" s="221" t="s">
        <v>755</v>
      </c>
      <c r="B995" s="221">
        <v>3538283076246550</v>
      </c>
      <c r="C995" s="221" t="s">
        <v>754</v>
      </c>
      <c r="D995" s="221" t="s">
        <v>753</v>
      </c>
      <c r="E995" s="160">
        <v>42245</v>
      </c>
      <c r="F995" s="221" t="s">
        <v>752</v>
      </c>
    </row>
    <row r="996" spans="1:6">
      <c r="A996" s="221" t="s">
        <v>751</v>
      </c>
      <c r="B996" s="221">
        <v>3573587384150290</v>
      </c>
      <c r="C996" s="221" t="s">
        <v>750</v>
      </c>
      <c r="D996" s="221" t="s">
        <v>749</v>
      </c>
      <c r="E996" s="160">
        <v>42430</v>
      </c>
      <c r="F996" s="221" t="s">
        <v>748</v>
      </c>
    </row>
    <row r="997" spans="1:6">
      <c r="A997" s="221" t="s">
        <v>747</v>
      </c>
      <c r="B997" s="221">
        <v>3544351894552800</v>
      </c>
      <c r="C997" s="221" t="s">
        <v>746</v>
      </c>
      <c r="D997" s="221" t="s">
        <v>745</v>
      </c>
      <c r="E997" s="160">
        <v>42217</v>
      </c>
      <c r="F997" s="221" t="s">
        <v>744</v>
      </c>
    </row>
    <row r="998" spans="1:6">
      <c r="A998" s="221" t="s">
        <v>743</v>
      </c>
      <c r="B998" s="221">
        <v>3549282959488250</v>
      </c>
      <c r="C998" s="221" t="s">
        <v>742</v>
      </c>
      <c r="D998" s="221" t="s">
        <v>741</v>
      </c>
      <c r="E998" s="160">
        <v>42403</v>
      </c>
      <c r="F998" s="221" t="s">
        <v>740</v>
      </c>
    </row>
    <row r="999" spans="1:6">
      <c r="A999" s="221" t="s">
        <v>739</v>
      </c>
      <c r="B999" s="221">
        <v>3575059117402790</v>
      </c>
      <c r="C999" s="221" t="s">
        <v>738</v>
      </c>
      <c r="D999" s="221" t="s">
        <v>737</v>
      </c>
      <c r="E999" s="160">
        <v>42102</v>
      </c>
      <c r="F999" s="221" t="s">
        <v>736</v>
      </c>
    </row>
    <row r="1000" spans="1:6">
      <c r="A1000" s="221" t="s">
        <v>735</v>
      </c>
      <c r="B1000" s="221">
        <v>3565001923409520</v>
      </c>
      <c r="C1000" s="221" t="s">
        <v>734</v>
      </c>
      <c r="D1000" s="221" t="s">
        <v>733</v>
      </c>
      <c r="E1000" s="160">
        <v>42322</v>
      </c>
      <c r="F1000" s="221" t="s">
        <v>732</v>
      </c>
    </row>
    <row r="1001" spans="1:6">
      <c r="A1001" s="221" t="s">
        <v>731</v>
      </c>
      <c r="B1001" s="221">
        <v>5.6022449677713696E+16</v>
      </c>
      <c r="C1001" s="221" t="s">
        <v>730</v>
      </c>
      <c r="D1001" s="221" t="s">
        <v>729</v>
      </c>
      <c r="E1001" s="160">
        <v>42342</v>
      </c>
      <c r="F1001" s="221" t="s">
        <v>728</v>
      </c>
    </row>
  </sheetData>
  <printOptions horizontalCentered="1" verticalCentered="1"/>
  <pageMargins left="0.2" right="0.2" top="0.5" bottom="0.5" header="0.3" footer="0.25"/>
  <pageSetup scale="95" fitToHeight="20" orientation="portrait" r:id="rId1"/>
  <headerFooter>
    <oddHeader>&amp;L&amp;A</oddHeader>
    <oddFooter>&amp;L&amp;D &amp;T&amp;C&amp;F&amp;R&amp;P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4"/>
  <dimension ref="A1:AF57"/>
  <sheetViews>
    <sheetView zoomScaleNormal="100" workbookViewId="0"/>
  </sheetViews>
  <sheetFormatPr defaultColWidth="8.77734375" defaultRowHeight="14.4"/>
  <cols>
    <col min="1" max="1" width="13.44140625" bestFit="1" customWidth="1"/>
    <col min="2" max="2" width="15.6640625" bestFit="1" customWidth="1"/>
    <col min="3" max="3" width="11.109375" bestFit="1" customWidth="1"/>
    <col min="4" max="30" width="9.109375" style="221"/>
    <col min="31" max="32" width="27.44140625" bestFit="1" customWidth="1"/>
  </cols>
  <sheetData>
    <row r="1" spans="1:32">
      <c r="A1" s="151" t="s">
        <v>430</v>
      </c>
      <c r="B1" s="223" t="s">
        <v>428</v>
      </c>
      <c r="C1" s="223" t="s">
        <v>429</v>
      </c>
      <c r="AE1" s="223" t="s">
        <v>431</v>
      </c>
      <c r="AF1" s="223" t="s">
        <v>432</v>
      </c>
    </row>
    <row r="2" spans="1:32">
      <c r="A2" s="56">
        <v>12449</v>
      </c>
      <c r="B2" s="160">
        <v>42264</v>
      </c>
      <c r="C2" s="160">
        <f t="shared" ref="C2:C8" si="0">EOMONTH(B2,6+6*(ROUND(MONTH(B2)/12,0))-MONTH(B2)-1)</f>
        <v>42338</v>
      </c>
      <c r="G2"/>
      <c r="AE2" s="221" t="str">
        <f t="shared" ref="AE2:AE33" si="1">IF(AND(DAY(B2)&lt;31,MONTH(B2)&gt;5),CONCATENATE("11/30/"&amp;YEAR(B2)),CONCATENATE("5/31/"&amp;YEAR(B2)))</f>
        <v>11/30/2015</v>
      </c>
      <c r="AF2" s="160">
        <f t="shared" ref="AF2:AF33" si="2">EOMONTH(B2,6+6*(ROUND(MONTH(B2)/12,0))-MONTH(B2)-1)</f>
        <v>42338</v>
      </c>
    </row>
    <row r="3" spans="1:32">
      <c r="A3" s="56">
        <v>18920</v>
      </c>
      <c r="B3" s="160">
        <v>42251</v>
      </c>
      <c r="C3" s="160">
        <f t="shared" si="0"/>
        <v>42338</v>
      </c>
      <c r="AE3" t="str">
        <f t="shared" si="1"/>
        <v>11/30/2015</v>
      </c>
      <c r="AF3" s="160">
        <f t="shared" si="2"/>
        <v>42338</v>
      </c>
    </row>
    <row r="4" spans="1:32">
      <c r="A4" s="56">
        <v>10501</v>
      </c>
      <c r="B4" s="160">
        <v>42237</v>
      </c>
      <c r="C4" s="160">
        <f t="shared" si="0"/>
        <v>42338</v>
      </c>
      <c r="AE4" s="221" t="str">
        <f t="shared" si="1"/>
        <v>11/30/2015</v>
      </c>
      <c r="AF4" s="160">
        <f t="shared" si="2"/>
        <v>42338</v>
      </c>
    </row>
    <row r="5" spans="1:32">
      <c r="A5" s="56">
        <v>13852</v>
      </c>
      <c r="B5" s="160">
        <v>42233</v>
      </c>
      <c r="C5" s="160">
        <f t="shared" si="0"/>
        <v>42338</v>
      </c>
      <c r="AE5" s="221" t="str">
        <f t="shared" si="1"/>
        <v>11/30/2015</v>
      </c>
      <c r="AF5" s="160">
        <f t="shared" si="2"/>
        <v>42338</v>
      </c>
    </row>
    <row r="6" spans="1:32">
      <c r="A6" s="56">
        <v>13078</v>
      </c>
      <c r="B6" s="160">
        <v>42203</v>
      </c>
      <c r="C6" s="160">
        <f t="shared" si="0"/>
        <v>42338</v>
      </c>
      <c r="AE6" s="221" t="str">
        <f t="shared" si="1"/>
        <v>11/30/2015</v>
      </c>
      <c r="AF6" s="160">
        <f t="shared" si="2"/>
        <v>42338</v>
      </c>
    </row>
    <row r="7" spans="1:32">
      <c r="A7" s="56">
        <v>17087</v>
      </c>
      <c r="B7" s="160">
        <v>42187</v>
      </c>
      <c r="C7" s="160">
        <f t="shared" si="0"/>
        <v>42338</v>
      </c>
      <c r="AE7" s="221" t="str">
        <f t="shared" si="1"/>
        <v>11/30/2015</v>
      </c>
      <c r="AF7" s="160">
        <f t="shared" si="2"/>
        <v>42338</v>
      </c>
    </row>
    <row r="8" spans="1:32">
      <c r="A8" s="56">
        <v>17326</v>
      </c>
      <c r="B8" s="160">
        <v>42182</v>
      </c>
      <c r="C8" s="160">
        <f t="shared" si="0"/>
        <v>42338</v>
      </c>
      <c r="AE8" s="221" t="str">
        <f t="shared" si="1"/>
        <v>11/30/2015</v>
      </c>
      <c r="AF8" s="160">
        <f t="shared" si="2"/>
        <v>42338</v>
      </c>
    </row>
    <row r="9" spans="1:32">
      <c r="A9" s="56">
        <v>15347</v>
      </c>
      <c r="B9" s="160">
        <v>42181</v>
      </c>
      <c r="C9" s="160">
        <f>EOMONTH(B9,6+6*(ROUND(MONTH(B9)/12,0))-MONTH(B9)-1)</f>
        <v>42338</v>
      </c>
      <c r="AE9" s="221" t="str">
        <f t="shared" si="1"/>
        <v>11/30/2015</v>
      </c>
      <c r="AF9" s="160">
        <f t="shared" si="2"/>
        <v>42338</v>
      </c>
    </row>
    <row r="10" spans="1:32">
      <c r="A10" s="56">
        <v>18866</v>
      </c>
      <c r="B10" s="160">
        <v>42107</v>
      </c>
      <c r="C10" s="160">
        <f t="shared" ref="C10:C57" si="3">EOMONTH(B10,6+6*(ROUND(MONTH(B10)/12,0))-MONTH(B10)-1)</f>
        <v>42155</v>
      </c>
      <c r="AE10" s="221" t="str">
        <f t="shared" si="1"/>
        <v>5/31/2015</v>
      </c>
      <c r="AF10" s="160">
        <f t="shared" si="2"/>
        <v>42155</v>
      </c>
    </row>
    <row r="11" spans="1:32">
      <c r="A11" s="56">
        <v>14547</v>
      </c>
      <c r="B11" s="160">
        <v>42085</v>
      </c>
      <c r="C11" s="160">
        <f t="shared" si="3"/>
        <v>42155</v>
      </c>
      <c r="AE11" s="221" t="str">
        <f t="shared" si="1"/>
        <v>5/31/2015</v>
      </c>
      <c r="AF11" s="160">
        <f t="shared" si="2"/>
        <v>42155</v>
      </c>
    </row>
    <row r="12" spans="1:32">
      <c r="A12" s="56">
        <v>12784</v>
      </c>
      <c r="B12" s="160">
        <v>42077</v>
      </c>
      <c r="C12" s="160">
        <f t="shared" si="3"/>
        <v>42155</v>
      </c>
      <c r="AE12" s="221" t="str">
        <f t="shared" si="1"/>
        <v>5/31/2015</v>
      </c>
      <c r="AF12" s="160">
        <f t="shared" si="2"/>
        <v>42155</v>
      </c>
    </row>
    <row r="13" spans="1:32">
      <c r="A13" s="56">
        <v>19808</v>
      </c>
      <c r="B13" s="160">
        <v>42067</v>
      </c>
      <c r="C13" s="160">
        <f t="shared" si="3"/>
        <v>42155</v>
      </c>
      <c r="AE13" s="221" t="str">
        <f t="shared" si="1"/>
        <v>5/31/2015</v>
      </c>
      <c r="AF13" s="160">
        <f t="shared" si="2"/>
        <v>42155</v>
      </c>
    </row>
    <row r="14" spans="1:32">
      <c r="A14" s="56">
        <v>13476</v>
      </c>
      <c r="B14" s="160">
        <v>42060</v>
      </c>
      <c r="C14" s="160">
        <f t="shared" si="3"/>
        <v>42155</v>
      </c>
      <c r="AE14" s="221" t="str">
        <f t="shared" si="1"/>
        <v>5/31/2015</v>
      </c>
      <c r="AF14" s="160">
        <f t="shared" si="2"/>
        <v>42155</v>
      </c>
    </row>
    <row r="15" spans="1:32">
      <c r="A15" s="56">
        <v>11508</v>
      </c>
      <c r="B15" s="160">
        <v>42031</v>
      </c>
      <c r="C15" s="160">
        <f t="shared" si="3"/>
        <v>42155</v>
      </c>
      <c r="AE15" s="221" t="str">
        <f t="shared" si="1"/>
        <v>5/31/2015</v>
      </c>
      <c r="AF15" s="160">
        <f t="shared" si="2"/>
        <v>42155</v>
      </c>
    </row>
    <row r="16" spans="1:32">
      <c r="A16" s="56">
        <v>19632</v>
      </c>
      <c r="B16" s="160">
        <v>42027</v>
      </c>
      <c r="C16" s="160">
        <f t="shared" si="3"/>
        <v>42155</v>
      </c>
      <c r="AE16" s="221" t="str">
        <f t="shared" si="1"/>
        <v>5/31/2015</v>
      </c>
      <c r="AF16" s="160">
        <f t="shared" si="2"/>
        <v>42155</v>
      </c>
    </row>
    <row r="17" spans="1:32">
      <c r="A17" s="56">
        <v>19552</v>
      </c>
      <c r="B17" s="160">
        <v>42022</v>
      </c>
      <c r="C17" s="160">
        <f t="shared" si="3"/>
        <v>42155</v>
      </c>
      <c r="AE17" s="221" t="str">
        <f t="shared" si="1"/>
        <v>5/31/2015</v>
      </c>
      <c r="AF17" s="160">
        <f t="shared" si="2"/>
        <v>42155</v>
      </c>
    </row>
    <row r="18" spans="1:32">
      <c r="A18" s="56">
        <v>17249</v>
      </c>
      <c r="B18" s="160">
        <v>42010</v>
      </c>
      <c r="C18" s="160">
        <f t="shared" si="3"/>
        <v>42155</v>
      </c>
      <c r="AE18" s="221" t="str">
        <f t="shared" si="1"/>
        <v>5/31/2015</v>
      </c>
      <c r="AF18" s="160">
        <f t="shared" si="2"/>
        <v>42155</v>
      </c>
    </row>
    <row r="19" spans="1:32">
      <c r="A19" s="56">
        <v>12363</v>
      </c>
      <c r="B19" s="160">
        <v>41984</v>
      </c>
      <c r="C19" s="160">
        <f t="shared" si="3"/>
        <v>41973</v>
      </c>
      <c r="AE19" s="221" t="str">
        <f t="shared" si="1"/>
        <v>11/30/2014</v>
      </c>
      <c r="AF19" s="160">
        <f t="shared" si="2"/>
        <v>41973</v>
      </c>
    </row>
    <row r="20" spans="1:32">
      <c r="A20" s="56">
        <v>18687</v>
      </c>
      <c r="B20" s="160">
        <v>41959</v>
      </c>
      <c r="C20" s="160">
        <f t="shared" si="3"/>
        <v>41973</v>
      </c>
      <c r="AE20" s="221" t="str">
        <f t="shared" si="1"/>
        <v>11/30/2014</v>
      </c>
      <c r="AF20" s="160">
        <f t="shared" si="2"/>
        <v>41973</v>
      </c>
    </row>
    <row r="21" spans="1:32">
      <c r="A21" s="56">
        <v>11244</v>
      </c>
      <c r="B21" s="160">
        <v>41926</v>
      </c>
      <c r="C21" s="160">
        <f t="shared" si="3"/>
        <v>41973</v>
      </c>
      <c r="AE21" s="221" t="str">
        <f t="shared" si="1"/>
        <v>11/30/2014</v>
      </c>
      <c r="AF21" s="160">
        <f t="shared" si="2"/>
        <v>41973</v>
      </c>
    </row>
    <row r="22" spans="1:32">
      <c r="A22" s="56">
        <v>15719</v>
      </c>
      <c r="B22" s="160">
        <v>41917</v>
      </c>
      <c r="C22" s="160">
        <f t="shared" si="3"/>
        <v>41973</v>
      </c>
      <c r="AE22" s="221" t="str">
        <f t="shared" si="1"/>
        <v>11/30/2014</v>
      </c>
      <c r="AF22" s="160">
        <f t="shared" si="2"/>
        <v>41973</v>
      </c>
    </row>
    <row r="23" spans="1:32">
      <c r="A23" s="56">
        <v>15804</v>
      </c>
      <c r="B23" s="160">
        <v>41907</v>
      </c>
      <c r="C23" s="160">
        <f t="shared" si="3"/>
        <v>41973</v>
      </c>
      <c r="AE23" s="221" t="str">
        <f t="shared" si="1"/>
        <v>11/30/2014</v>
      </c>
      <c r="AF23" s="160">
        <f t="shared" si="2"/>
        <v>41973</v>
      </c>
    </row>
    <row r="24" spans="1:32">
      <c r="A24" s="56">
        <v>14826</v>
      </c>
      <c r="B24" s="160">
        <v>41887</v>
      </c>
      <c r="C24" s="160">
        <f t="shared" si="3"/>
        <v>41973</v>
      </c>
      <c r="AE24" s="221" t="str">
        <f t="shared" si="1"/>
        <v>11/30/2014</v>
      </c>
      <c r="AF24" s="160">
        <f t="shared" si="2"/>
        <v>41973</v>
      </c>
    </row>
    <row r="25" spans="1:32">
      <c r="A25" s="56">
        <v>19815</v>
      </c>
      <c r="B25" s="160">
        <v>41883</v>
      </c>
      <c r="C25" s="160">
        <f t="shared" si="3"/>
        <v>41973</v>
      </c>
      <c r="AE25" s="221" t="str">
        <f t="shared" si="1"/>
        <v>11/30/2014</v>
      </c>
      <c r="AF25" s="160">
        <f t="shared" si="2"/>
        <v>41973</v>
      </c>
    </row>
    <row r="26" spans="1:32">
      <c r="A26" s="56">
        <v>17862</v>
      </c>
      <c r="B26" s="160">
        <v>41868</v>
      </c>
      <c r="C26" s="160">
        <f t="shared" si="3"/>
        <v>41973</v>
      </c>
      <c r="AE26" s="221" t="str">
        <f t="shared" si="1"/>
        <v>11/30/2014</v>
      </c>
      <c r="AF26" s="160">
        <f t="shared" si="2"/>
        <v>41973</v>
      </c>
    </row>
    <row r="27" spans="1:32">
      <c r="A27" s="56">
        <v>10009</v>
      </c>
      <c r="B27" s="160">
        <v>41868</v>
      </c>
      <c r="C27" s="160">
        <f t="shared" si="3"/>
        <v>41973</v>
      </c>
      <c r="AE27" s="221" t="str">
        <f t="shared" si="1"/>
        <v>11/30/2014</v>
      </c>
      <c r="AF27" s="160">
        <f t="shared" si="2"/>
        <v>41973</v>
      </c>
    </row>
    <row r="28" spans="1:32">
      <c r="A28" s="56">
        <v>16806</v>
      </c>
      <c r="B28" s="160">
        <v>41817</v>
      </c>
      <c r="C28" s="160">
        <f t="shared" si="3"/>
        <v>41973</v>
      </c>
      <c r="AE28" s="221" t="str">
        <f t="shared" si="1"/>
        <v>11/30/2014</v>
      </c>
      <c r="AF28" s="160">
        <f t="shared" si="2"/>
        <v>41973</v>
      </c>
    </row>
    <row r="29" spans="1:32">
      <c r="A29" s="56">
        <v>10359</v>
      </c>
      <c r="B29" s="160">
        <v>41809</v>
      </c>
      <c r="C29" s="160">
        <f t="shared" si="3"/>
        <v>41973</v>
      </c>
      <c r="AE29" s="221" t="str">
        <f t="shared" si="1"/>
        <v>11/30/2014</v>
      </c>
      <c r="AF29" s="160">
        <f t="shared" si="2"/>
        <v>41973</v>
      </c>
    </row>
    <row r="30" spans="1:32">
      <c r="A30" s="56">
        <v>12592</v>
      </c>
      <c r="B30" s="160">
        <v>41797</v>
      </c>
      <c r="C30" s="160">
        <f t="shared" si="3"/>
        <v>41973</v>
      </c>
      <c r="AE30" s="221" t="str">
        <f t="shared" si="1"/>
        <v>11/30/2014</v>
      </c>
      <c r="AF30" s="160">
        <f t="shared" si="2"/>
        <v>41973</v>
      </c>
    </row>
    <row r="31" spans="1:32">
      <c r="A31" s="56">
        <v>16197</v>
      </c>
      <c r="B31" s="160">
        <v>41793</v>
      </c>
      <c r="C31" s="160">
        <f t="shared" si="3"/>
        <v>41973</v>
      </c>
      <c r="AE31" s="221" t="str">
        <f t="shared" si="1"/>
        <v>11/30/2014</v>
      </c>
      <c r="AF31" s="160">
        <f t="shared" si="2"/>
        <v>41973</v>
      </c>
    </row>
    <row r="32" spans="1:32">
      <c r="A32" s="56">
        <v>13616</v>
      </c>
      <c r="B32" s="160">
        <v>41792</v>
      </c>
      <c r="C32" s="160">
        <f t="shared" si="3"/>
        <v>41973</v>
      </c>
      <c r="AE32" s="221" t="str">
        <f t="shared" si="1"/>
        <v>11/30/2014</v>
      </c>
      <c r="AF32" s="160">
        <f t="shared" si="2"/>
        <v>41973</v>
      </c>
    </row>
    <row r="33" spans="1:32">
      <c r="A33" s="56">
        <v>15773</v>
      </c>
      <c r="B33" s="160">
        <v>41786</v>
      </c>
      <c r="C33" s="160">
        <f t="shared" si="3"/>
        <v>41790</v>
      </c>
      <c r="AE33" s="221" t="str">
        <f t="shared" si="1"/>
        <v>5/31/2014</v>
      </c>
      <c r="AF33" s="160">
        <f t="shared" si="2"/>
        <v>41790</v>
      </c>
    </row>
    <row r="34" spans="1:32">
      <c r="A34" s="56">
        <v>15570</v>
      </c>
      <c r="B34" s="160">
        <v>41768</v>
      </c>
      <c r="C34" s="160">
        <f t="shared" si="3"/>
        <v>41790</v>
      </c>
      <c r="AE34" s="221" t="str">
        <f t="shared" ref="AE34:AE57" si="4">IF(AND(DAY(B34)&lt;31,MONTH(B34)&gt;5),CONCATENATE("11/30/"&amp;YEAR(B34)),CONCATENATE("5/31/"&amp;YEAR(B34)))</f>
        <v>5/31/2014</v>
      </c>
      <c r="AF34" s="160">
        <f t="shared" ref="AF34:AF57" si="5">EOMONTH(B34,6+6*(ROUND(MONTH(B34)/12,0))-MONTH(B34)-1)</f>
        <v>41790</v>
      </c>
    </row>
    <row r="35" spans="1:32">
      <c r="A35" s="56">
        <v>15008</v>
      </c>
      <c r="B35" s="160">
        <v>41748</v>
      </c>
      <c r="C35" s="160">
        <f t="shared" si="3"/>
        <v>41790</v>
      </c>
      <c r="AE35" s="221" t="str">
        <f t="shared" si="4"/>
        <v>5/31/2014</v>
      </c>
      <c r="AF35" s="160">
        <f t="shared" si="5"/>
        <v>41790</v>
      </c>
    </row>
    <row r="36" spans="1:32">
      <c r="A36" s="56">
        <v>16960</v>
      </c>
      <c r="B36" s="160">
        <v>41731</v>
      </c>
      <c r="C36" s="160">
        <f t="shared" si="3"/>
        <v>41790</v>
      </c>
      <c r="AE36" s="221" t="str">
        <f t="shared" si="4"/>
        <v>5/31/2014</v>
      </c>
      <c r="AF36" s="160">
        <f t="shared" si="5"/>
        <v>41790</v>
      </c>
    </row>
    <row r="37" spans="1:32">
      <c r="A37" s="56">
        <v>13129</v>
      </c>
      <c r="B37" s="160">
        <v>41715</v>
      </c>
      <c r="C37" s="160">
        <f t="shared" si="3"/>
        <v>41790</v>
      </c>
      <c r="AE37" s="221" t="str">
        <f t="shared" si="4"/>
        <v>5/31/2014</v>
      </c>
      <c r="AF37" s="160">
        <f t="shared" si="5"/>
        <v>41790</v>
      </c>
    </row>
    <row r="38" spans="1:32">
      <c r="A38" s="56">
        <v>16544</v>
      </c>
      <c r="B38" s="160">
        <v>41707</v>
      </c>
      <c r="C38" s="160">
        <f t="shared" si="3"/>
        <v>41790</v>
      </c>
      <c r="AE38" s="221" t="str">
        <f t="shared" si="4"/>
        <v>5/31/2014</v>
      </c>
      <c r="AF38" s="160">
        <f t="shared" si="5"/>
        <v>41790</v>
      </c>
    </row>
    <row r="39" spans="1:32">
      <c r="A39" s="56">
        <v>18077</v>
      </c>
      <c r="B39" s="160">
        <v>41689</v>
      </c>
      <c r="C39" s="160">
        <f t="shared" si="3"/>
        <v>41790</v>
      </c>
      <c r="AE39" s="221" t="str">
        <f t="shared" si="4"/>
        <v>5/31/2014</v>
      </c>
      <c r="AF39" s="160">
        <f t="shared" si="5"/>
        <v>41790</v>
      </c>
    </row>
    <row r="40" spans="1:32">
      <c r="A40" s="56">
        <v>10176</v>
      </c>
      <c r="B40" s="160">
        <v>41686</v>
      </c>
      <c r="C40" s="160">
        <f t="shared" si="3"/>
        <v>41790</v>
      </c>
      <c r="AE40" s="221" t="str">
        <f t="shared" si="4"/>
        <v>5/31/2014</v>
      </c>
      <c r="AF40" s="160">
        <f t="shared" si="5"/>
        <v>41790</v>
      </c>
    </row>
    <row r="41" spans="1:32">
      <c r="A41" s="56">
        <v>19986</v>
      </c>
      <c r="B41" s="160">
        <v>41681</v>
      </c>
      <c r="C41" s="160">
        <f t="shared" si="3"/>
        <v>41790</v>
      </c>
      <c r="AE41" s="221" t="str">
        <f t="shared" si="4"/>
        <v>5/31/2014</v>
      </c>
      <c r="AF41" s="160">
        <f t="shared" si="5"/>
        <v>41790</v>
      </c>
    </row>
    <row r="42" spans="1:32">
      <c r="A42" s="56">
        <v>16701</v>
      </c>
      <c r="B42" s="160">
        <v>41681</v>
      </c>
      <c r="C42" s="160">
        <f t="shared" si="3"/>
        <v>41790</v>
      </c>
      <c r="AE42" s="221" t="str">
        <f t="shared" si="4"/>
        <v>5/31/2014</v>
      </c>
      <c r="AF42" s="160">
        <f t="shared" si="5"/>
        <v>41790</v>
      </c>
    </row>
    <row r="43" spans="1:32">
      <c r="A43" s="56">
        <v>18736</v>
      </c>
      <c r="B43" s="160">
        <v>41666</v>
      </c>
      <c r="C43" s="160">
        <f t="shared" si="3"/>
        <v>41790</v>
      </c>
      <c r="AE43" s="221" t="str">
        <f t="shared" si="4"/>
        <v>5/31/2014</v>
      </c>
      <c r="AF43" s="160">
        <f t="shared" si="5"/>
        <v>41790</v>
      </c>
    </row>
    <row r="44" spans="1:32">
      <c r="A44" s="56">
        <v>12952</v>
      </c>
      <c r="B44" s="160">
        <v>41663</v>
      </c>
      <c r="C44" s="160">
        <f t="shared" si="3"/>
        <v>41790</v>
      </c>
      <c r="AE44" s="221" t="str">
        <f t="shared" si="4"/>
        <v>5/31/2014</v>
      </c>
      <c r="AF44" s="160">
        <f t="shared" si="5"/>
        <v>41790</v>
      </c>
    </row>
    <row r="45" spans="1:32">
      <c r="A45" s="56">
        <v>16369</v>
      </c>
      <c r="B45" s="160">
        <v>41625</v>
      </c>
      <c r="C45" s="160">
        <f t="shared" si="3"/>
        <v>41608</v>
      </c>
      <c r="AE45" s="221" t="str">
        <f t="shared" si="4"/>
        <v>11/30/2013</v>
      </c>
      <c r="AF45" s="160">
        <f t="shared" si="5"/>
        <v>41608</v>
      </c>
    </row>
    <row r="46" spans="1:32">
      <c r="A46" s="56">
        <v>19987</v>
      </c>
      <c r="B46" s="160">
        <v>41604</v>
      </c>
      <c r="C46" s="160">
        <f t="shared" si="3"/>
        <v>41608</v>
      </c>
      <c r="AE46" s="221" t="str">
        <f t="shared" si="4"/>
        <v>11/30/2013</v>
      </c>
      <c r="AF46" s="160">
        <f t="shared" si="5"/>
        <v>41608</v>
      </c>
    </row>
    <row r="47" spans="1:32">
      <c r="A47" s="56">
        <v>16264</v>
      </c>
      <c r="B47" s="160">
        <v>41572</v>
      </c>
      <c r="C47" s="160">
        <f t="shared" si="3"/>
        <v>41608</v>
      </c>
      <c r="AE47" s="221" t="str">
        <f t="shared" si="4"/>
        <v>11/30/2013</v>
      </c>
      <c r="AF47" s="160">
        <f t="shared" si="5"/>
        <v>41608</v>
      </c>
    </row>
    <row r="48" spans="1:32">
      <c r="A48" s="56">
        <v>11981</v>
      </c>
      <c r="B48" s="160">
        <v>41554</v>
      </c>
      <c r="C48" s="160">
        <f t="shared" si="3"/>
        <v>41608</v>
      </c>
      <c r="AE48" s="221" t="str">
        <f t="shared" si="4"/>
        <v>11/30/2013</v>
      </c>
      <c r="AF48" s="160">
        <f t="shared" si="5"/>
        <v>41608</v>
      </c>
    </row>
    <row r="49" spans="1:32">
      <c r="A49" s="56">
        <v>11742</v>
      </c>
      <c r="B49" s="160">
        <v>41535</v>
      </c>
      <c r="C49" s="160">
        <f t="shared" si="3"/>
        <v>41608</v>
      </c>
      <c r="AE49" s="221" t="str">
        <f t="shared" si="4"/>
        <v>11/30/2013</v>
      </c>
      <c r="AF49" s="160">
        <f t="shared" si="5"/>
        <v>41608</v>
      </c>
    </row>
    <row r="50" spans="1:32">
      <c r="A50" s="56">
        <v>11589</v>
      </c>
      <c r="B50" s="160">
        <v>41461</v>
      </c>
      <c r="C50" s="160">
        <f t="shared" si="3"/>
        <v>41608</v>
      </c>
      <c r="AE50" s="221" t="str">
        <f t="shared" si="4"/>
        <v>11/30/2013</v>
      </c>
      <c r="AF50" s="160">
        <f t="shared" si="5"/>
        <v>41608</v>
      </c>
    </row>
    <row r="51" spans="1:32">
      <c r="A51" s="56">
        <v>16823</v>
      </c>
      <c r="B51" s="160">
        <v>41423</v>
      </c>
      <c r="C51" s="160">
        <f t="shared" si="3"/>
        <v>41425</v>
      </c>
      <c r="AE51" s="221" t="str">
        <f t="shared" si="4"/>
        <v>5/31/2013</v>
      </c>
      <c r="AF51" s="160">
        <f t="shared" si="5"/>
        <v>41425</v>
      </c>
    </row>
    <row r="52" spans="1:32">
      <c r="A52" s="56">
        <v>14233</v>
      </c>
      <c r="B52" s="160">
        <v>41388</v>
      </c>
      <c r="C52" s="160">
        <f t="shared" si="3"/>
        <v>41425</v>
      </c>
      <c r="AE52" s="221" t="str">
        <f t="shared" si="4"/>
        <v>5/31/2013</v>
      </c>
      <c r="AF52" s="160">
        <f t="shared" si="5"/>
        <v>41425</v>
      </c>
    </row>
    <row r="53" spans="1:32">
      <c r="A53" s="56">
        <v>17204</v>
      </c>
      <c r="B53" s="160">
        <v>41353</v>
      </c>
      <c r="C53" s="160">
        <f t="shared" si="3"/>
        <v>41425</v>
      </c>
      <c r="AE53" s="221" t="str">
        <f t="shared" si="4"/>
        <v>5/31/2013</v>
      </c>
      <c r="AF53" s="160">
        <f t="shared" si="5"/>
        <v>41425</v>
      </c>
    </row>
    <row r="54" spans="1:32">
      <c r="A54" s="56">
        <v>10760</v>
      </c>
      <c r="B54" s="160">
        <v>41352</v>
      </c>
      <c r="C54" s="160">
        <f t="shared" si="3"/>
        <v>41425</v>
      </c>
      <c r="AE54" s="221" t="str">
        <f t="shared" si="4"/>
        <v>5/31/2013</v>
      </c>
      <c r="AF54" s="160">
        <f t="shared" si="5"/>
        <v>41425</v>
      </c>
    </row>
    <row r="55" spans="1:32">
      <c r="A55" s="56">
        <v>13896</v>
      </c>
      <c r="B55" s="160">
        <v>41308</v>
      </c>
      <c r="C55" s="160">
        <f t="shared" si="3"/>
        <v>41425</v>
      </c>
      <c r="AE55" s="221" t="str">
        <f t="shared" si="4"/>
        <v>5/31/2013</v>
      </c>
      <c r="AF55" s="160">
        <f t="shared" si="5"/>
        <v>41425</v>
      </c>
    </row>
    <row r="56" spans="1:32">
      <c r="A56" s="56">
        <v>14126</v>
      </c>
      <c r="B56" s="160">
        <v>41284</v>
      </c>
      <c r="C56" s="160">
        <f t="shared" si="3"/>
        <v>41425</v>
      </c>
      <c r="AE56" s="221" t="str">
        <f t="shared" si="4"/>
        <v>5/31/2013</v>
      </c>
      <c r="AF56" s="160">
        <f t="shared" si="5"/>
        <v>41425</v>
      </c>
    </row>
    <row r="57" spans="1:32">
      <c r="A57" s="56">
        <v>16304</v>
      </c>
      <c r="B57" s="160">
        <v>41275</v>
      </c>
      <c r="C57" s="160">
        <f t="shared" si="3"/>
        <v>41425</v>
      </c>
      <c r="AE57" s="221" t="str">
        <f t="shared" si="4"/>
        <v>5/31/2013</v>
      </c>
      <c r="AF57" s="160">
        <f t="shared" si="5"/>
        <v>41425</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6</vt:i4>
      </vt:variant>
    </vt:vector>
  </HeadingPairs>
  <TitlesOfParts>
    <vt:vector size="44" baseType="lpstr">
      <vt:lpstr>Sheet1</vt:lpstr>
      <vt:lpstr>Income Statement</vt:lpstr>
      <vt:lpstr>IF</vt:lpstr>
      <vt:lpstr>IF_ans</vt:lpstr>
      <vt:lpstr>IFS</vt:lpstr>
      <vt:lpstr>IFS_ans</vt:lpstr>
      <vt:lpstr>IFERROR</vt:lpstr>
      <vt:lpstr>IFERROR_ans</vt:lpstr>
      <vt:lpstr>AND OR</vt:lpstr>
      <vt:lpstr>AND OR _ans</vt:lpstr>
      <vt:lpstr>Reference, ROWS, COLUMNS</vt:lpstr>
      <vt:lpstr>Reference, ROWS, COLUMNS_ans</vt:lpstr>
      <vt:lpstr>Lookup &amp; Reference</vt:lpstr>
      <vt:lpstr>Lookup &amp; Reference_ans</vt:lpstr>
      <vt:lpstr>Data table</vt:lpstr>
      <vt:lpstr>Data table_ans</vt:lpstr>
      <vt:lpstr>Self Referencing IFs</vt:lpstr>
      <vt:lpstr>Math</vt:lpstr>
      <vt:lpstr>Math_ans</vt:lpstr>
      <vt:lpstr>Other Useful Functions</vt:lpstr>
      <vt:lpstr>Other Useful Functions_ans</vt:lpstr>
      <vt:lpstr>COUNT &amp; COUNTIF</vt:lpstr>
      <vt:lpstr>COUNT &amp; COUNTIF_ans</vt:lpstr>
      <vt:lpstr>Sheet5</vt:lpstr>
      <vt:lpstr>TEXT</vt:lpstr>
      <vt:lpstr>TEXT_ans</vt:lpstr>
      <vt:lpstr>INDIRECT and &amp;</vt:lpstr>
      <vt:lpstr>INDIRECT and &amp; _ans</vt:lpstr>
      <vt:lpstr>Sort Filter  &amp; Subtotal</vt:lpstr>
      <vt:lpstr>PT Input</vt:lpstr>
      <vt:lpstr>PT Input_ans</vt:lpstr>
      <vt:lpstr>CF</vt:lpstr>
      <vt:lpstr>CF_ ans</vt:lpstr>
      <vt:lpstr>Custom text</vt:lpstr>
      <vt:lpstr>Text to Columns Data</vt:lpstr>
      <vt:lpstr>Dynamic headers &amp; Misc</vt:lpstr>
      <vt:lpstr>Printing</vt:lpstr>
      <vt:lpstr>Dates</vt:lpstr>
      <vt:lpstr>'Income Statement'!COGS2004</vt:lpstr>
      <vt:lpstr>GP</vt:lpstr>
      <vt:lpstr>Printing!Print_Area</vt:lpstr>
      <vt:lpstr>'Text to Columns Data'!Print_Area</vt:lpstr>
      <vt:lpstr>Printing!Print_Titles</vt:lpstr>
      <vt:lpstr>'Income Statement'!Revenues2004</vt:lpstr>
    </vt:vector>
  </TitlesOfParts>
  <Company>Wallstreetprep.com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 Street Prep</dc:creator>
  <cp:lastModifiedBy>Soham Satpute</cp:lastModifiedBy>
  <cp:lastPrinted>2016-04-05T18:28:24Z</cp:lastPrinted>
  <dcterms:created xsi:type="dcterms:W3CDTF">2013-04-09T21:04:04Z</dcterms:created>
  <dcterms:modified xsi:type="dcterms:W3CDTF">2025-11-15T22:42:49Z</dcterms:modified>
</cp:coreProperties>
</file>