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hidePivotFieldList="1"/>
  <mc:AlternateContent xmlns:mc="http://schemas.openxmlformats.org/markup-compatibility/2006">
    <mc:Choice Requires="x15">
      <x15ac:absPath xmlns:x15ac="http://schemas.microsoft.com/office/spreadsheetml/2010/11/ac" url="H:\My Drive\New Excel Exam Questions\"/>
    </mc:Choice>
  </mc:AlternateContent>
  <xr:revisionPtr revIDLastSave="0" documentId="13_ncr:1_{D47C324C-0732-4A1D-A180-35B933F465D6}" xr6:coauthVersionLast="47" xr6:coauthVersionMax="47" xr10:uidLastSave="{00000000-0000-0000-0000-000000000000}"/>
  <bookViews>
    <workbookView xWindow="-103" yWindow="-103" windowWidth="19543" windowHeight="12377" xr2:uid="{00000000-000D-0000-FFFF-FFFF00000000}"/>
  </bookViews>
  <sheets>
    <sheet name="Cover" sheetId="1" r:id="rId1"/>
    <sheet name="Q 1-5" sheetId="6" r:id="rId2"/>
    <sheet name="Q 1-5_Ans" sheetId="2" r:id="rId3"/>
    <sheet name="Q 6-15" sheetId="3" r:id="rId4"/>
    <sheet name="Q 6-15_Ans" sheetId="5" r:id="rId5"/>
    <sheet name="Q 38-40" sheetId="10" r:id="rId6"/>
    <sheet name="Q 38-40_Ans" sheetId="11" r:id="rId7"/>
  </sheets>
  <definedNames>
    <definedName name="_xlnm._FilterDatabase" localSheetId="5" hidden="1">'Q 38-40'!$B$4:$H$576</definedName>
    <definedName name="_xlnm._FilterDatabase" localSheetId="6" hidden="1">'Q 38-40_Ans'!$B$4:$H$576</definedName>
    <definedName name="_xlnm._FilterDatabase" localSheetId="3" hidden="1">'Q 6-15'!$B$4:$K$576</definedName>
    <definedName name="_xlnm._FilterDatabase" localSheetId="4" hidden="1">'Q 6-15_Ans'!$B$4:$L$576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80" i="11" l="1"/>
  <c r="D580" i="11"/>
  <c r="H579" i="11"/>
  <c r="G579" i="11"/>
  <c r="F579" i="11"/>
  <c r="D579" i="11"/>
  <c r="E579" i="11" s="1"/>
  <c r="H578" i="11"/>
  <c r="F578" i="11"/>
  <c r="D578" i="11"/>
  <c r="E578" i="11" s="1"/>
  <c r="H577" i="11"/>
  <c r="F577" i="11"/>
  <c r="E577" i="11"/>
  <c r="D577" i="11"/>
  <c r="G577" i="11" s="1"/>
  <c r="H576" i="11"/>
  <c r="G576" i="11"/>
  <c r="F576" i="11"/>
  <c r="E576" i="11"/>
  <c r="D576" i="11"/>
  <c r="H575" i="11"/>
  <c r="G575" i="11"/>
  <c r="E575" i="11"/>
  <c r="D575" i="11"/>
  <c r="F575" i="11" s="1"/>
  <c r="H574" i="11"/>
  <c r="D574" i="11"/>
  <c r="H573" i="11"/>
  <c r="G573" i="11"/>
  <c r="E573" i="11"/>
  <c r="D573" i="11"/>
  <c r="F573" i="11" s="1"/>
  <c r="H572" i="11"/>
  <c r="D572" i="11"/>
  <c r="H571" i="11"/>
  <c r="G571" i="11"/>
  <c r="F571" i="11"/>
  <c r="D571" i="11"/>
  <c r="E571" i="11" s="1"/>
  <c r="H570" i="11"/>
  <c r="F570" i="11"/>
  <c r="D570" i="11"/>
  <c r="E570" i="11" s="1"/>
  <c r="H569" i="11"/>
  <c r="F569" i="11"/>
  <c r="E569" i="11"/>
  <c r="D569" i="11"/>
  <c r="G569" i="11" s="1"/>
  <c r="H568" i="11"/>
  <c r="G568" i="11"/>
  <c r="F568" i="11"/>
  <c r="E568" i="11"/>
  <c r="D568" i="11"/>
  <c r="H567" i="11"/>
  <c r="G567" i="11"/>
  <c r="E567" i="11"/>
  <c r="D567" i="11"/>
  <c r="F567" i="11" s="1"/>
  <c r="H566" i="11"/>
  <c r="D566" i="11"/>
  <c r="H565" i="11"/>
  <c r="G565" i="11"/>
  <c r="E565" i="11"/>
  <c r="D565" i="11"/>
  <c r="F565" i="11" s="1"/>
  <c r="H564" i="11"/>
  <c r="D564" i="11"/>
  <c r="H563" i="11"/>
  <c r="G563" i="11"/>
  <c r="F563" i="11"/>
  <c r="D563" i="11"/>
  <c r="E563" i="11" s="1"/>
  <c r="H562" i="11"/>
  <c r="F562" i="11"/>
  <c r="D562" i="11"/>
  <c r="E562" i="11" s="1"/>
  <c r="H561" i="11"/>
  <c r="F561" i="11"/>
  <c r="E561" i="11"/>
  <c r="D561" i="11"/>
  <c r="G561" i="11" s="1"/>
  <c r="H560" i="11"/>
  <c r="G560" i="11"/>
  <c r="F560" i="11"/>
  <c r="E560" i="11"/>
  <c r="D560" i="11"/>
  <c r="H559" i="11"/>
  <c r="G559" i="11"/>
  <c r="E559" i="11"/>
  <c r="D559" i="11"/>
  <c r="F559" i="11" s="1"/>
  <c r="H558" i="11"/>
  <c r="D558" i="11"/>
  <c r="H557" i="11"/>
  <c r="G557" i="11"/>
  <c r="E557" i="11"/>
  <c r="D557" i="11"/>
  <c r="F557" i="11" s="1"/>
  <c r="H556" i="11"/>
  <c r="D556" i="11"/>
  <c r="H555" i="11"/>
  <c r="G555" i="11"/>
  <c r="F555" i="11"/>
  <c r="D555" i="11"/>
  <c r="E555" i="11" s="1"/>
  <c r="H554" i="11"/>
  <c r="F554" i="11"/>
  <c r="D554" i="11"/>
  <c r="E554" i="11" s="1"/>
  <c r="H553" i="11"/>
  <c r="F553" i="11"/>
  <c r="E553" i="11"/>
  <c r="D553" i="11"/>
  <c r="G553" i="11" s="1"/>
  <c r="H552" i="11"/>
  <c r="G552" i="11"/>
  <c r="F552" i="11"/>
  <c r="E552" i="11"/>
  <c r="D552" i="11"/>
  <c r="H551" i="11"/>
  <c r="G551" i="11"/>
  <c r="E551" i="11"/>
  <c r="D551" i="11"/>
  <c r="F551" i="11" s="1"/>
  <c r="H550" i="11"/>
  <c r="D550" i="11"/>
  <c r="H549" i="11"/>
  <c r="G549" i="11"/>
  <c r="E549" i="11"/>
  <c r="D549" i="11"/>
  <c r="F549" i="11" s="1"/>
  <c r="H548" i="11"/>
  <c r="F548" i="11"/>
  <c r="D548" i="11"/>
  <c r="H547" i="11"/>
  <c r="G547" i="11"/>
  <c r="F547" i="11"/>
  <c r="D547" i="11"/>
  <c r="E547" i="11" s="1"/>
  <c r="H546" i="11"/>
  <c r="F546" i="11"/>
  <c r="D546" i="11"/>
  <c r="E546" i="11" s="1"/>
  <c r="H545" i="11"/>
  <c r="F545" i="11"/>
  <c r="E545" i="11"/>
  <c r="D545" i="11"/>
  <c r="G545" i="11" s="1"/>
  <c r="H544" i="11"/>
  <c r="G544" i="11"/>
  <c r="F544" i="11"/>
  <c r="E544" i="11"/>
  <c r="D544" i="11"/>
  <c r="H543" i="11"/>
  <c r="G543" i="11"/>
  <c r="E543" i="11"/>
  <c r="D543" i="11"/>
  <c r="F543" i="11" s="1"/>
  <c r="H542" i="11"/>
  <c r="D542" i="11"/>
  <c r="H541" i="11"/>
  <c r="G541" i="11"/>
  <c r="E541" i="11"/>
  <c r="D541" i="11"/>
  <c r="F541" i="11" s="1"/>
  <c r="H540" i="11"/>
  <c r="F540" i="11"/>
  <c r="D540" i="11"/>
  <c r="H539" i="11"/>
  <c r="G539" i="11"/>
  <c r="F539" i="11"/>
  <c r="D539" i="11"/>
  <c r="E539" i="11" s="1"/>
  <c r="H538" i="11"/>
  <c r="F538" i="11"/>
  <c r="D538" i="11"/>
  <c r="E538" i="11" s="1"/>
  <c r="H537" i="11"/>
  <c r="F537" i="11"/>
  <c r="E537" i="11"/>
  <c r="D537" i="11"/>
  <c r="G537" i="11" s="1"/>
  <c r="H536" i="11"/>
  <c r="G536" i="11"/>
  <c r="F536" i="11"/>
  <c r="E536" i="11"/>
  <c r="D536" i="11"/>
  <c r="H535" i="11"/>
  <c r="G535" i="11"/>
  <c r="E535" i="11"/>
  <c r="D535" i="11"/>
  <c r="F535" i="11" s="1"/>
  <c r="H534" i="11"/>
  <c r="D534" i="11"/>
  <c r="H533" i="11"/>
  <c r="G533" i="11"/>
  <c r="E533" i="11"/>
  <c r="D533" i="11"/>
  <c r="F533" i="11" s="1"/>
  <c r="H532" i="11"/>
  <c r="F532" i="11"/>
  <c r="D532" i="11"/>
  <c r="H531" i="11"/>
  <c r="G531" i="11"/>
  <c r="F531" i="11"/>
  <c r="D531" i="11"/>
  <c r="E531" i="11" s="1"/>
  <c r="H530" i="11"/>
  <c r="F530" i="11"/>
  <c r="D530" i="11"/>
  <c r="E530" i="11" s="1"/>
  <c r="H529" i="11"/>
  <c r="F529" i="11"/>
  <c r="E529" i="11"/>
  <c r="D529" i="11"/>
  <c r="G529" i="11" s="1"/>
  <c r="H528" i="11"/>
  <c r="G528" i="11"/>
  <c r="F528" i="11"/>
  <c r="E528" i="11"/>
  <c r="D528" i="11"/>
  <c r="H527" i="11"/>
  <c r="G527" i="11"/>
  <c r="E527" i="11"/>
  <c r="D527" i="11"/>
  <c r="F527" i="11" s="1"/>
  <c r="H526" i="11"/>
  <c r="D526" i="11"/>
  <c r="H525" i="11"/>
  <c r="G525" i="11"/>
  <c r="E525" i="11"/>
  <c r="D525" i="11"/>
  <c r="F525" i="11" s="1"/>
  <c r="H524" i="11"/>
  <c r="D524" i="11"/>
  <c r="H523" i="11"/>
  <c r="G523" i="11"/>
  <c r="F523" i="11"/>
  <c r="D523" i="11"/>
  <c r="E523" i="11" s="1"/>
  <c r="H522" i="11"/>
  <c r="D522" i="11"/>
  <c r="H521" i="11"/>
  <c r="F521" i="11"/>
  <c r="E521" i="11"/>
  <c r="D521" i="11"/>
  <c r="G521" i="11" s="1"/>
  <c r="H520" i="11"/>
  <c r="G520" i="11"/>
  <c r="F520" i="11"/>
  <c r="E520" i="11"/>
  <c r="D520" i="11"/>
  <c r="H519" i="11"/>
  <c r="G519" i="11"/>
  <c r="E519" i="11"/>
  <c r="D519" i="11"/>
  <c r="F519" i="11" s="1"/>
  <c r="H518" i="11"/>
  <c r="D518" i="11"/>
  <c r="H517" i="11"/>
  <c r="G517" i="11"/>
  <c r="E517" i="11"/>
  <c r="D517" i="11"/>
  <c r="F517" i="11" s="1"/>
  <c r="H516" i="11"/>
  <c r="D516" i="11"/>
  <c r="H515" i="11"/>
  <c r="G515" i="11"/>
  <c r="F515" i="11"/>
  <c r="D515" i="11"/>
  <c r="E515" i="11" s="1"/>
  <c r="H514" i="11"/>
  <c r="F514" i="11"/>
  <c r="D514" i="11"/>
  <c r="H513" i="11"/>
  <c r="F513" i="11"/>
  <c r="E513" i="11"/>
  <c r="D513" i="11"/>
  <c r="G513" i="11" s="1"/>
  <c r="H512" i="11"/>
  <c r="G512" i="11"/>
  <c r="F512" i="11"/>
  <c r="E512" i="11"/>
  <c r="D512" i="11"/>
  <c r="H511" i="11"/>
  <c r="G511" i="11"/>
  <c r="E511" i="11"/>
  <c r="D511" i="11"/>
  <c r="F511" i="11" s="1"/>
  <c r="H510" i="11"/>
  <c r="D510" i="11"/>
  <c r="H509" i="11"/>
  <c r="G509" i="11"/>
  <c r="E509" i="11"/>
  <c r="D509" i="11"/>
  <c r="F509" i="11" s="1"/>
  <c r="H508" i="11"/>
  <c r="D508" i="11"/>
  <c r="H507" i="11"/>
  <c r="G507" i="11"/>
  <c r="F507" i="11"/>
  <c r="D507" i="11"/>
  <c r="E507" i="11" s="1"/>
  <c r="H506" i="11"/>
  <c r="F506" i="11"/>
  <c r="D506" i="11"/>
  <c r="H505" i="11"/>
  <c r="F505" i="11"/>
  <c r="E505" i="11"/>
  <c r="D505" i="11"/>
  <c r="G505" i="11" s="1"/>
  <c r="H504" i="11"/>
  <c r="G504" i="11"/>
  <c r="F504" i="11"/>
  <c r="E504" i="11"/>
  <c r="D504" i="11"/>
  <c r="H503" i="11"/>
  <c r="G503" i="11"/>
  <c r="E503" i="11"/>
  <c r="D503" i="11"/>
  <c r="F503" i="11" s="1"/>
  <c r="H502" i="11"/>
  <c r="D502" i="11"/>
  <c r="H501" i="11"/>
  <c r="G501" i="11"/>
  <c r="E501" i="11"/>
  <c r="D501" i="11"/>
  <c r="F501" i="11" s="1"/>
  <c r="H500" i="11"/>
  <c r="D500" i="11"/>
  <c r="H499" i="11"/>
  <c r="G499" i="11"/>
  <c r="F499" i="11"/>
  <c r="D499" i="11"/>
  <c r="E499" i="11" s="1"/>
  <c r="H498" i="11"/>
  <c r="F498" i="11"/>
  <c r="D498" i="11"/>
  <c r="H497" i="11"/>
  <c r="F497" i="11"/>
  <c r="E497" i="11"/>
  <c r="D497" i="11"/>
  <c r="G497" i="11" s="1"/>
  <c r="H496" i="11"/>
  <c r="G496" i="11"/>
  <c r="F496" i="11"/>
  <c r="E496" i="11"/>
  <c r="D496" i="11"/>
  <c r="H495" i="11"/>
  <c r="G495" i="11"/>
  <c r="E495" i="11"/>
  <c r="D495" i="11"/>
  <c r="F495" i="11" s="1"/>
  <c r="H494" i="11"/>
  <c r="D494" i="11"/>
  <c r="H493" i="11"/>
  <c r="G493" i="11"/>
  <c r="E493" i="11"/>
  <c r="D493" i="11"/>
  <c r="F493" i="11" s="1"/>
  <c r="H492" i="11"/>
  <c r="F492" i="11"/>
  <c r="D492" i="11"/>
  <c r="H491" i="11"/>
  <c r="G491" i="11"/>
  <c r="F491" i="11"/>
  <c r="D491" i="11"/>
  <c r="E491" i="11" s="1"/>
  <c r="H490" i="11"/>
  <c r="F490" i="11"/>
  <c r="D490" i="11"/>
  <c r="H489" i="11"/>
  <c r="F489" i="11"/>
  <c r="E489" i="11"/>
  <c r="D489" i="11"/>
  <c r="G489" i="11" s="1"/>
  <c r="H488" i="11"/>
  <c r="G488" i="11"/>
  <c r="F488" i="11"/>
  <c r="E488" i="11"/>
  <c r="D488" i="11"/>
  <c r="H487" i="11"/>
  <c r="G487" i="11"/>
  <c r="E487" i="11"/>
  <c r="D487" i="11"/>
  <c r="F487" i="11" s="1"/>
  <c r="H486" i="11"/>
  <c r="D486" i="11"/>
  <c r="H485" i="11"/>
  <c r="G485" i="11"/>
  <c r="E485" i="11"/>
  <c r="D485" i="11"/>
  <c r="F485" i="11" s="1"/>
  <c r="H484" i="11"/>
  <c r="F484" i="11"/>
  <c r="D484" i="11"/>
  <c r="H483" i="11"/>
  <c r="G483" i="11"/>
  <c r="F483" i="11"/>
  <c r="D483" i="11"/>
  <c r="E483" i="11" s="1"/>
  <c r="H482" i="11"/>
  <c r="D482" i="11"/>
  <c r="H481" i="11"/>
  <c r="F481" i="11"/>
  <c r="E481" i="11"/>
  <c r="D481" i="11"/>
  <c r="G481" i="11" s="1"/>
  <c r="H480" i="11"/>
  <c r="G480" i="11"/>
  <c r="F480" i="11"/>
  <c r="E480" i="11"/>
  <c r="D480" i="11"/>
  <c r="H479" i="11"/>
  <c r="G479" i="11"/>
  <c r="E479" i="11"/>
  <c r="D479" i="11"/>
  <c r="F479" i="11" s="1"/>
  <c r="H478" i="11"/>
  <c r="D478" i="11"/>
  <c r="H477" i="11"/>
  <c r="G477" i="11"/>
  <c r="E477" i="11"/>
  <c r="D477" i="11"/>
  <c r="F477" i="11" s="1"/>
  <c r="H476" i="11"/>
  <c r="D476" i="11"/>
  <c r="H475" i="11"/>
  <c r="G475" i="11"/>
  <c r="F475" i="11"/>
  <c r="D475" i="11"/>
  <c r="E475" i="11" s="1"/>
  <c r="H474" i="11"/>
  <c r="F474" i="11"/>
  <c r="D474" i="11"/>
  <c r="H473" i="11"/>
  <c r="F473" i="11"/>
  <c r="E473" i="11"/>
  <c r="D473" i="11"/>
  <c r="G473" i="11" s="1"/>
  <c r="H472" i="11"/>
  <c r="G472" i="11"/>
  <c r="F472" i="11"/>
  <c r="E472" i="11"/>
  <c r="D472" i="11"/>
  <c r="H471" i="11"/>
  <c r="G471" i="11"/>
  <c r="E471" i="11"/>
  <c r="D471" i="11"/>
  <c r="F471" i="11" s="1"/>
  <c r="H470" i="11"/>
  <c r="G470" i="11"/>
  <c r="D470" i="11"/>
  <c r="H469" i="11"/>
  <c r="D469" i="11"/>
  <c r="H468" i="11"/>
  <c r="D468" i="11"/>
  <c r="H467" i="11"/>
  <c r="G467" i="11"/>
  <c r="F467" i="11"/>
  <c r="D467" i="11"/>
  <c r="E467" i="11" s="1"/>
  <c r="H466" i="11"/>
  <c r="F466" i="11"/>
  <c r="D466" i="11"/>
  <c r="H465" i="11"/>
  <c r="F465" i="11"/>
  <c r="E465" i="11"/>
  <c r="D465" i="11"/>
  <c r="G465" i="11" s="1"/>
  <c r="H464" i="11"/>
  <c r="G464" i="11"/>
  <c r="F464" i="11"/>
  <c r="E464" i="11"/>
  <c r="D464" i="11"/>
  <c r="H463" i="11"/>
  <c r="G463" i="11"/>
  <c r="E463" i="11"/>
  <c r="D463" i="11"/>
  <c r="F463" i="11" s="1"/>
  <c r="H462" i="11"/>
  <c r="G462" i="11"/>
  <c r="D462" i="11"/>
  <c r="H461" i="11"/>
  <c r="F461" i="11"/>
  <c r="E461" i="11"/>
  <c r="D461" i="11"/>
  <c r="G461" i="11" s="1"/>
  <c r="H460" i="11"/>
  <c r="F460" i="11"/>
  <c r="D460" i="11"/>
  <c r="H459" i="11"/>
  <c r="G459" i="11"/>
  <c r="F459" i="11"/>
  <c r="D459" i="11"/>
  <c r="E459" i="11" s="1"/>
  <c r="H458" i="11"/>
  <c r="F458" i="11"/>
  <c r="E458" i="11"/>
  <c r="D458" i="11"/>
  <c r="G458" i="11" s="1"/>
  <c r="H457" i="11"/>
  <c r="F457" i="11"/>
  <c r="E457" i="11"/>
  <c r="D457" i="11"/>
  <c r="G457" i="11" s="1"/>
  <c r="H456" i="11"/>
  <c r="G456" i="11"/>
  <c r="F456" i="11"/>
  <c r="E456" i="11"/>
  <c r="D456" i="11"/>
  <c r="H455" i="11"/>
  <c r="G455" i="11"/>
  <c r="E455" i="11"/>
  <c r="D455" i="11"/>
  <c r="F455" i="11" s="1"/>
  <c r="H454" i="11"/>
  <c r="G454" i="11"/>
  <c r="D454" i="11"/>
  <c r="H453" i="11"/>
  <c r="F453" i="11"/>
  <c r="E453" i="11"/>
  <c r="D453" i="11"/>
  <c r="G453" i="11" s="1"/>
  <c r="H452" i="11"/>
  <c r="F452" i="11"/>
  <c r="D452" i="11"/>
  <c r="H451" i="11"/>
  <c r="G451" i="11"/>
  <c r="F451" i="11"/>
  <c r="D451" i="11"/>
  <c r="E451" i="11" s="1"/>
  <c r="H450" i="11"/>
  <c r="F450" i="11"/>
  <c r="E450" i="11"/>
  <c r="D450" i="11"/>
  <c r="G450" i="11" s="1"/>
  <c r="H449" i="11"/>
  <c r="F449" i="11"/>
  <c r="E449" i="11"/>
  <c r="D449" i="11"/>
  <c r="G449" i="11" s="1"/>
  <c r="H448" i="11"/>
  <c r="G448" i="11"/>
  <c r="F448" i="11"/>
  <c r="E448" i="11"/>
  <c r="D448" i="11"/>
  <c r="H447" i="11"/>
  <c r="G447" i="11"/>
  <c r="E447" i="11"/>
  <c r="D447" i="11"/>
  <c r="F447" i="11" s="1"/>
  <c r="H446" i="11"/>
  <c r="G446" i="11"/>
  <c r="D446" i="11"/>
  <c r="H445" i="11"/>
  <c r="F445" i="11"/>
  <c r="E445" i="11"/>
  <c r="D445" i="11"/>
  <c r="G445" i="11" s="1"/>
  <c r="H444" i="11"/>
  <c r="F444" i="11"/>
  <c r="D444" i="11"/>
  <c r="H443" i="11"/>
  <c r="G443" i="11"/>
  <c r="F443" i="11"/>
  <c r="D443" i="11"/>
  <c r="E443" i="11" s="1"/>
  <c r="H442" i="11"/>
  <c r="F442" i="11"/>
  <c r="E442" i="11"/>
  <c r="D442" i="11"/>
  <c r="G442" i="11" s="1"/>
  <c r="H441" i="11"/>
  <c r="F441" i="11"/>
  <c r="E441" i="11"/>
  <c r="D441" i="11"/>
  <c r="G441" i="11" s="1"/>
  <c r="H440" i="11"/>
  <c r="G440" i="11"/>
  <c r="F440" i="11"/>
  <c r="E440" i="11"/>
  <c r="D440" i="11"/>
  <c r="H439" i="11"/>
  <c r="G439" i="11"/>
  <c r="E439" i="11"/>
  <c r="D439" i="11"/>
  <c r="F439" i="11" s="1"/>
  <c r="H438" i="11"/>
  <c r="G438" i="11"/>
  <c r="D438" i="11"/>
  <c r="H437" i="11"/>
  <c r="F437" i="11"/>
  <c r="E437" i="11"/>
  <c r="D437" i="11"/>
  <c r="G437" i="11" s="1"/>
  <c r="H436" i="11"/>
  <c r="F436" i="11"/>
  <c r="D436" i="11"/>
  <c r="H435" i="11"/>
  <c r="G435" i="11"/>
  <c r="F435" i="11"/>
  <c r="D435" i="11"/>
  <c r="E435" i="11" s="1"/>
  <c r="H434" i="11"/>
  <c r="F434" i="11"/>
  <c r="E434" i="11"/>
  <c r="D434" i="11"/>
  <c r="G434" i="11" s="1"/>
  <c r="H433" i="11"/>
  <c r="F433" i="11"/>
  <c r="E433" i="11"/>
  <c r="D433" i="11"/>
  <c r="G433" i="11" s="1"/>
  <c r="H432" i="11"/>
  <c r="G432" i="11"/>
  <c r="F432" i="11"/>
  <c r="E432" i="11"/>
  <c r="D432" i="11"/>
  <c r="H431" i="11"/>
  <c r="G431" i="11"/>
  <c r="E431" i="11"/>
  <c r="D431" i="11"/>
  <c r="F431" i="11" s="1"/>
  <c r="H430" i="11"/>
  <c r="D430" i="11"/>
  <c r="H429" i="11"/>
  <c r="F429" i="11"/>
  <c r="E429" i="11"/>
  <c r="D429" i="11"/>
  <c r="G429" i="11" s="1"/>
  <c r="H428" i="11"/>
  <c r="D428" i="11"/>
  <c r="H427" i="11"/>
  <c r="G427" i="11"/>
  <c r="F427" i="11"/>
  <c r="D427" i="11"/>
  <c r="E427" i="11" s="1"/>
  <c r="H426" i="11"/>
  <c r="F426" i="11"/>
  <c r="D426" i="11"/>
  <c r="G426" i="11" s="1"/>
  <c r="H425" i="11"/>
  <c r="F425" i="11"/>
  <c r="E425" i="11"/>
  <c r="D425" i="11"/>
  <c r="G425" i="11" s="1"/>
  <c r="H424" i="11"/>
  <c r="G424" i="11"/>
  <c r="F424" i="11"/>
  <c r="E424" i="11"/>
  <c r="D424" i="11"/>
  <c r="H423" i="11"/>
  <c r="G423" i="11"/>
  <c r="E423" i="11"/>
  <c r="D423" i="11"/>
  <c r="F423" i="11" s="1"/>
  <c r="H422" i="11"/>
  <c r="D422" i="11"/>
  <c r="H421" i="11"/>
  <c r="F421" i="11"/>
  <c r="E421" i="11"/>
  <c r="D421" i="11"/>
  <c r="G421" i="11" s="1"/>
  <c r="H420" i="11"/>
  <c r="D420" i="11"/>
  <c r="H419" i="11"/>
  <c r="G419" i="11"/>
  <c r="F419" i="11"/>
  <c r="D419" i="11"/>
  <c r="E419" i="11" s="1"/>
  <c r="H418" i="11"/>
  <c r="F418" i="11"/>
  <c r="D418" i="11"/>
  <c r="G418" i="11" s="1"/>
  <c r="H417" i="11"/>
  <c r="F417" i="11"/>
  <c r="E417" i="11"/>
  <c r="D417" i="11"/>
  <c r="G417" i="11" s="1"/>
  <c r="H416" i="11"/>
  <c r="G416" i="11"/>
  <c r="F416" i="11"/>
  <c r="E416" i="11"/>
  <c r="D416" i="11"/>
  <c r="H415" i="11"/>
  <c r="G415" i="11"/>
  <c r="E415" i="11"/>
  <c r="D415" i="11"/>
  <c r="F415" i="11" s="1"/>
  <c r="H414" i="11"/>
  <c r="D414" i="11"/>
  <c r="H413" i="11"/>
  <c r="F413" i="11"/>
  <c r="E413" i="11"/>
  <c r="D413" i="11"/>
  <c r="G413" i="11" s="1"/>
  <c r="H412" i="11"/>
  <c r="D412" i="11"/>
  <c r="H411" i="11"/>
  <c r="G411" i="11"/>
  <c r="F411" i="11"/>
  <c r="D411" i="11"/>
  <c r="E411" i="11" s="1"/>
  <c r="H410" i="11"/>
  <c r="F410" i="11"/>
  <c r="D410" i="11"/>
  <c r="G410" i="11" s="1"/>
  <c r="H409" i="11"/>
  <c r="F409" i="11"/>
  <c r="E409" i="11"/>
  <c r="D409" i="11"/>
  <c r="G409" i="11" s="1"/>
  <c r="H408" i="11"/>
  <c r="G408" i="11"/>
  <c r="F408" i="11"/>
  <c r="E408" i="11"/>
  <c r="D408" i="11"/>
  <c r="H407" i="11"/>
  <c r="G407" i="11"/>
  <c r="E407" i="11"/>
  <c r="D407" i="11"/>
  <c r="F407" i="11" s="1"/>
  <c r="H406" i="11"/>
  <c r="D406" i="11"/>
  <c r="H405" i="11"/>
  <c r="F405" i="11"/>
  <c r="E405" i="11"/>
  <c r="D405" i="11"/>
  <c r="G405" i="11" s="1"/>
  <c r="H404" i="11"/>
  <c r="D404" i="11"/>
  <c r="H403" i="11"/>
  <c r="G403" i="11"/>
  <c r="F403" i="11"/>
  <c r="D403" i="11"/>
  <c r="E403" i="11" s="1"/>
  <c r="H402" i="11"/>
  <c r="F402" i="11"/>
  <c r="D402" i="11"/>
  <c r="G402" i="11" s="1"/>
  <c r="H401" i="11"/>
  <c r="F401" i="11"/>
  <c r="E401" i="11"/>
  <c r="D401" i="11"/>
  <c r="G401" i="11" s="1"/>
  <c r="H400" i="11"/>
  <c r="G400" i="11"/>
  <c r="F400" i="11"/>
  <c r="E400" i="11"/>
  <c r="D400" i="11"/>
  <c r="H399" i="11"/>
  <c r="G399" i="11"/>
  <c r="E399" i="11"/>
  <c r="D399" i="11"/>
  <c r="F399" i="11" s="1"/>
  <c r="H398" i="11"/>
  <c r="D398" i="11"/>
  <c r="H397" i="11"/>
  <c r="F397" i="11"/>
  <c r="E397" i="11"/>
  <c r="D397" i="11"/>
  <c r="G397" i="11" s="1"/>
  <c r="H396" i="11"/>
  <c r="D396" i="11"/>
  <c r="H395" i="11"/>
  <c r="G395" i="11"/>
  <c r="F395" i="11"/>
  <c r="D395" i="11"/>
  <c r="E395" i="11" s="1"/>
  <c r="H394" i="11"/>
  <c r="G394" i="11"/>
  <c r="D394" i="11"/>
  <c r="F394" i="11" s="1"/>
  <c r="H393" i="11"/>
  <c r="D393" i="11"/>
  <c r="H392" i="11"/>
  <c r="G392" i="11"/>
  <c r="F392" i="11"/>
  <c r="E392" i="11"/>
  <c r="D392" i="11"/>
  <c r="H391" i="11"/>
  <c r="F391" i="11"/>
  <c r="D391" i="11"/>
  <c r="H390" i="11"/>
  <c r="D390" i="11"/>
  <c r="H389" i="11"/>
  <c r="G389" i="11"/>
  <c r="F389" i="11"/>
  <c r="D389" i="11"/>
  <c r="E389" i="11" s="1"/>
  <c r="H388" i="11"/>
  <c r="F388" i="11"/>
  <c r="E388" i="11"/>
  <c r="D388" i="11"/>
  <c r="G388" i="11" s="1"/>
  <c r="H387" i="11"/>
  <c r="G387" i="11"/>
  <c r="F387" i="11"/>
  <c r="D387" i="11"/>
  <c r="E387" i="11" s="1"/>
  <c r="H386" i="11"/>
  <c r="D386" i="11"/>
  <c r="H385" i="11"/>
  <c r="D385" i="11"/>
  <c r="H384" i="11"/>
  <c r="G384" i="11"/>
  <c r="F384" i="11"/>
  <c r="E384" i="11"/>
  <c r="D384" i="11"/>
  <c r="H383" i="11"/>
  <c r="F383" i="11"/>
  <c r="D383" i="11"/>
  <c r="E383" i="11" s="1"/>
  <c r="H382" i="11"/>
  <c r="D382" i="11"/>
  <c r="H381" i="11"/>
  <c r="F381" i="11"/>
  <c r="D381" i="11"/>
  <c r="E381" i="11" s="1"/>
  <c r="H380" i="11"/>
  <c r="D380" i="11"/>
  <c r="H379" i="11"/>
  <c r="G379" i="11"/>
  <c r="F379" i="11"/>
  <c r="D379" i="11"/>
  <c r="E379" i="11" s="1"/>
  <c r="H378" i="11"/>
  <c r="F378" i="11"/>
  <c r="E378" i="11"/>
  <c r="D378" i="11"/>
  <c r="G378" i="11" s="1"/>
  <c r="H377" i="11"/>
  <c r="D377" i="11"/>
  <c r="H376" i="11"/>
  <c r="G376" i="11"/>
  <c r="F376" i="11"/>
  <c r="E376" i="11"/>
  <c r="D376" i="11"/>
  <c r="H375" i="11"/>
  <c r="G375" i="11"/>
  <c r="F375" i="11"/>
  <c r="E375" i="11"/>
  <c r="D375" i="11"/>
  <c r="H374" i="11"/>
  <c r="G374" i="11"/>
  <c r="D374" i="11"/>
  <c r="H373" i="11"/>
  <c r="G373" i="11"/>
  <c r="F373" i="11"/>
  <c r="E373" i="11"/>
  <c r="D373" i="11"/>
  <c r="H372" i="11"/>
  <c r="F372" i="11"/>
  <c r="D372" i="11"/>
  <c r="H371" i="11"/>
  <c r="G371" i="11"/>
  <c r="F371" i="11"/>
  <c r="D371" i="11"/>
  <c r="E371" i="11" s="1"/>
  <c r="H370" i="11"/>
  <c r="G370" i="11"/>
  <c r="E370" i="11"/>
  <c r="D370" i="11"/>
  <c r="F370" i="11" s="1"/>
  <c r="H369" i="11"/>
  <c r="D369" i="11"/>
  <c r="H368" i="11"/>
  <c r="G368" i="11"/>
  <c r="F368" i="11"/>
  <c r="E368" i="11"/>
  <c r="D368" i="11"/>
  <c r="H367" i="11"/>
  <c r="F367" i="11"/>
  <c r="E367" i="11"/>
  <c r="D367" i="11"/>
  <c r="G367" i="11" s="1"/>
  <c r="H366" i="11"/>
  <c r="D366" i="11"/>
  <c r="F366" i="11" s="1"/>
  <c r="H365" i="11"/>
  <c r="G365" i="11"/>
  <c r="D365" i="11"/>
  <c r="E365" i="11" s="1"/>
  <c r="H364" i="11"/>
  <c r="D364" i="11"/>
  <c r="H363" i="11"/>
  <c r="F363" i="11"/>
  <c r="D363" i="11"/>
  <c r="E363" i="11" s="1"/>
  <c r="H362" i="11"/>
  <c r="D362" i="11"/>
  <c r="H361" i="11"/>
  <c r="F361" i="11"/>
  <c r="D361" i="11"/>
  <c r="G361" i="11" s="1"/>
  <c r="H360" i="11"/>
  <c r="G360" i="11"/>
  <c r="F360" i="11"/>
  <c r="E360" i="11"/>
  <c r="D360" i="11"/>
  <c r="H359" i="11"/>
  <c r="G359" i="11"/>
  <c r="F359" i="11"/>
  <c r="E359" i="11"/>
  <c r="D359" i="11"/>
  <c r="H358" i="11"/>
  <c r="D358" i="11"/>
  <c r="H357" i="11"/>
  <c r="F357" i="11"/>
  <c r="D357" i="11"/>
  <c r="H356" i="11"/>
  <c r="F356" i="11"/>
  <c r="D356" i="11"/>
  <c r="E356" i="11" s="1"/>
  <c r="H355" i="11"/>
  <c r="D355" i="11"/>
  <c r="H354" i="11"/>
  <c r="G354" i="11"/>
  <c r="D354" i="11"/>
  <c r="H353" i="11"/>
  <c r="G353" i="11"/>
  <c r="D353" i="11"/>
  <c r="E353" i="11" s="1"/>
  <c r="H352" i="11"/>
  <c r="F352" i="11"/>
  <c r="D352" i="11"/>
  <c r="H351" i="11"/>
  <c r="F351" i="11"/>
  <c r="D351" i="11"/>
  <c r="E351" i="11" s="1"/>
  <c r="H350" i="11"/>
  <c r="F350" i="11"/>
  <c r="E350" i="11"/>
  <c r="D350" i="11"/>
  <c r="G350" i="11" s="1"/>
  <c r="H349" i="11"/>
  <c r="G349" i="11"/>
  <c r="F349" i="11"/>
  <c r="E349" i="11"/>
  <c r="D349" i="11"/>
  <c r="H348" i="11"/>
  <c r="G348" i="11"/>
  <c r="E348" i="11"/>
  <c r="D348" i="11"/>
  <c r="F348" i="11" s="1"/>
  <c r="H347" i="11"/>
  <c r="G347" i="11"/>
  <c r="E347" i="11"/>
  <c r="D347" i="11"/>
  <c r="F347" i="11" s="1"/>
  <c r="H346" i="11"/>
  <c r="D346" i="11"/>
  <c r="H345" i="11"/>
  <c r="F345" i="11"/>
  <c r="D345" i="11"/>
  <c r="H344" i="11"/>
  <c r="D344" i="11"/>
  <c r="H343" i="11"/>
  <c r="F343" i="11"/>
  <c r="D343" i="11"/>
  <c r="E343" i="11" s="1"/>
  <c r="H342" i="11"/>
  <c r="F342" i="11"/>
  <c r="E342" i="11"/>
  <c r="D342" i="11"/>
  <c r="G342" i="11" s="1"/>
  <c r="H341" i="11"/>
  <c r="G341" i="11"/>
  <c r="F341" i="11"/>
  <c r="E341" i="11"/>
  <c r="D341" i="11"/>
  <c r="H340" i="11"/>
  <c r="G340" i="11"/>
  <c r="E340" i="11"/>
  <c r="D340" i="11"/>
  <c r="F340" i="11" s="1"/>
  <c r="H339" i="11"/>
  <c r="D339" i="11"/>
  <c r="H338" i="11"/>
  <c r="D338" i="11"/>
  <c r="H337" i="11"/>
  <c r="G337" i="11"/>
  <c r="F337" i="11"/>
  <c r="D337" i="11"/>
  <c r="E337" i="11" s="1"/>
  <c r="H336" i="11"/>
  <c r="F336" i="11"/>
  <c r="D336" i="11"/>
  <c r="H335" i="11"/>
  <c r="F335" i="11"/>
  <c r="D335" i="11"/>
  <c r="E335" i="11" s="1"/>
  <c r="H334" i="11"/>
  <c r="F334" i="11"/>
  <c r="E334" i="11"/>
  <c r="D334" i="11"/>
  <c r="G334" i="11" s="1"/>
  <c r="H333" i="11"/>
  <c r="G333" i="11"/>
  <c r="F333" i="11"/>
  <c r="E333" i="11"/>
  <c r="D333" i="11"/>
  <c r="H332" i="11"/>
  <c r="G332" i="11"/>
  <c r="E332" i="11"/>
  <c r="D332" i="11"/>
  <c r="F332" i="11" s="1"/>
  <c r="H331" i="11"/>
  <c r="E331" i="11"/>
  <c r="D331" i="11"/>
  <c r="F331" i="11" s="1"/>
  <c r="H330" i="11"/>
  <c r="D330" i="11"/>
  <c r="G330" i="11" s="1"/>
  <c r="H329" i="11"/>
  <c r="D329" i="11"/>
  <c r="H328" i="11"/>
  <c r="D328" i="11"/>
  <c r="H327" i="11"/>
  <c r="F327" i="11"/>
  <c r="D327" i="11"/>
  <c r="E327" i="11" s="1"/>
  <c r="H326" i="11"/>
  <c r="F326" i="11"/>
  <c r="E326" i="11"/>
  <c r="D326" i="11"/>
  <c r="G326" i="11" s="1"/>
  <c r="H325" i="11"/>
  <c r="G325" i="11"/>
  <c r="F325" i="11"/>
  <c r="E325" i="11"/>
  <c r="D325" i="11"/>
  <c r="H324" i="11"/>
  <c r="G324" i="11"/>
  <c r="E324" i="11"/>
  <c r="D324" i="11"/>
  <c r="F324" i="11" s="1"/>
  <c r="H323" i="11"/>
  <c r="D323" i="11"/>
  <c r="F323" i="11" s="1"/>
  <c r="H322" i="11"/>
  <c r="G322" i="11"/>
  <c r="D322" i="11"/>
  <c r="H321" i="11"/>
  <c r="G321" i="11"/>
  <c r="D321" i="11"/>
  <c r="E321" i="11" s="1"/>
  <c r="H320" i="11"/>
  <c r="D320" i="11"/>
  <c r="H319" i="11"/>
  <c r="F319" i="11"/>
  <c r="D319" i="11"/>
  <c r="E319" i="11" s="1"/>
  <c r="H318" i="11"/>
  <c r="F318" i="11"/>
  <c r="E318" i="11"/>
  <c r="D318" i="11"/>
  <c r="G318" i="11" s="1"/>
  <c r="H317" i="11"/>
  <c r="G317" i="11"/>
  <c r="F317" i="11"/>
  <c r="E317" i="11"/>
  <c r="D317" i="11"/>
  <c r="H316" i="11"/>
  <c r="G316" i="11"/>
  <c r="E316" i="11"/>
  <c r="D316" i="11"/>
  <c r="F316" i="11" s="1"/>
  <c r="H315" i="11"/>
  <c r="G315" i="11"/>
  <c r="E315" i="11"/>
  <c r="D315" i="11"/>
  <c r="F315" i="11" s="1"/>
  <c r="H314" i="11"/>
  <c r="D314" i="11"/>
  <c r="H313" i="11"/>
  <c r="D313" i="11"/>
  <c r="F313" i="11" s="1"/>
  <c r="H312" i="11"/>
  <c r="D312" i="11"/>
  <c r="H311" i="11"/>
  <c r="F311" i="11"/>
  <c r="D311" i="11"/>
  <c r="E311" i="11" s="1"/>
  <c r="H310" i="11"/>
  <c r="F310" i="11"/>
  <c r="E310" i="11"/>
  <c r="D310" i="11"/>
  <c r="G310" i="11" s="1"/>
  <c r="H309" i="11"/>
  <c r="G309" i="11"/>
  <c r="F309" i="11"/>
  <c r="E309" i="11"/>
  <c r="D309" i="11"/>
  <c r="H308" i="11"/>
  <c r="G308" i="11"/>
  <c r="E308" i="11"/>
  <c r="D308" i="11"/>
  <c r="F308" i="11" s="1"/>
  <c r="H307" i="11"/>
  <c r="G307" i="11"/>
  <c r="D307" i="11"/>
  <c r="H306" i="11"/>
  <c r="D306" i="11"/>
  <c r="H305" i="11"/>
  <c r="G305" i="11"/>
  <c r="F305" i="11"/>
  <c r="D305" i="11"/>
  <c r="E305" i="11" s="1"/>
  <c r="H304" i="11"/>
  <c r="F304" i="11"/>
  <c r="D304" i="11"/>
  <c r="H303" i="11"/>
  <c r="F303" i="11"/>
  <c r="D303" i="11"/>
  <c r="E303" i="11" s="1"/>
  <c r="H302" i="11"/>
  <c r="F302" i="11"/>
  <c r="E302" i="11"/>
  <c r="D302" i="11"/>
  <c r="G302" i="11" s="1"/>
  <c r="H301" i="11"/>
  <c r="G301" i="11"/>
  <c r="F301" i="11"/>
  <c r="E301" i="11"/>
  <c r="D301" i="11"/>
  <c r="H300" i="11"/>
  <c r="G300" i="11"/>
  <c r="E300" i="11"/>
  <c r="D300" i="11"/>
  <c r="F300" i="11" s="1"/>
  <c r="H299" i="11"/>
  <c r="E299" i="11"/>
  <c r="D299" i="11"/>
  <c r="H298" i="11"/>
  <c r="D298" i="11"/>
  <c r="H297" i="11"/>
  <c r="D297" i="11"/>
  <c r="H296" i="11"/>
  <c r="D296" i="11"/>
  <c r="H295" i="11"/>
  <c r="F295" i="11"/>
  <c r="D295" i="11"/>
  <c r="E295" i="11" s="1"/>
  <c r="H294" i="11"/>
  <c r="F294" i="11"/>
  <c r="E294" i="11"/>
  <c r="D294" i="11"/>
  <c r="G294" i="11" s="1"/>
  <c r="H293" i="11"/>
  <c r="G293" i="11"/>
  <c r="F293" i="11"/>
  <c r="E293" i="11"/>
  <c r="D293" i="11"/>
  <c r="H292" i="11"/>
  <c r="G292" i="11"/>
  <c r="E292" i="11"/>
  <c r="D292" i="11"/>
  <c r="F292" i="11" s="1"/>
  <c r="H291" i="11"/>
  <c r="D291" i="11"/>
  <c r="F291" i="11" s="1"/>
  <c r="H290" i="11"/>
  <c r="G290" i="11"/>
  <c r="D290" i="11"/>
  <c r="H289" i="11"/>
  <c r="G289" i="11"/>
  <c r="D289" i="11"/>
  <c r="E289" i="11" s="1"/>
  <c r="H288" i="11"/>
  <c r="D288" i="11"/>
  <c r="H287" i="11"/>
  <c r="F287" i="11"/>
  <c r="D287" i="11"/>
  <c r="E287" i="11" s="1"/>
  <c r="H286" i="11"/>
  <c r="F286" i="11"/>
  <c r="E286" i="11"/>
  <c r="D286" i="11"/>
  <c r="G286" i="11" s="1"/>
  <c r="H285" i="11"/>
  <c r="G285" i="11"/>
  <c r="F285" i="11"/>
  <c r="E285" i="11"/>
  <c r="D285" i="11"/>
  <c r="H284" i="11"/>
  <c r="G284" i="11"/>
  <c r="E284" i="11"/>
  <c r="D284" i="11"/>
  <c r="F284" i="11" s="1"/>
  <c r="H283" i="11"/>
  <c r="G283" i="11"/>
  <c r="E283" i="11"/>
  <c r="D283" i="11"/>
  <c r="F283" i="11" s="1"/>
  <c r="H282" i="11"/>
  <c r="D282" i="11"/>
  <c r="H281" i="11"/>
  <c r="D281" i="11"/>
  <c r="H280" i="11"/>
  <c r="D280" i="11"/>
  <c r="H279" i="11"/>
  <c r="F279" i="11"/>
  <c r="D279" i="11"/>
  <c r="E279" i="11" s="1"/>
  <c r="H278" i="11"/>
  <c r="F278" i="11"/>
  <c r="E278" i="11"/>
  <c r="D278" i="11"/>
  <c r="G278" i="11" s="1"/>
  <c r="H277" i="11"/>
  <c r="G277" i="11"/>
  <c r="F277" i="11"/>
  <c r="E277" i="11"/>
  <c r="D277" i="11"/>
  <c r="H276" i="11"/>
  <c r="G276" i="11"/>
  <c r="E276" i="11"/>
  <c r="D276" i="11"/>
  <c r="F276" i="11" s="1"/>
  <c r="H275" i="11"/>
  <c r="G275" i="11"/>
  <c r="D275" i="11"/>
  <c r="H274" i="11"/>
  <c r="D274" i="11"/>
  <c r="H273" i="11"/>
  <c r="G273" i="11"/>
  <c r="F273" i="11"/>
  <c r="D273" i="11"/>
  <c r="E273" i="11" s="1"/>
  <c r="H272" i="11"/>
  <c r="F272" i="11"/>
  <c r="D272" i="11"/>
  <c r="H271" i="11"/>
  <c r="F271" i="11"/>
  <c r="D271" i="11"/>
  <c r="E271" i="11" s="1"/>
  <c r="H270" i="11"/>
  <c r="F270" i="11"/>
  <c r="E270" i="11"/>
  <c r="D270" i="11"/>
  <c r="G270" i="11" s="1"/>
  <c r="H269" i="11"/>
  <c r="G269" i="11"/>
  <c r="F269" i="11"/>
  <c r="E269" i="11"/>
  <c r="D269" i="11"/>
  <c r="H268" i="11"/>
  <c r="G268" i="11"/>
  <c r="E268" i="11"/>
  <c r="D268" i="11"/>
  <c r="F268" i="11" s="1"/>
  <c r="H267" i="11"/>
  <c r="E267" i="11"/>
  <c r="D267" i="11"/>
  <c r="H266" i="11"/>
  <c r="D266" i="11"/>
  <c r="G266" i="11" s="1"/>
  <c r="H265" i="11"/>
  <c r="D265" i="11"/>
  <c r="H264" i="11"/>
  <c r="D264" i="11"/>
  <c r="H263" i="11"/>
  <c r="F263" i="11"/>
  <c r="E263" i="11"/>
  <c r="D263" i="11"/>
  <c r="G263" i="11" s="1"/>
  <c r="H262" i="11"/>
  <c r="F262" i="11"/>
  <c r="E262" i="11"/>
  <c r="D262" i="11"/>
  <c r="G262" i="11" s="1"/>
  <c r="H261" i="11"/>
  <c r="G261" i="11"/>
  <c r="F261" i="11"/>
  <c r="E261" i="11"/>
  <c r="D261" i="11"/>
  <c r="H260" i="11"/>
  <c r="G260" i="11"/>
  <c r="E260" i="11"/>
  <c r="D260" i="11"/>
  <c r="F260" i="11" s="1"/>
  <c r="H259" i="11"/>
  <c r="D259" i="11"/>
  <c r="H258" i="11"/>
  <c r="D258" i="11"/>
  <c r="H257" i="11"/>
  <c r="D257" i="11"/>
  <c r="E257" i="11" s="1"/>
  <c r="H256" i="11"/>
  <c r="F256" i="11"/>
  <c r="D256" i="11"/>
  <c r="H255" i="11"/>
  <c r="F255" i="11"/>
  <c r="E255" i="11"/>
  <c r="D255" i="11"/>
  <c r="G255" i="11" s="1"/>
  <c r="H254" i="11"/>
  <c r="F254" i="11"/>
  <c r="E254" i="11"/>
  <c r="D254" i="11"/>
  <c r="G254" i="11" s="1"/>
  <c r="H253" i="11"/>
  <c r="G253" i="11"/>
  <c r="E253" i="11"/>
  <c r="D253" i="11"/>
  <c r="F253" i="11" s="1"/>
  <c r="H252" i="11"/>
  <c r="G252" i="11"/>
  <c r="E252" i="11"/>
  <c r="D252" i="11"/>
  <c r="F252" i="11" s="1"/>
  <c r="H251" i="11"/>
  <c r="G251" i="11"/>
  <c r="D251" i="11"/>
  <c r="F251" i="11" s="1"/>
  <c r="H250" i="11"/>
  <c r="D250" i="11"/>
  <c r="H249" i="11"/>
  <c r="D249" i="11"/>
  <c r="E249" i="11" s="1"/>
  <c r="H248" i="11"/>
  <c r="F248" i="11"/>
  <c r="D248" i="11"/>
  <c r="H247" i="11"/>
  <c r="F247" i="11"/>
  <c r="E247" i="11"/>
  <c r="D247" i="11"/>
  <c r="G247" i="11" s="1"/>
  <c r="H246" i="11"/>
  <c r="G246" i="11"/>
  <c r="F246" i="11"/>
  <c r="E246" i="11"/>
  <c r="D246" i="11"/>
  <c r="H245" i="11"/>
  <c r="D245" i="11"/>
  <c r="H244" i="11"/>
  <c r="D244" i="11"/>
  <c r="H243" i="11"/>
  <c r="E243" i="11"/>
  <c r="D243" i="11"/>
  <c r="H242" i="11"/>
  <c r="G242" i="11"/>
  <c r="F242" i="11"/>
  <c r="D242" i="11"/>
  <c r="E242" i="11" s="1"/>
  <c r="H241" i="11"/>
  <c r="F241" i="11"/>
  <c r="D241" i="11"/>
  <c r="H240" i="11"/>
  <c r="G240" i="11"/>
  <c r="F240" i="11"/>
  <c r="D240" i="11"/>
  <c r="E240" i="11" s="1"/>
  <c r="H239" i="11"/>
  <c r="F239" i="11"/>
  <c r="E239" i="11"/>
  <c r="D239" i="11"/>
  <c r="G239" i="11" s="1"/>
  <c r="H238" i="11"/>
  <c r="G238" i="11"/>
  <c r="F238" i="11"/>
  <c r="E238" i="11"/>
  <c r="D238" i="11"/>
  <c r="H237" i="11"/>
  <c r="G237" i="11"/>
  <c r="E237" i="11"/>
  <c r="D237" i="11"/>
  <c r="F237" i="11" s="1"/>
  <c r="H236" i="11"/>
  <c r="D236" i="11"/>
  <c r="H235" i="11"/>
  <c r="G235" i="11"/>
  <c r="F235" i="11"/>
  <c r="E235" i="11"/>
  <c r="D235" i="11"/>
  <c r="H234" i="11"/>
  <c r="F234" i="11"/>
  <c r="E234" i="11"/>
  <c r="D234" i="11"/>
  <c r="G234" i="11" s="1"/>
  <c r="H233" i="11"/>
  <c r="G233" i="11"/>
  <c r="D233" i="11"/>
  <c r="E233" i="11" s="1"/>
  <c r="H232" i="11"/>
  <c r="D232" i="11"/>
  <c r="E232" i="11" s="1"/>
  <c r="H231" i="11"/>
  <c r="D231" i="11"/>
  <c r="G231" i="11" s="1"/>
  <c r="H230" i="11"/>
  <c r="G230" i="11"/>
  <c r="F230" i="11"/>
  <c r="E230" i="11"/>
  <c r="D230" i="11"/>
  <c r="H229" i="11"/>
  <c r="E229" i="11"/>
  <c r="D229" i="11"/>
  <c r="H228" i="11"/>
  <c r="G228" i="11"/>
  <c r="E228" i="11"/>
  <c r="D228" i="11"/>
  <c r="F228" i="11" s="1"/>
  <c r="H227" i="11"/>
  <c r="F227" i="11"/>
  <c r="E227" i="11"/>
  <c r="D227" i="11"/>
  <c r="G227" i="11" s="1"/>
  <c r="H226" i="11"/>
  <c r="G226" i="11"/>
  <c r="D226" i="11"/>
  <c r="F226" i="11" s="1"/>
  <c r="H225" i="11"/>
  <c r="D225" i="11"/>
  <c r="H224" i="11"/>
  <c r="D224" i="11"/>
  <c r="H223" i="11"/>
  <c r="E223" i="11"/>
  <c r="D223" i="11"/>
  <c r="H222" i="11"/>
  <c r="G222" i="11"/>
  <c r="F222" i="11"/>
  <c r="E222" i="11"/>
  <c r="D222" i="11"/>
  <c r="H221" i="11"/>
  <c r="G221" i="11"/>
  <c r="F221" i="11"/>
  <c r="D221" i="11"/>
  <c r="E221" i="11" s="1"/>
  <c r="H220" i="11"/>
  <c r="G220" i="11"/>
  <c r="E220" i="11"/>
  <c r="D220" i="11"/>
  <c r="F220" i="11" s="1"/>
  <c r="H219" i="11"/>
  <c r="G219" i="11"/>
  <c r="D219" i="11"/>
  <c r="F219" i="11" s="1"/>
  <c r="H218" i="11"/>
  <c r="E218" i="11"/>
  <c r="D218" i="11"/>
  <c r="F218" i="11" s="1"/>
  <c r="H217" i="11"/>
  <c r="D217" i="11"/>
  <c r="H216" i="11"/>
  <c r="G216" i="11"/>
  <c r="F216" i="11"/>
  <c r="E216" i="11"/>
  <c r="D216" i="11"/>
  <c r="H215" i="11"/>
  <c r="D215" i="11"/>
  <c r="H214" i="11"/>
  <c r="G214" i="11"/>
  <c r="F214" i="11"/>
  <c r="E214" i="11"/>
  <c r="D214" i="11"/>
  <c r="H213" i="11"/>
  <c r="D213" i="11"/>
  <c r="E213" i="11" s="1"/>
  <c r="H212" i="11"/>
  <c r="D212" i="11"/>
  <c r="F212" i="11" s="1"/>
  <c r="H211" i="11"/>
  <c r="G211" i="11"/>
  <c r="E211" i="11"/>
  <c r="D211" i="11"/>
  <c r="F211" i="11" s="1"/>
  <c r="H210" i="11"/>
  <c r="E210" i="11"/>
  <c r="D210" i="11"/>
  <c r="H209" i="11"/>
  <c r="G209" i="11"/>
  <c r="F209" i="11"/>
  <c r="D209" i="11"/>
  <c r="E209" i="11" s="1"/>
  <c r="H208" i="11"/>
  <c r="F208" i="11"/>
  <c r="E208" i="11"/>
  <c r="D208" i="11"/>
  <c r="G208" i="11" s="1"/>
  <c r="H207" i="11"/>
  <c r="F207" i="11"/>
  <c r="D207" i="11"/>
  <c r="G207" i="11" s="1"/>
  <c r="H206" i="11"/>
  <c r="G206" i="11"/>
  <c r="F206" i="11"/>
  <c r="E206" i="11"/>
  <c r="D206" i="11"/>
  <c r="H205" i="11"/>
  <c r="D205" i="11"/>
  <c r="H204" i="11"/>
  <c r="D204" i="11"/>
  <c r="F204" i="11" s="1"/>
  <c r="H203" i="11"/>
  <c r="E203" i="11"/>
  <c r="D203" i="11"/>
  <c r="H202" i="11"/>
  <c r="G202" i="11"/>
  <c r="F202" i="11"/>
  <c r="D202" i="11"/>
  <c r="E202" i="11" s="1"/>
  <c r="H201" i="11"/>
  <c r="G201" i="11"/>
  <c r="F201" i="11"/>
  <c r="D201" i="11"/>
  <c r="E201" i="11" s="1"/>
  <c r="H200" i="11"/>
  <c r="G200" i="11"/>
  <c r="D200" i="11"/>
  <c r="F200" i="11" s="1"/>
  <c r="H199" i="11"/>
  <c r="F199" i="11"/>
  <c r="E199" i="11"/>
  <c r="D199" i="11"/>
  <c r="G199" i="11" s="1"/>
  <c r="H198" i="11"/>
  <c r="G198" i="11"/>
  <c r="F198" i="11"/>
  <c r="E198" i="11"/>
  <c r="D198" i="11"/>
  <c r="H197" i="11"/>
  <c r="G197" i="11"/>
  <c r="F197" i="11"/>
  <c r="E197" i="11"/>
  <c r="D197" i="11"/>
  <c r="H196" i="11"/>
  <c r="E196" i="11"/>
  <c r="D196" i="11"/>
  <c r="H195" i="11"/>
  <c r="G195" i="11"/>
  <c r="F195" i="11"/>
  <c r="D195" i="11"/>
  <c r="E195" i="11" s="1"/>
  <c r="H194" i="11"/>
  <c r="D194" i="11"/>
  <c r="G194" i="11" s="1"/>
  <c r="H193" i="11"/>
  <c r="D193" i="11"/>
  <c r="E193" i="11" s="1"/>
  <c r="H192" i="11"/>
  <c r="F192" i="11"/>
  <c r="E192" i="11"/>
  <c r="D192" i="11"/>
  <c r="G192" i="11" s="1"/>
  <c r="H191" i="11"/>
  <c r="D191" i="11"/>
  <c r="H190" i="11"/>
  <c r="G190" i="11"/>
  <c r="F190" i="11"/>
  <c r="E190" i="11"/>
  <c r="D190" i="11"/>
  <c r="H189" i="11"/>
  <c r="F189" i="11"/>
  <c r="E189" i="11"/>
  <c r="D189" i="11"/>
  <c r="G189" i="11" s="1"/>
  <c r="H188" i="11"/>
  <c r="G188" i="11"/>
  <c r="D188" i="11"/>
  <c r="F188" i="11" s="1"/>
  <c r="H187" i="11"/>
  <c r="G187" i="11"/>
  <c r="F187" i="11"/>
  <c r="E187" i="11"/>
  <c r="D187" i="11"/>
  <c r="H186" i="11"/>
  <c r="D186" i="11"/>
  <c r="H185" i="11"/>
  <c r="D185" i="11"/>
  <c r="E185" i="11" s="1"/>
  <c r="H184" i="11"/>
  <c r="E184" i="11"/>
  <c r="D184" i="11"/>
  <c r="H183" i="11"/>
  <c r="F183" i="11"/>
  <c r="E183" i="11"/>
  <c r="D183" i="11"/>
  <c r="G183" i="11" s="1"/>
  <c r="H182" i="11"/>
  <c r="G182" i="11"/>
  <c r="F182" i="11"/>
  <c r="E182" i="11"/>
  <c r="D182" i="11"/>
  <c r="H181" i="11"/>
  <c r="G181" i="11"/>
  <c r="D181" i="11"/>
  <c r="F181" i="11" s="1"/>
  <c r="H180" i="11"/>
  <c r="G180" i="11"/>
  <c r="E180" i="11"/>
  <c r="D180" i="11"/>
  <c r="F180" i="11" s="1"/>
  <c r="H179" i="11"/>
  <c r="D179" i="11"/>
  <c r="H178" i="11"/>
  <c r="G178" i="11"/>
  <c r="F178" i="11"/>
  <c r="E178" i="11"/>
  <c r="D178" i="11"/>
  <c r="H177" i="11"/>
  <c r="D177" i="11"/>
  <c r="F177" i="11" s="1"/>
  <c r="H176" i="11"/>
  <c r="G176" i="11"/>
  <c r="F176" i="11"/>
  <c r="D176" i="11"/>
  <c r="E176" i="11" s="1"/>
  <c r="H175" i="11"/>
  <c r="D175" i="11"/>
  <c r="G175" i="11" s="1"/>
  <c r="H174" i="11"/>
  <c r="G174" i="11"/>
  <c r="F174" i="11"/>
  <c r="E174" i="11"/>
  <c r="D174" i="11"/>
  <c r="H173" i="11"/>
  <c r="F173" i="11"/>
  <c r="E173" i="11"/>
  <c r="D173" i="11"/>
  <c r="G173" i="11" s="1"/>
  <c r="H172" i="11"/>
  <c r="D172" i="11"/>
  <c r="H171" i="11"/>
  <c r="G171" i="11"/>
  <c r="F171" i="11"/>
  <c r="E171" i="11"/>
  <c r="D171" i="11"/>
  <c r="H170" i="11"/>
  <c r="F170" i="11"/>
  <c r="E170" i="11"/>
  <c r="D170" i="11"/>
  <c r="G170" i="11" s="1"/>
  <c r="H169" i="11"/>
  <c r="G169" i="11"/>
  <c r="D169" i="11"/>
  <c r="F169" i="11" s="1"/>
  <c r="H168" i="11"/>
  <c r="G168" i="11"/>
  <c r="F168" i="11"/>
  <c r="E168" i="11"/>
  <c r="D168" i="11"/>
  <c r="H167" i="11"/>
  <c r="D167" i="11"/>
  <c r="E167" i="11" s="1"/>
  <c r="H166" i="11"/>
  <c r="G166" i="11"/>
  <c r="F166" i="11"/>
  <c r="D166" i="11"/>
  <c r="E166" i="11" s="1"/>
  <c r="H165" i="11"/>
  <c r="E165" i="11"/>
  <c r="D165" i="11"/>
  <c r="G165" i="11" s="1"/>
  <c r="H164" i="11"/>
  <c r="D164" i="11"/>
  <c r="H163" i="11"/>
  <c r="G163" i="11"/>
  <c r="F163" i="11"/>
  <c r="E163" i="11"/>
  <c r="D163" i="11"/>
  <c r="H162" i="11"/>
  <c r="D162" i="11"/>
  <c r="G162" i="11" s="1"/>
  <c r="H161" i="11"/>
  <c r="G161" i="11"/>
  <c r="D161" i="11"/>
  <c r="F161" i="11" s="1"/>
  <c r="H160" i="11"/>
  <c r="D160" i="11"/>
  <c r="G160" i="11" s="1"/>
  <c r="H159" i="11"/>
  <c r="E159" i="11"/>
  <c r="D159" i="11"/>
  <c r="H158" i="11"/>
  <c r="G158" i="11"/>
  <c r="F158" i="11"/>
  <c r="D158" i="11"/>
  <c r="E158" i="11" s="1"/>
  <c r="H157" i="11"/>
  <c r="D157" i="11"/>
  <c r="G157" i="11" s="1"/>
  <c r="H156" i="11"/>
  <c r="D156" i="11"/>
  <c r="H155" i="11"/>
  <c r="G155" i="11"/>
  <c r="F155" i="11"/>
  <c r="E155" i="11"/>
  <c r="D155" i="11"/>
  <c r="H154" i="11"/>
  <c r="D154" i="11"/>
  <c r="G154" i="11" s="1"/>
  <c r="H153" i="11"/>
  <c r="G153" i="11"/>
  <c r="D153" i="11"/>
  <c r="F153" i="11" s="1"/>
  <c r="H152" i="11"/>
  <c r="D152" i="11"/>
  <c r="G152" i="11" s="1"/>
  <c r="H151" i="11"/>
  <c r="E151" i="11"/>
  <c r="D151" i="11"/>
  <c r="H150" i="11"/>
  <c r="G150" i="11"/>
  <c r="F150" i="11"/>
  <c r="D150" i="11"/>
  <c r="E150" i="11" s="1"/>
  <c r="H149" i="11"/>
  <c r="G149" i="11"/>
  <c r="F149" i="11"/>
  <c r="E149" i="11"/>
  <c r="D149" i="11"/>
  <c r="H148" i="11"/>
  <c r="D148" i="11"/>
  <c r="H147" i="11"/>
  <c r="G147" i="11"/>
  <c r="F147" i="11"/>
  <c r="E147" i="11"/>
  <c r="D147" i="11"/>
  <c r="H146" i="11"/>
  <c r="F146" i="11"/>
  <c r="E146" i="11"/>
  <c r="D146" i="11"/>
  <c r="G146" i="11" s="1"/>
  <c r="H145" i="11"/>
  <c r="G145" i="11"/>
  <c r="D145" i="11"/>
  <c r="F145" i="11" s="1"/>
  <c r="H144" i="11"/>
  <c r="F144" i="11"/>
  <c r="E144" i="11"/>
  <c r="D144" i="11"/>
  <c r="G144" i="11" s="1"/>
  <c r="H143" i="11"/>
  <c r="E143" i="11"/>
  <c r="D143" i="11"/>
  <c r="H142" i="11"/>
  <c r="G142" i="11"/>
  <c r="F142" i="11"/>
  <c r="D142" i="11"/>
  <c r="E142" i="11" s="1"/>
  <c r="H141" i="11"/>
  <c r="G141" i="11"/>
  <c r="F141" i="11"/>
  <c r="E141" i="11"/>
  <c r="D141" i="11"/>
  <c r="H140" i="11"/>
  <c r="D140" i="11"/>
  <c r="H139" i="11"/>
  <c r="G139" i="11"/>
  <c r="F139" i="11"/>
  <c r="E139" i="11"/>
  <c r="D139" i="11"/>
  <c r="H138" i="11"/>
  <c r="E138" i="11"/>
  <c r="D138" i="11"/>
  <c r="G138" i="11" s="1"/>
  <c r="H137" i="11"/>
  <c r="G137" i="11"/>
  <c r="E137" i="11"/>
  <c r="D137" i="11"/>
  <c r="F137" i="11" s="1"/>
  <c r="H136" i="11"/>
  <c r="F136" i="11"/>
  <c r="E136" i="11"/>
  <c r="D136" i="11"/>
  <c r="G136" i="11" s="1"/>
  <c r="H135" i="11"/>
  <c r="E135" i="11"/>
  <c r="D135" i="11"/>
  <c r="H134" i="11"/>
  <c r="G134" i="11"/>
  <c r="F134" i="11"/>
  <c r="D134" i="11"/>
  <c r="E134" i="11" s="1"/>
  <c r="H133" i="11"/>
  <c r="G133" i="11"/>
  <c r="F133" i="11"/>
  <c r="E133" i="11"/>
  <c r="D133" i="11"/>
  <c r="H132" i="11"/>
  <c r="D132" i="11"/>
  <c r="H131" i="11"/>
  <c r="G131" i="11"/>
  <c r="F131" i="11"/>
  <c r="E131" i="11"/>
  <c r="D131" i="11"/>
  <c r="H130" i="11"/>
  <c r="E130" i="11"/>
  <c r="D130" i="11"/>
  <c r="G130" i="11" s="1"/>
  <c r="H129" i="11"/>
  <c r="G129" i="11"/>
  <c r="E129" i="11"/>
  <c r="D129" i="11"/>
  <c r="F129" i="11" s="1"/>
  <c r="H128" i="11"/>
  <c r="F128" i="11"/>
  <c r="E128" i="11"/>
  <c r="D128" i="11"/>
  <c r="G128" i="11" s="1"/>
  <c r="H127" i="11"/>
  <c r="E127" i="11"/>
  <c r="D127" i="11"/>
  <c r="H126" i="11"/>
  <c r="G126" i="11"/>
  <c r="F126" i="11"/>
  <c r="D126" i="11"/>
  <c r="E126" i="11" s="1"/>
  <c r="H125" i="11"/>
  <c r="G125" i="11"/>
  <c r="F125" i="11"/>
  <c r="E125" i="11"/>
  <c r="D125" i="11"/>
  <c r="H124" i="11"/>
  <c r="D124" i="11"/>
  <c r="H123" i="11"/>
  <c r="G123" i="11"/>
  <c r="F123" i="11"/>
  <c r="E123" i="11"/>
  <c r="D123" i="11"/>
  <c r="H122" i="11"/>
  <c r="E122" i="11"/>
  <c r="D122" i="11"/>
  <c r="G122" i="11" s="1"/>
  <c r="H121" i="11"/>
  <c r="G121" i="11"/>
  <c r="E121" i="11"/>
  <c r="D121" i="11"/>
  <c r="F121" i="11" s="1"/>
  <c r="H120" i="11"/>
  <c r="F120" i="11"/>
  <c r="E120" i="11"/>
  <c r="D120" i="11"/>
  <c r="G120" i="11" s="1"/>
  <c r="H119" i="11"/>
  <c r="G119" i="11"/>
  <c r="E119" i="11"/>
  <c r="D119" i="11"/>
  <c r="F119" i="11" s="1"/>
  <c r="H118" i="11"/>
  <c r="G118" i="11"/>
  <c r="F118" i="11"/>
  <c r="D118" i="11"/>
  <c r="E118" i="11" s="1"/>
  <c r="H117" i="11"/>
  <c r="G117" i="11"/>
  <c r="F117" i="11"/>
  <c r="E117" i="11"/>
  <c r="D117" i="11"/>
  <c r="H116" i="11"/>
  <c r="F116" i="11"/>
  <c r="D116" i="11"/>
  <c r="H115" i="11"/>
  <c r="G115" i="11"/>
  <c r="F115" i="11"/>
  <c r="E115" i="11"/>
  <c r="D115" i="11"/>
  <c r="H114" i="11"/>
  <c r="D114" i="11"/>
  <c r="G114" i="11" s="1"/>
  <c r="H113" i="11"/>
  <c r="G113" i="11"/>
  <c r="E113" i="11"/>
  <c r="D113" i="11"/>
  <c r="F113" i="11" s="1"/>
  <c r="H112" i="11"/>
  <c r="D112" i="11"/>
  <c r="G112" i="11" s="1"/>
  <c r="H111" i="11"/>
  <c r="D111" i="11"/>
  <c r="F111" i="11" s="1"/>
  <c r="H110" i="11"/>
  <c r="D110" i="11"/>
  <c r="E110" i="11" s="1"/>
  <c r="H109" i="11"/>
  <c r="E109" i="11"/>
  <c r="D109" i="11"/>
  <c r="G109" i="11" s="1"/>
  <c r="H108" i="11"/>
  <c r="D108" i="11"/>
  <c r="H107" i="11"/>
  <c r="G107" i="11"/>
  <c r="F107" i="11"/>
  <c r="E107" i="11"/>
  <c r="D107" i="11"/>
  <c r="H106" i="11"/>
  <c r="F106" i="11"/>
  <c r="E106" i="11"/>
  <c r="D106" i="11"/>
  <c r="G106" i="11" s="1"/>
  <c r="H105" i="11"/>
  <c r="G105" i="11"/>
  <c r="E105" i="11"/>
  <c r="D105" i="11"/>
  <c r="F105" i="11" s="1"/>
  <c r="H104" i="11"/>
  <c r="G104" i="11"/>
  <c r="F104" i="11"/>
  <c r="E104" i="11"/>
  <c r="D104" i="11"/>
  <c r="H103" i="11"/>
  <c r="G103" i="11"/>
  <c r="E103" i="11"/>
  <c r="D103" i="11"/>
  <c r="F103" i="11" s="1"/>
  <c r="H102" i="11"/>
  <c r="G102" i="11"/>
  <c r="F102" i="11"/>
  <c r="D102" i="11"/>
  <c r="E102" i="11" s="1"/>
  <c r="H101" i="11"/>
  <c r="D101" i="11"/>
  <c r="G101" i="11" s="1"/>
  <c r="H100" i="11"/>
  <c r="F100" i="11"/>
  <c r="D100" i="11"/>
  <c r="H99" i="11"/>
  <c r="G99" i="11"/>
  <c r="F99" i="11"/>
  <c r="E99" i="11"/>
  <c r="D99" i="11"/>
  <c r="H98" i="11"/>
  <c r="F98" i="11"/>
  <c r="E98" i="11"/>
  <c r="D98" i="11"/>
  <c r="G98" i="11" s="1"/>
  <c r="H97" i="11"/>
  <c r="G97" i="11"/>
  <c r="E97" i="11"/>
  <c r="D97" i="11"/>
  <c r="F97" i="11" s="1"/>
  <c r="H96" i="11"/>
  <c r="G96" i="11"/>
  <c r="D96" i="11"/>
  <c r="F96" i="11" s="1"/>
  <c r="H95" i="11"/>
  <c r="F95" i="11"/>
  <c r="E95" i="11"/>
  <c r="D95" i="11"/>
  <c r="G95" i="11" s="1"/>
  <c r="H94" i="11"/>
  <c r="F94" i="11"/>
  <c r="D94" i="11"/>
  <c r="E94" i="11" s="1"/>
  <c r="H93" i="11"/>
  <c r="G93" i="11"/>
  <c r="F93" i="11"/>
  <c r="E93" i="11"/>
  <c r="D93" i="11"/>
  <c r="H92" i="11"/>
  <c r="F92" i="11"/>
  <c r="E92" i="11"/>
  <c r="D92" i="11"/>
  <c r="G92" i="11" s="1"/>
  <c r="H91" i="11"/>
  <c r="G91" i="11"/>
  <c r="F91" i="11"/>
  <c r="E91" i="11"/>
  <c r="D91" i="11"/>
  <c r="H90" i="11"/>
  <c r="D90" i="11"/>
  <c r="G90" i="11" s="1"/>
  <c r="H89" i="11"/>
  <c r="D89" i="11"/>
  <c r="F89" i="11" s="1"/>
  <c r="H88" i="11"/>
  <c r="F88" i="11"/>
  <c r="E88" i="11"/>
  <c r="D88" i="11"/>
  <c r="G88" i="11" s="1"/>
  <c r="H87" i="11"/>
  <c r="F87" i="11"/>
  <c r="E87" i="11"/>
  <c r="D87" i="11"/>
  <c r="G87" i="11" s="1"/>
  <c r="H86" i="11"/>
  <c r="G86" i="11"/>
  <c r="F86" i="11"/>
  <c r="D86" i="11"/>
  <c r="E86" i="11" s="1"/>
  <c r="H85" i="11"/>
  <c r="D85" i="11"/>
  <c r="G85" i="11" s="1"/>
  <c r="H84" i="11"/>
  <c r="F84" i="11"/>
  <c r="E84" i="11"/>
  <c r="D84" i="11"/>
  <c r="G84" i="11" s="1"/>
  <c r="H83" i="11"/>
  <c r="G83" i="11"/>
  <c r="F83" i="11"/>
  <c r="E83" i="11"/>
  <c r="D83" i="11"/>
  <c r="H82" i="11"/>
  <c r="E82" i="11"/>
  <c r="D82" i="11"/>
  <c r="G82" i="11" s="1"/>
  <c r="H81" i="11"/>
  <c r="G81" i="11"/>
  <c r="E81" i="11"/>
  <c r="D81" i="11"/>
  <c r="F81" i="11" s="1"/>
  <c r="H80" i="11"/>
  <c r="F80" i="11"/>
  <c r="E80" i="11"/>
  <c r="D80" i="11"/>
  <c r="G80" i="11" s="1"/>
  <c r="H79" i="11"/>
  <c r="G79" i="11"/>
  <c r="F79" i="11"/>
  <c r="E79" i="11"/>
  <c r="D79" i="11"/>
  <c r="H78" i="11"/>
  <c r="D78" i="11"/>
  <c r="E78" i="11" s="1"/>
  <c r="H77" i="11"/>
  <c r="G77" i="11"/>
  <c r="D77" i="11"/>
  <c r="F77" i="11" s="1"/>
  <c r="H76" i="11"/>
  <c r="D76" i="11"/>
  <c r="G76" i="11" s="1"/>
  <c r="H75" i="11"/>
  <c r="G75" i="11"/>
  <c r="F75" i="11"/>
  <c r="E75" i="11"/>
  <c r="D75" i="11"/>
  <c r="H74" i="11"/>
  <c r="G74" i="11"/>
  <c r="F74" i="11"/>
  <c r="E74" i="11"/>
  <c r="D74" i="11"/>
  <c r="H73" i="11"/>
  <c r="G73" i="11"/>
  <c r="E73" i="11"/>
  <c r="D73" i="11"/>
  <c r="F73" i="11" s="1"/>
  <c r="H72" i="11"/>
  <c r="G72" i="11"/>
  <c r="F72" i="11"/>
  <c r="E72" i="11"/>
  <c r="D72" i="11"/>
  <c r="H71" i="11"/>
  <c r="D71" i="11"/>
  <c r="G71" i="11" s="1"/>
  <c r="H70" i="11"/>
  <c r="D70" i="11"/>
  <c r="E70" i="11" s="1"/>
  <c r="H69" i="11"/>
  <c r="F69" i="11"/>
  <c r="E69" i="11"/>
  <c r="D69" i="11"/>
  <c r="G69" i="11" s="1"/>
  <c r="H68" i="11"/>
  <c r="E68" i="11"/>
  <c r="D68" i="11"/>
  <c r="G68" i="11" s="1"/>
  <c r="H67" i="11"/>
  <c r="G67" i="11"/>
  <c r="F67" i="11"/>
  <c r="E67" i="11"/>
  <c r="D67" i="11"/>
  <c r="H66" i="11"/>
  <c r="D66" i="11"/>
  <c r="G66" i="11" s="1"/>
  <c r="H65" i="11"/>
  <c r="G65" i="11"/>
  <c r="E65" i="11"/>
  <c r="D65" i="11"/>
  <c r="F65" i="11" s="1"/>
  <c r="H64" i="11"/>
  <c r="D64" i="11"/>
  <c r="G64" i="11" s="1"/>
  <c r="H63" i="11"/>
  <c r="E63" i="11"/>
  <c r="D63" i="11"/>
  <c r="G63" i="11" s="1"/>
  <c r="H62" i="11"/>
  <c r="G62" i="11"/>
  <c r="F62" i="11"/>
  <c r="D62" i="11"/>
  <c r="E62" i="11" s="1"/>
  <c r="H61" i="11"/>
  <c r="F61" i="11"/>
  <c r="E61" i="11"/>
  <c r="D61" i="11"/>
  <c r="G61" i="11" s="1"/>
  <c r="H60" i="11"/>
  <c r="F60" i="11"/>
  <c r="E60" i="11"/>
  <c r="D60" i="11"/>
  <c r="G60" i="11" s="1"/>
  <c r="H59" i="11"/>
  <c r="G59" i="11"/>
  <c r="F59" i="11"/>
  <c r="E59" i="11"/>
  <c r="D59" i="11"/>
  <c r="H58" i="11"/>
  <c r="G58" i="11"/>
  <c r="D58" i="11"/>
  <c r="F58" i="11" s="1"/>
  <c r="H57" i="11"/>
  <c r="D57" i="11"/>
  <c r="F57" i="11" s="1"/>
  <c r="H56" i="11"/>
  <c r="E56" i="11"/>
  <c r="D56" i="11"/>
  <c r="G56" i="11" s="1"/>
  <c r="H55" i="11"/>
  <c r="G55" i="11"/>
  <c r="F55" i="11"/>
  <c r="E55" i="11"/>
  <c r="D55" i="11"/>
  <c r="H54" i="11"/>
  <c r="G54" i="11"/>
  <c r="F54" i="11"/>
  <c r="D54" i="11"/>
  <c r="E54" i="11" s="1"/>
  <c r="H53" i="11"/>
  <c r="G53" i="11"/>
  <c r="F53" i="11"/>
  <c r="E53" i="11"/>
  <c r="D53" i="11"/>
  <c r="H52" i="11"/>
  <c r="D52" i="11"/>
  <c r="G52" i="11" s="1"/>
  <c r="H51" i="11"/>
  <c r="G51" i="11"/>
  <c r="F51" i="11"/>
  <c r="E51" i="11"/>
  <c r="D51" i="11"/>
  <c r="H50" i="11"/>
  <c r="F50" i="11"/>
  <c r="E50" i="11"/>
  <c r="D50" i="11"/>
  <c r="G50" i="11" s="1"/>
  <c r="H49" i="11"/>
  <c r="E49" i="11"/>
  <c r="D49" i="11"/>
  <c r="F49" i="11" s="1"/>
  <c r="H48" i="11"/>
  <c r="G48" i="11"/>
  <c r="F48" i="11"/>
  <c r="E48" i="11"/>
  <c r="D48" i="11"/>
  <c r="H47" i="11"/>
  <c r="D47" i="11"/>
  <c r="G47" i="11" s="1"/>
  <c r="H46" i="11"/>
  <c r="G46" i="11"/>
  <c r="F46" i="11"/>
  <c r="D46" i="11"/>
  <c r="E46" i="11" s="1"/>
  <c r="H45" i="11"/>
  <c r="D45" i="11"/>
  <c r="G45" i="11" s="1"/>
  <c r="H44" i="11"/>
  <c r="D44" i="11"/>
  <c r="G44" i="11" s="1"/>
  <c r="H43" i="11"/>
  <c r="G43" i="11"/>
  <c r="F43" i="11"/>
  <c r="E43" i="11"/>
  <c r="D43" i="11"/>
  <c r="H42" i="11"/>
  <c r="F42" i="11"/>
  <c r="E42" i="11"/>
  <c r="D42" i="11"/>
  <c r="G42" i="11" s="1"/>
  <c r="H41" i="11"/>
  <c r="G41" i="11"/>
  <c r="E41" i="11"/>
  <c r="D41" i="11"/>
  <c r="F41" i="11" s="1"/>
  <c r="H40" i="11"/>
  <c r="D40" i="11"/>
  <c r="G40" i="11" s="1"/>
  <c r="H39" i="11"/>
  <c r="G39" i="11"/>
  <c r="D39" i="11"/>
  <c r="F39" i="11" s="1"/>
  <c r="H38" i="11"/>
  <c r="F38" i="11"/>
  <c r="E38" i="11"/>
  <c r="D38" i="11"/>
  <c r="G38" i="11" s="1"/>
  <c r="H37" i="11"/>
  <c r="F37" i="11"/>
  <c r="E37" i="11"/>
  <c r="D37" i="11"/>
  <c r="G37" i="11" s="1"/>
  <c r="H36" i="11"/>
  <c r="G36" i="11"/>
  <c r="F36" i="11"/>
  <c r="E36" i="11"/>
  <c r="D36" i="11"/>
  <c r="H35" i="11"/>
  <c r="D35" i="11"/>
  <c r="G35" i="11" s="1"/>
  <c r="H34" i="11"/>
  <c r="E34" i="11"/>
  <c r="D34" i="11"/>
  <c r="G34" i="11" s="1"/>
  <c r="H33" i="11"/>
  <c r="G33" i="11"/>
  <c r="F33" i="11"/>
  <c r="E33" i="11"/>
  <c r="D33" i="11"/>
  <c r="H32" i="11"/>
  <c r="D32" i="11"/>
  <c r="G32" i="11" s="1"/>
  <c r="H31" i="11"/>
  <c r="G31" i="11"/>
  <c r="D31" i="11"/>
  <c r="F31" i="11" s="1"/>
  <c r="H30" i="11"/>
  <c r="E30" i="11"/>
  <c r="D30" i="11"/>
  <c r="F30" i="11" s="1"/>
  <c r="H29" i="11"/>
  <c r="F29" i="11"/>
  <c r="E29" i="11"/>
  <c r="D29" i="11"/>
  <c r="G29" i="11" s="1"/>
  <c r="H28" i="11"/>
  <c r="G28" i="11"/>
  <c r="F28" i="11"/>
  <c r="E28" i="11"/>
  <c r="D28" i="11"/>
  <c r="H27" i="11"/>
  <c r="D27" i="11"/>
  <c r="G27" i="11" s="1"/>
  <c r="H26" i="11"/>
  <c r="E26" i="11"/>
  <c r="D26" i="11"/>
  <c r="G26" i="11" s="1"/>
  <c r="H25" i="11"/>
  <c r="G25" i="11"/>
  <c r="F25" i="11"/>
  <c r="E25" i="11"/>
  <c r="D25" i="11"/>
  <c r="H24" i="11"/>
  <c r="D24" i="11"/>
  <c r="G24" i="11" s="1"/>
  <c r="H23" i="11"/>
  <c r="G23" i="11"/>
  <c r="D23" i="11"/>
  <c r="F23" i="11" s="1"/>
  <c r="H22" i="11"/>
  <c r="E22" i="11"/>
  <c r="D22" i="11"/>
  <c r="G22" i="11" s="1"/>
  <c r="H21" i="11"/>
  <c r="F21" i="11"/>
  <c r="E21" i="11"/>
  <c r="D21" i="11"/>
  <c r="G21" i="11" s="1"/>
  <c r="H20" i="11"/>
  <c r="G20" i="11"/>
  <c r="F20" i="11"/>
  <c r="E20" i="11"/>
  <c r="D20" i="11"/>
  <c r="H19" i="11"/>
  <c r="D19" i="11"/>
  <c r="G19" i="11" s="1"/>
  <c r="H18" i="11"/>
  <c r="E18" i="11"/>
  <c r="D18" i="11"/>
  <c r="G18" i="11" s="1"/>
  <c r="H17" i="11"/>
  <c r="G17" i="11"/>
  <c r="F17" i="11"/>
  <c r="E17" i="11"/>
  <c r="D17" i="11"/>
  <c r="H16" i="11"/>
  <c r="D16" i="11"/>
  <c r="G16" i="11" s="1"/>
  <c r="H15" i="11"/>
  <c r="G15" i="11"/>
  <c r="D15" i="11"/>
  <c r="F15" i="11" s="1"/>
  <c r="H14" i="11"/>
  <c r="E14" i="11"/>
  <c r="D14" i="11"/>
  <c r="F14" i="11" s="1"/>
  <c r="H13" i="11"/>
  <c r="F13" i="11"/>
  <c r="E13" i="11"/>
  <c r="D13" i="11"/>
  <c r="G13" i="11" s="1"/>
  <c r="H12" i="11"/>
  <c r="G12" i="11"/>
  <c r="F12" i="11"/>
  <c r="E12" i="11"/>
  <c r="D12" i="11"/>
  <c r="H11" i="11"/>
  <c r="D11" i="11"/>
  <c r="E11" i="11" s="1"/>
  <c r="H10" i="11"/>
  <c r="E10" i="11"/>
  <c r="D10" i="11"/>
  <c r="G10" i="11" s="1"/>
  <c r="H9" i="11"/>
  <c r="G9" i="11"/>
  <c r="F9" i="11"/>
  <c r="E9" i="11"/>
  <c r="D9" i="11"/>
  <c r="H8" i="11"/>
  <c r="D8" i="11"/>
  <c r="G8" i="11" s="1"/>
  <c r="H7" i="11"/>
  <c r="G7" i="11"/>
  <c r="D7" i="11"/>
  <c r="F7" i="11" s="1"/>
  <c r="H6" i="11"/>
  <c r="E6" i="11"/>
  <c r="D6" i="11"/>
  <c r="F6" i="11" s="1"/>
  <c r="H5" i="11"/>
  <c r="F5" i="11"/>
  <c r="E5" i="11"/>
  <c r="D5" i="11"/>
  <c r="G5" i="11" s="1"/>
  <c r="G108" i="11" l="1"/>
  <c r="E108" i="11"/>
  <c r="F172" i="11"/>
  <c r="G172" i="11"/>
  <c r="E172" i="11"/>
  <c r="E19" i="11"/>
  <c r="F22" i="11"/>
  <c r="E27" i="11"/>
  <c r="E57" i="11"/>
  <c r="E64" i="11"/>
  <c r="F108" i="11"/>
  <c r="F110" i="11"/>
  <c r="E112" i="11"/>
  <c r="E160" i="11"/>
  <c r="E162" i="11"/>
  <c r="G164" i="11"/>
  <c r="F164" i="11"/>
  <c r="E164" i="11"/>
  <c r="F213" i="11"/>
  <c r="G215" i="11"/>
  <c r="F215" i="11"/>
  <c r="E217" i="11"/>
  <c r="G217" i="11"/>
  <c r="F217" i="11"/>
  <c r="F244" i="11"/>
  <c r="G244" i="11"/>
  <c r="F259" i="11"/>
  <c r="G259" i="11"/>
  <c r="E259" i="11"/>
  <c r="G320" i="11"/>
  <c r="E320" i="11"/>
  <c r="G364" i="11"/>
  <c r="F364" i="11"/>
  <c r="E364" i="11"/>
  <c r="G486" i="11"/>
  <c r="F486" i="11"/>
  <c r="E486" i="11"/>
  <c r="G6" i="11"/>
  <c r="E8" i="11"/>
  <c r="F11" i="11"/>
  <c r="H582" i="11" s="1"/>
  <c r="G14" i="11"/>
  <c r="E16" i="11"/>
  <c r="F19" i="11"/>
  <c r="E24" i="11"/>
  <c r="F27" i="11"/>
  <c r="G30" i="11"/>
  <c r="E32" i="11"/>
  <c r="F35" i="11"/>
  <c r="E40" i="11"/>
  <c r="F45" i="11"/>
  <c r="E47" i="11"/>
  <c r="E52" i="11"/>
  <c r="G57" i="11"/>
  <c r="F64" i="11"/>
  <c r="E66" i="11"/>
  <c r="F71" i="11"/>
  <c r="F76" i="11"/>
  <c r="F78" i="11"/>
  <c r="E85" i="11"/>
  <c r="F90" i="11"/>
  <c r="E101" i="11"/>
  <c r="G110" i="11"/>
  <c r="F112" i="11"/>
  <c r="E114" i="11"/>
  <c r="G116" i="11"/>
  <c r="E116" i="11"/>
  <c r="E152" i="11"/>
  <c r="E154" i="11"/>
  <c r="G156" i="11"/>
  <c r="F156" i="11"/>
  <c r="E156" i="11"/>
  <c r="F160" i="11"/>
  <c r="F162" i="11"/>
  <c r="F185" i="11"/>
  <c r="E194" i="11"/>
  <c r="F196" i="11"/>
  <c r="G196" i="11"/>
  <c r="E204" i="11"/>
  <c r="G213" i="11"/>
  <c r="E215" i="11"/>
  <c r="G224" i="11"/>
  <c r="F224" i="11"/>
  <c r="E224" i="11"/>
  <c r="G229" i="11"/>
  <c r="F229" i="11"/>
  <c r="E244" i="11"/>
  <c r="E297" i="11"/>
  <c r="G297" i="11"/>
  <c r="F297" i="11"/>
  <c r="F320" i="11"/>
  <c r="G191" i="11"/>
  <c r="F191" i="11"/>
  <c r="E191" i="11"/>
  <c r="E313" i="11"/>
  <c r="G313" i="11"/>
  <c r="E35" i="11"/>
  <c r="E45" i="11"/>
  <c r="E71" i="11"/>
  <c r="E76" i="11"/>
  <c r="E90" i="11"/>
  <c r="F8" i="11"/>
  <c r="G11" i="11"/>
  <c r="F16" i="11"/>
  <c r="F24" i="11"/>
  <c r="F32" i="11"/>
  <c r="F40" i="11"/>
  <c r="F47" i="11"/>
  <c r="F52" i="11"/>
  <c r="F66" i="11"/>
  <c r="G78" i="11"/>
  <c r="F85" i="11"/>
  <c r="F101" i="11"/>
  <c r="F114" i="11"/>
  <c r="G148" i="11"/>
  <c r="F148" i="11"/>
  <c r="E148" i="11"/>
  <c r="F152" i="11"/>
  <c r="F154" i="11"/>
  <c r="G185" i="11"/>
  <c r="F194" i="11"/>
  <c r="G204" i="11"/>
  <c r="F267" i="11"/>
  <c r="G267" i="11"/>
  <c r="F307" i="11"/>
  <c r="E307" i="11"/>
  <c r="F314" i="11"/>
  <c r="E314" i="11"/>
  <c r="G314" i="11"/>
  <c r="E345" i="11"/>
  <c r="G345" i="11"/>
  <c r="G386" i="11"/>
  <c r="F386" i="11"/>
  <c r="E386" i="11"/>
  <c r="E391" i="11"/>
  <c r="G391" i="11"/>
  <c r="G393" i="11"/>
  <c r="F393" i="11"/>
  <c r="E393" i="11"/>
  <c r="F266" i="11"/>
  <c r="E266" i="11"/>
  <c r="G296" i="11"/>
  <c r="E296" i="11"/>
  <c r="F296" i="11"/>
  <c r="G508" i="11"/>
  <c r="E508" i="11"/>
  <c r="F508" i="11"/>
  <c r="G124" i="11"/>
  <c r="F124" i="11"/>
  <c r="E124" i="11"/>
  <c r="G179" i="11"/>
  <c r="F179" i="11"/>
  <c r="E179" i="11"/>
  <c r="E225" i="11"/>
  <c r="F225" i="11"/>
  <c r="F236" i="11"/>
  <c r="G236" i="11"/>
  <c r="E236" i="11"/>
  <c r="F245" i="11"/>
  <c r="G245" i="11"/>
  <c r="E245" i="11"/>
  <c r="E250" i="11"/>
  <c r="F250" i="11"/>
  <c r="G264" i="11"/>
  <c r="E264" i="11"/>
  <c r="F264" i="11"/>
  <c r="E281" i="11"/>
  <c r="G281" i="11"/>
  <c r="F298" i="11"/>
  <c r="E298" i="11"/>
  <c r="E482" i="11"/>
  <c r="G482" i="11"/>
  <c r="F482" i="11"/>
  <c r="G550" i="11"/>
  <c r="F550" i="11"/>
  <c r="E550" i="11"/>
  <c r="G566" i="11"/>
  <c r="F566" i="11"/>
  <c r="E566" i="11"/>
  <c r="E7" i="11"/>
  <c r="H583" i="11" s="1"/>
  <c r="F10" i="11"/>
  <c r="E15" i="11"/>
  <c r="F18" i="11"/>
  <c r="E23" i="11"/>
  <c r="F26" i="11"/>
  <c r="E31" i="11"/>
  <c r="F34" i="11"/>
  <c r="E39" i="11"/>
  <c r="E44" i="11"/>
  <c r="G49" i="11"/>
  <c r="F56" i="11"/>
  <c r="E58" i="11"/>
  <c r="F63" i="11"/>
  <c r="F68" i="11"/>
  <c r="F70" i="11"/>
  <c r="E77" i="11"/>
  <c r="F82" i="11"/>
  <c r="E89" i="11"/>
  <c r="G94" i="11"/>
  <c r="E96" i="11"/>
  <c r="F109" i="11"/>
  <c r="E111" i="11"/>
  <c r="F122" i="11"/>
  <c r="F130" i="11"/>
  <c r="F138" i="11"/>
  <c r="E157" i="11"/>
  <c r="G159" i="11"/>
  <c r="F159" i="11"/>
  <c r="F165" i="11"/>
  <c r="E175" i="11"/>
  <c r="G186" i="11"/>
  <c r="F186" i="11"/>
  <c r="E186" i="11"/>
  <c r="G205" i="11"/>
  <c r="F205" i="11"/>
  <c r="E205" i="11"/>
  <c r="G218" i="11"/>
  <c r="G225" i="11"/>
  <c r="F232" i="11"/>
  <c r="G250" i="11"/>
  <c r="F281" i="11"/>
  <c r="G288" i="11"/>
  <c r="E288" i="11"/>
  <c r="G298" i="11"/>
  <c r="F330" i="11"/>
  <c r="E330" i="11"/>
  <c r="G132" i="11"/>
  <c r="F132" i="11"/>
  <c r="E132" i="11"/>
  <c r="G140" i="11"/>
  <c r="F140" i="11"/>
  <c r="E140" i="11"/>
  <c r="G167" i="11"/>
  <c r="F167" i="11"/>
  <c r="E177" i="11"/>
  <c r="G177" i="11"/>
  <c r="G328" i="11"/>
  <c r="E328" i="11"/>
  <c r="F328" i="11"/>
  <c r="H584" i="11"/>
  <c r="F44" i="11"/>
  <c r="G70" i="11"/>
  <c r="G89" i="11"/>
  <c r="G100" i="11"/>
  <c r="E100" i="11"/>
  <c r="G111" i="11"/>
  <c r="G151" i="11"/>
  <c r="F151" i="11"/>
  <c r="F157" i="11"/>
  <c r="F175" i="11"/>
  <c r="G184" i="11"/>
  <c r="F184" i="11"/>
  <c r="G203" i="11"/>
  <c r="F203" i="11"/>
  <c r="G232" i="11"/>
  <c r="G243" i="11"/>
  <c r="F243" i="11"/>
  <c r="E265" i="11"/>
  <c r="G265" i="11"/>
  <c r="F265" i="11"/>
  <c r="F288" i="11"/>
  <c r="E329" i="11"/>
  <c r="G329" i="11"/>
  <c r="F329" i="11"/>
  <c r="F346" i="11"/>
  <c r="E346" i="11"/>
  <c r="G346" i="11"/>
  <c r="G127" i="11"/>
  <c r="F127" i="11"/>
  <c r="G135" i="11"/>
  <c r="F135" i="11"/>
  <c r="G143" i="11"/>
  <c r="F143" i="11"/>
  <c r="G210" i="11"/>
  <c r="F210" i="11"/>
  <c r="G223" i="11"/>
  <c r="F223" i="11"/>
  <c r="E241" i="11"/>
  <c r="G241" i="11"/>
  <c r="G248" i="11"/>
  <c r="E248" i="11"/>
  <c r="F258" i="11"/>
  <c r="E258" i="11"/>
  <c r="G258" i="11"/>
  <c r="F275" i="11"/>
  <c r="E275" i="11"/>
  <c r="F282" i="11"/>
  <c r="E282" i="11"/>
  <c r="G282" i="11"/>
  <c r="F299" i="11"/>
  <c r="G299" i="11"/>
  <c r="F339" i="11"/>
  <c r="G339" i="11"/>
  <c r="E339" i="11"/>
  <c r="F382" i="11"/>
  <c r="E382" i="11"/>
  <c r="G382" i="11"/>
  <c r="G256" i="11"/>
  <c r="E256" i="11"/>
  <c r="F290" i="11"/>
  <c r="E290" i="11"/>
  <c r="F322" i="11"/>
  <c r="E322" i="11"/>
  <c r="F354" i="11"/>
  <c r="E354" i="11"/>
  <c r="G502" i="11"/>
  <c r="F502" i="11"/>
  <c r="E502" i="11"/>
  <c r="G572" i="11"/>
  <c r="E572" i="11"/>
  <c r="F572" i="11"/>
  <c r="G352" i="11"/>
  <c r="E352" i="11"/>
  <c r="G357" i="11"/>
  <c r="E357" i="11"/>
  <c r="G280" i="11"/>
  <c r="E280" i="11"/>
  <c r="G312" i="11"/>
  <c r="E312" i="11"/>
  <c r="G331" i="11"/>
  <c r="G344" i="11"/>
  <c r="E344" i="11"/>
  <c r="E355" i="11"/>
  <c r="G355" i="11"/>
  <c r="G369" i="11"/>
  <c r="F369" i="11"/>
  <c r="E369" i="11"/>
  <c r="F469" i="11"/>
  <c r="E469" i="11"/>
  <c r="F478" i="11"/>
  <c r="E478" i="11"/>
  <c r="G478" i="11"/>
  <c r="E145" i="11"/>
  <c r="E153" i="11"/>
  <c r="E161" i="11"/>
  <c r="E169" i="11"/>
  <c r="E181" i="11"/>
  <c r="F193" i="11"/>
  <c r="E200" i="11"/>
  <c r="E212" i="11"/>
  <c r="E219" i="11"/>
  <c r="E226" i="11"/>
  <c r="E231" i="11"/>
  <c r="F249" i="11"/>
  <c r="E251" i="11"/>
  <c r="F257" i="11"/>
  <c r="F274" i="11"/>
  <c r="E274" i="11"/>
  <c r="F280" i="11"/>
  <c r="E291" i="11"/>
  <c r="F306" i="11"/>
  <c r="E306" i="11"/>
  <c r="F312" i="11"/>
  <c r="E323" i="11"/>
  <c r="F338" i="11"/>
  <c r="E338" i="11"/>
  <c r="F344" i="11"/>
  <c r="F355" i="11"/>
  <c r="F358" i="11"/>
  <c r="E358" i="11"/>
  <c r="G362" i="11"/>
  <c r="F362" i="11"/>
  <c r="G380" i="11"/>
  <c r="F380" i="11"/>
  <c r="G385" i="11"/>
  <c r="F385" i="11"/>
  <c r="E385" i="11"/>
  <c r="G469" i="11"/>
  <c r="E188" i="11"/>
  <c r="G193" i="11"/>
  <c r="E207" i="11"/>
  <c r="G212" i="11"/>
  <c r="F231" i="11"/>
  <c r="F233" i="11"/>
  <c r="G249" i="11"/>
  <c r="G257" i="11"/>
  <c r="G272" i="11"/>
  <c r="E272" i="11"/>
  <c r="G274" i="11"/>
  <c r="F289" i="11"/>
  <c r="G291" i="11"/>
  <c r="G304" i="11"/>
  <c r="E304" i="11"/>
  <c r="G306" i="11"/>
  <c r="F321" i="11"/>
  <c r="G323" i="11"/>
  <c r="G336" i="11"/>
  <c r="E336" i="11"/>
  <c r="G338" i="11"/>
  <c r="F353" i="11"/>
  <c r="G358" i="11"/>
  <c r="E362" i="11"/>
  <c r="F365" i="11"/>
  <c r="G372" i="11"/>
  <c r="E372" i="11"/>
  <c r="E380" i="11"/>
  <c r="G524" i="11"/>
  <c r="E524" i="11"/>
  <c r="F524" i="11"/>
  <c r="G271" i="11"/>
  <c r="G279" i="11"/>
  <c r="G287" i="11"/>
  <c r="G295" i="11"/>
  <c r="G303" i="11"/>
  <c r="G311" i="11"/>
  <c r="G319" i="11"/>
  <c r="G327" i="11"/>
  <c r="G335" i="11"/>
  <c r="G343" i="11"/>
  <c r="G351" i="11"/>
  <c r="G356" i="11"/>
  <c r="G363" i="11"/>
  <c r="F374" i="11"/>
  <c r="E374" i="11"/>
  <c r="G381" i="11"/>
  <c r="G383" i="11"/>
  <c r="G484" i="11"/>
  <c r="E484" i="11"/>
  <c r="E506" i="11"/>
  <c r="G506" i="11"/>
  <c r="G526" i="11"/>
  <c r="F526" i="11"/>
  <c r="E526" i="11"/>
  <c r="G548" i="11"/>
  <c r="E548" i="11"/>
  <c r="G476" i="11"/>
  <c r="E476" i="11"/>
  <c r="G500" i="11"/>
  <c r="E500" i="11"/>
  <c r="E522" i="11"/>
  <c r="G522" i="11"/>
  <c r="G542" i="11"/>
  <c r="F542" i="11"/>
  <c r="E542" i="11"/>
  <c r="G564" i="11"/>
  <c r="E564" i="11"/>
  <c r="F470" i="11"/>
  <c r="E470" i="11"/>
  <c r="E474" i="11"/>
  <c r="G474" i="11"/>
  <c r="F476" i="11"/>
  <c r="E498" i="11"/>
  <c r="G498" i="11"/>
  <c r="F500" i="11"/>
  <c r="G518" i="11"/>
  <c r="F518" i="11"/>
  <c r="E518" i="11"/>
  <c r="F522" i="11"/>
  <c r="G540" i="11"/>
  <c r="E540" i="11"/>
  <c r="F564" i="11"/>
  <c r="F390" i="11"/>
  <c r="E390" i="11"/>
  <c r="G468" i="11"/>
  <c r="E468" i="11"/>
  <c r="G494" i="11"/>
  <c r="F494" i="11"/>
  <c r="E494" i="11"/>
  <c r="G516" i="11"/>
  <c r="E516" i="11"/>
  <c r="G558" i="11"/>
  <c r="F558" i="11"/>
  <c r="E558" i="11"/>
  <c r="G580" i="11"/>
  <c r="E580" i="11"/>
  <c r="E366" i="11"/>
  <c r="G377" i="11"/>
  <c r="F377" i="11"/>
  <c r="G390" i="11"/>
  <c r="E394" i="11"/>
  <c r="G396" i="11"/>
  <c r="E396" i="11"/>
  <c r="F398" i="11"/>
  <c r="E398" i="11"/>
  <c r="G404" i="11"/>
  <c r="E404" i="11"/>
  <c r="F406" i="11"/>
  <c r="E406" i="11"/>
  <c r="G412" i="11"/>
  <c r="E412" i="11"/>
  <c r="F414" i="11"/>
  <c r="E414" i="11"/>
  <c r="G420" i="11"/>
  <c r="E420" i="11"/>
  <c r="F422" i="11"/>
  <c r="E422" i="11"/>
  <c r="G428" i="11"/>
  <c r="E428" i="11"/>
  <c r="F430" i="11"/>
  <c r="E430" i="11"/>
  <c r="G436" i="11"/>
  <c r="E436" i="11"/>
  <c r="F438" i="11"/>
  <c r="E438" i="11"/>
  <c r="G444" i="11"/>
  <c r="E444" i="11"/>
  <c r="F446" i="11"/>
  <c r="E446" i="11"/>
  <c r="G452" i="11"/>
  <c r="E452" i="11"/>
  <c r="F454" i="11"/>
  <c r="E454" i="11"/>
  <c r="G460" i="11"/>
  <c r="E460" i="11"/>
  <c r="F462" i="11"/>
  <c r="E462" i="11"/>
  <c r="E466" i="11"/>
  <c r="G466" i="11"/>
  <c r="F468" i="11"/>
  <c r="G492" i="11"/>
  <c r="E492" i="11"/>
  <c r="E514" i="11"/>
  <c r="G514" i="11"/>
  <c r="F516" i="11"/>
  <c r="G534" i="11"/>
  <c r="F534" i="11"/>
  <c r="E534" i="11"/>
  <c r="G556" i="11"/>
  <c r="E556" i="11"/>
  <c r="F580" i="11"/>
  <c r="E361" i="11"/>
  <c r="G366" i="11"/>
  <c r="E377" i="11"/>
  <c r="F396" i="11"/>
  <c r="G398" i="11"/>
  <c r="E402" i="11"/>
  <c r="F404" i="11"/>
  <c r="G406" i="11"/>
  <c r="E410" i="11"/>
  <c r="F412" i="11"/>
  <c r="G414" i="11"/>
  <c r="E418" i="11"/>
  <c r="F420" i="11"/>
  <c r="G422" i="11"/>
  <c r="E426" i="11"/>
  <c r="F428" i="11"/>
  <c r="G430" i="11"/>
  <c r="E490" i="11"/>
  <c r="G490" i="11"/>
  <c r="G510" i="11"/>
  <c r="F510" i="11"/>
  <c r="E510" i="11"/>
  <c r="G532" i="11"/>
  <c r="E532" i="11"/>
  <c r="F556" i="11"/>
  <c r="G574" i="11"/>
  <c r="F574" i="11"/>
  <c r="E574" i="11"/>
  <c r="G530" i="11"/>
  <c r="G538" i="11"/>
  <c r="G546" i="11"/>
  <c r="G554" i="11"/>
  <c r="G562" i="11"/>
  <c r="G570" i="11"/>
  <c r="G578" i="11"/>
  <c r="C6" i="5" l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" i="5"/>
  <c r="F37" i="6"/>
  <c r="G37" i="6" s="1"/>
  <c r="H37" i="6" s="1"/>
  <c r="I37" i="6" s="1"/>
  <c r="F4" i="6"/>
  <c r="G4" i="6" s="1"/>
  <c r="H4" i="6" s="1"/>
  <c r="I4" i="6" s="1"/>
  <c r="F11" i="2" l="1"/>
  <c r="G11" i="2" s="1"/>
  <c r="H11" i="2" s="1"/>
  <c r="I11" i="2" s="1"/>
  <c r="F17" i="2"/>
  <c r="G17" i="2" s="1"/>
  <c r="H17" i="2" s="1"/>
  <c r="I17" i="2" s="1"/>
  <c r="F37" i="2"/>
  <c r="G37" i="2" s="1"/>
  <c r="H37" i="2" s="1"/>
  <c r="I37" i="2" s="1"/>
  <c r="E12" i="2"/>
  <c r="F7" i="2"/>
  <c r="G7" i="2" s="1"/>
  <c r="H7" i="2" s="1"/>
  <c r="I7" i="2" s="1"/>
  <c r="F6" i="2"/>
  <c r="G6" i="2" s="1"/>
  <c r="E8" i="2"/>
  <c r="E13" i="2" s="1"/>
  <c r="F4" i="2"/>
  <c r="G4" i="2" s="1"/>
  <c r="H4" i="2" s="1"/>
  <c r="I4" i="2" s="1"/>
  <c r="E21" i="2" l="1"/>
  <c r="E14" i="2"/>
  <c r="G12" i="2"/>
  <c r="F12" i="2"/>
  <c r="E16" i="2"/>
  <c r="E18" i="2" s="1"/>
  <c r="G8" i="2"/>
  <c r="G21" i="2" s="1"/>
  <c r="F8" i="2"/>
  <c r="F21" i="2" s="1"/>
  <c r="H6" i="2"/>
  <c r="H12" i="2" s="1"/>
  <c r="E19" i="2" l="1"/>
  <c r="E22" i="2"/>
  <c r="G16" i="2"/>
  <c r="G13" i="2"/>
  <c r="F9" i="2"/>
  <c r="F16" i="2"/>
  <c r="F13" i="2"/>
  <c r="G9" i="2"/>
  <c r="I6" i="2"/>
  <c r="I12" i="2" s="1"/>
  <c r="H8" i="2"/>
  <c r="H21" i="2" s="1"/>
  <c r="E26" i="2" l="1"/>
  <c r="E23" i="2"/>
  <c r="H9" i="2"/>
  <c r="H16" i="2"/>
  <c r="H13" i="2"/>
  <c r="F18" i="2"/>
  <c r="F14" i="2"/>
  <c r="G18" i="2"/>
  <c r="G14" i="2"/>
  <c r="I8" i="2"/>
  <c r="I21" i="2" s="1"/>
  <c r="F19" i="2" l="1"/>
  <c r="F22" i="2"/>
  <c r="E28" i="2"/>
  <c r="E29" i="2" s="1"/>
  <c r="E30" i="2" s="1"/>
  <c r="G19" i="2"/>
  <c r="G22" i="2"/>
  <c r="H18" i="2"/>
  <c r="H14" i="2"/>
  <c r="I9" i="2"/>
  <c r="I13" i="2"/>
  <c r="I16" i="2"/>
  <c r="G26" i="2" l="1"/>
  <c r="G23" i="2"/>
  <c r="H19" i="2"/>
  <c r="H22" i="2"/>
  <c r="F26" i="2"/>
  <c r="F23" i="2"/>
  <c r="I18" i="2"/>
  <c r="I14" i="2"/>
  <c r="I19" i="2" l="1"/>
  <c r="I22" i="2"/>
  <c r="G28" i="2"/>
  <c r="G29" i="2" s="1"/>
  <c r="G30" i="2" s="1"/>
  <c r="F28" i="2"/>
  <c r="F29" i="2" s="1"/>
  <c r="F30" i="2" s="1"/>
  <c r="H23" i="2"/>
  <c r="H26" i="2"/>
  <c r="H28" i="2" l="1"/>
  <c r="H29" i="2" s="1"/>
  <c r="H30" i="2" s="1"/>
  <c r="I23" i="2"/>
  <c r="I26" i="2"/>
  <c r="I28" i="2" l="1"/>
  <c r="I29" i="2" s="1"/>
  <c r="I3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Kathy Lai</author>
  </authors>
  <commentList>
    <comment ref="B18" authorId="0" shapeId="0" xr:uid="{14EDE1BD-4FDD-470A-974F-85D9C4C6421F}">
      <text>
        <r>
          <rPr>
            <b/>
            <sz val="9"/>
            <color indexed="81"/>
            <rFont val="Tahoma"/>
            <family val="2"/>
          </rPr>
          <t xml:space="preserve">Wall Street Prep:
</t>
        </r>
        <r>
          <rPr>
            <sz val="9"/>
            <color indexed="81"/>
            <rFont val="Tahoma"/>
            <family val="2"/>
          </rPr>
          <t xml:space="preserve">
EBITDA = Earnings before Interest, Taxes, Depreciation, and Amortization
</t>
        </r>
      </text>
    </comment>
    <comment ref="B22" authorId="0" shapeId="0" xr:uid="{D647458C-AFCC-426F-87C6-0CC7E7132425}">
      <text>
        <r>
          <rPr>
            <b/>
            <sz val="9"/>
            <color indexed="81"/>
            <rFont val="Tahoma"/>
            <family val="2"/>
          </rPr>
          <t xml:space="preserve">Wall Street Prep:
</t>
        </r>
        <r>
          <rPr>
            <sz val="9"/>
            <color indexed="81"/>
            <rFont val="Tahoma"/>
            <family val="2"/>
          </rPr>
          <t xml:space="preserve">
EBIT = Earnings before Interest and Taxes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Kathy Lai</author>
  </authors>
  <commentList>
    <comment ref="B18" authorId="0" shapeId="0" xr:uid="{691D09E0-89A2-4BDD-B02F-4A4859AA9721}">
      <text>
        <r>
          <rPr>
            <b/>
            <sz val="9"/>
            <color indexed="81"/>
            <rFont val="Tahoma"/>
            <family val="2"/>
          </rPr>
          <t xml:space="preserve">Wall Street Prep:
</t>
        </r>
        <r>
          <rPr>
            <sz val="9"/>
            <color indexed="81"/>
            <rFont val="Tahoma"/>
            <family val="2"/>
          </rPr>
          <t xml:space="preserve">
EBITDA = Earnings before Interest, Taxes, Depreciation, and Amortization
</t>
        </r>
      </text>
    </comment>
    <comment ref="B22" authorId="0" shapeId="0" xr:uid="{F427D67E-AE76-434B-92AA-DCD2AFF773DA}">
      <text>
        <r>
          <rPr>
            <b/>
            <sz val="9"/>
            <color indexed="81"/>
            <rFont val="Tahoma"/>
            <family val="2"/>
          </rPr>
          <t xml:space="preserve">Wall Street Prep:
</t>
        </r>
        <r>
          <rPr>
            <sz val="9"/>
            <color indexed="81"/>
            <rFont val="Tahoma"/>
            <family val="2"/>
          </rPr>
          <t xml:space="preserve">
EBIT = Earnings before Interest and Taxes
</t>
        </r>
      </text>
    </comment>
  </commentList>
</comments>
</file>

<file path=xl/sharedStrings.xml><?xml version="1.0" encoding="utf-8"?>
<sst xmlns="http://schemas.openxmlformats.org/spreadsheetml/2006/main" count="4737" uniqueCount="1094">
  <si>
    <t xml:space="preserve">Excel Crash Course </t>
  </si>
  <si>
    <t xml:space="preserve"> Final Exam Workbook</t>
  </si>
  <si>
    <t>Units Sold</t>
  </si>
  <si>
    <t>Price per Unit</t>
  </si>
  <si>
    <t>Revenue</t>
  </si>
  <si>
    <t>Cost per Unit</t>
  </si>
  <si>
    <t>Cost of Goods Sold</t>
  </si>
  <si>
    <t>Gross Profit</t>
  </si>
  <si>
    <t>Gross Profit % of Revenue</t>
  </si>
  <si>
    <t>Selling Expenses</t>
  </si>
  <si>
    <t>General &amp; Administrative Expenses</t>
  </si>
  <si>
    <t>Depreciation &amp; Amortization</t>
  </si>
  <si>
    <t>Interest Expense</t>
  </si>
  <si>
    <t>Income Taxes</t>
  </si>
  <si>
    <t>Net Income</t>
  </si>
  <si>
    <t>EBITDA</t>
  </si>
  <si>
    <t>EBIT</t>
  </si>
  <si>
    <t>Selling Expenses % of Revenue</t>
  </si>
  <si>
    <t>Cost per Unit Growth Rate %</t>
  </si>
  <si>
    <t>Price per Unit Growth Rate %</t>
  </si>
  <si>
    <t>Units Sold Growth Rate %</t>
  </si>
  <si>
    <t>G&amp;A Expenses Growth Rate %</t>
  </si>
  <si>
    <t>Pre-Tax Earnings</t>
  </si>
  <si>
    <t>Effective Tax Rate %</t>
  </si>
  <si>
    <t>EBITDA % of Revenue</t>
  </si>
  <si>
    <t>EBIT % of Revenue</t>
  </si>
  <si>
    <t>Net Income % of Revenue</t>
  </si>
  <si>
    <t>Revenue Growth Rate %</t>
  </si>
  <si>
    <t>Depreciation &amp; Amoritzation % of Revenue</t>
  </si>
  <si>
    <t>Income Statement Assumptions</t>
  </si>
  <si>
    <t>Questions 1-5</t>
  </si>
  <si>
    <t>= Net Income / Revenue</t>
  </si>
  <si>
    <t>= Pre-Tax Earnings - Income Taxes</t>
  </si>
  <si>
    <t>= EBIT - Interest Expense</t>
  </si>
  <si>
    <t>= EBITDA - Depreciation &amp; Amortization</t>
  </si>
  <si>
    <t>= Gross Profit - Selling Expenses - G&amp;A Expenses</t>
  </si>
  <si>
    <t>= Revenue - COGS</t>
  </si>
  <si>
    <t>= Units Sold * Cost per Unit</t>
  </si>
  <si>
    <t>= Units Sold * Price per Unit</t>
  </si>
  <si>
    <t>= (Current Year Revenue / Prior Year Revenue) - 1</t>
  </si>
  <si>
    <t>= Gross Profit / Revenue</t>
  </si>
  <si>
    <t>= EBITDA / Revenue</t>
  </si>
  <si>
    <t>= EBIT / Revenue</t>
  </si>
  <si>
    <t>= Prior Year Units Sold * (1 + Growth Rate %)</t>
  </si>
  <si>
    <t>= Prior Year Price per Unit * (1 + Growth Rate %)</t>
  </si>
  <si>
    <t>= Prior Year Cost per Unit * (1 + Growth Rate %)</t>
  </si>
  <si>
    <t>= Revenue * % of Revenue</t>
  </si>
  <si>
    <t>= Prior Year G&amp;A Expenses * (1 + Growth Rate %)</t>
  </si>
  <si>
    <t>= Pre-Tax Earnings * Effective Tax Rate %</t>
  </si>
  <si>
    <t xml:space="preserve">n/a  </t>
  </si>
  <si>
    <t>Date</t>
  </si>
  <si>
    <t>Invoice #</t>
  </si>
  <si>
    <t>QTY</t>
  </si>
  <si>
    <t>Discounts</t>
  </si>
  <si>
    <t>Tax</t>
  </si>
  <si>
    <t>Amount</t>
  </si>
  <si>
    <t>00084992</t>
  </si>
  <si>
    <t>00094339</t>
  </si>
  <si>
    <t>00095509</t>
  </si>
  <si>
    <t>00095902</t>
  </si>
  <si>
    <t>00095914</t>
  </si>
  <si>
    <t>00096233</t>
  </si>
  <si>
    <t>00096234</t>
  </si>
  <si>
    <t>00096237</t>
  </si>
  <si>
    <t>00096239</t>
  </si>
  <si>
    <t>00096244</t>
  </si>
  <si>
    <t>00091022</t>
  </si>
  <si>
    <t>00091582</t>
  </si>
  <si>
    <t>00095461</t>
  </si>
  <si>
    <t>00096261</t>
  </si>
  <si>
    <t>00084999</t>
  </si>
  <si>
    <t>00089971</t>
  </si>
  <si>
    <t>00091023</t>
  </si>
  <si>
    <t>00091626</t>
  </si>
  <si>
    <t>00095410</t>
  </si>
  <si>
    <t>00095422</t>
  </si>
  <si>
    <t>00095920</t>
  </si>
  <si>
    <t>00096292</t>
  </si>
  <si>
    <t>00096304</t>
  </si>
  <si>
    <t>00096315</t>
  </si>
  <si>
    <t>00093424</t>
  </si>
  <si>
    <t>00095438</t>
  </si>
  <si>
    <t>00095477</t>
  </si>
  <si>
    <t>00095510</t>
  </si>
  <si>
    <t>00096321</t>
  </si>
  <si>
    <t>00096354</t>
  </si>
  <si>
    <t>00096360</t>
  </si>
  <si>
    <t>00096384</t>
  </si>
  <si>
    <t>00088282</t>
  </si>
  <si>
    <t>00088283</t>
  </si>
  <si>
    <t>00096312</t>
  </si>
  <si>
    <t>00088135</t>
  </si>
  <si>
    <t>00095901</t>
  </si>
  <si>
    <t>00096374</t>
  </si>
  <si>
    <t>00096396</t>
  </si>
  <si>
    <t>00096523</t>
  </si>
  <si>
    <t>00096302</t>
  </si>
  <si>
    <t>00096551</t>
  </si>
  <si>
    <t>00096559</t>
  </si>
  <si>
    <t>00096258</t>
  </si>
  <si>
    <t>00096362</t>
  </si>
  <si>
    <t>00096569</t>
  </si>
  <si>
    <t>00096579</t>
  </si>
  <si>
    <t>00079358</t>
  </si>
  <si>
    <t>00083806</t>
  </si>
  <si>
    <t>00084955</t>
  </si>
  <si>
    <t>00084968</t>
  </si>
  <si>
    <t>00084973</t>
  </si>
  <si>
    <t>00084978</t>
  </si>
  <si>
    <t>00084984</t>
  </si>
  <si>
    <t>00084985</t>
  </si>
  <si>
    <t>00084989</t>
  </si>
  <si>
    <t>00084991</t>
  </si>
  <si>
    <t>00085001</t>
  </si>
  <si>
    <t>00088138</t>
  </si>
  <si>
    <t>00089471</t>
  </si>
  <si>
    <t>00094322</t>
  </si>
  <si>
    <t>00095398</t>
  </si>
  <si>
    <t>00095414</t>
  </si>
  <si>
    <t>00095532</t>
  </si>
  <si>
    <t>00095879</t>
  </si>
  <si>
    <t>00096323</t>
  </si>
  <si>
    <t>00096575</t>
  </si>
  <si>
    <t>00096596</t>
  </si>
  <si>
    <t>00094371</t>
  </si>
  <si>
    <t>00097325</t>
  </si>
  <si>
    <t>00097326</t>
  </si>
  <si>
    <t>00097448</t>
  </si>
  <si>
    <t>00097459</t>
  </si>
  <si>
    <t>00097460</t>
  </si>
  <si>
    <t>00097461</t>
  </si>
  <si>
    <t>00097465</t>
  </si>
  <si>
    <t>00094331</t>
  </si>
  <si>
    <t>00095539</t>
  </si>
  <si>
    <t>00096249</t>
  </si>
  <si>
    <t>00096389</t>
  </si>
  <si>
    <t>00096555</t>
  </si>
  <si>
    <t>00097476</t>
  </si>
  <si>
    <t>00097480</t>
  </si>
  <si>
    <t>00096273</t>
  </si>
  <si>
    <t>00096335</t>
  </si>
  <si>
    <t>00096565</t>
  </si>
  <si>
    <t>00096566</t>
  </si>
  <si>
    <t>00090004</t>
  </si>
  <si>
    <t>00095528</t>
  </si>
  <si>
    <t>00096371</t>
  </si>
  <si>
    <t>00096527</t>
  </si>
  <si>
    <t>00096590</t>
  </si>
  <si>
    <t>00097337</t>
  </si>
  <si>
    <t>00097477</t>
  </si>
  <si>
    <t>00098280</t>
  </si>
  <si>
    <t>00098302</t>
  </si>
  <si>
    <t>00098315</t>
  </si>
  <si>
    <t>00089991</t>
  </si>
  <si>
    <t>00095447</t>
  </si>
  <si>
    <t>00096268</t>
  </si>
  <si>
    <t>00098331</t>
  </si>
  <si>
    <t>00098335</t>
  </si>
  <si>
    <t>00098560</t>
  </si>
  <si>
    <t>00098564</t>
  </si>
  <si>
    <t>00096299</t>
  </si>
  <si>
    <t>00096513</t>
  </si>
  <si>
    <t>00098575</t>
  </si>
  <si>
    <t>00098583</t>
  </si>
  <si>
    <t>00098585</t>
  </si>
  <si>
    <t>00098586</t>
  </si>
  <si>
    <t>00098587</t>
  </si>
  <si>
    <t>00091666</t>
  </si>
  <si>
    <t>00098334</t>
  </si>
  <si>
    <t>00098604</t>
  </si>
  <si>
    <t>00089325</t>
  </si>
  <si>
    <t>00095468</t>
  </si>
  <si>
    <t>00096587</t>
  </si>
  <si>
    <t>00097321</t>
  </si>
  <si>
    <t>00097322</t>
  </si>
  <si>
    <t>00097323</t>
  </si>
  <si>
    <t>00098270</t>
  </si>
  <si>
    <t>00098289</t>
  </si>
  <si>
    <t>00098323</t>
  </si>
  <si>
    <t>00098624</t>
  </si>
  <si>
    <t>00099628</t>
  </si>
  <si>
    <t>00099635</t>
  </si>
  <si>
    <t>00096570</t>
  </si>
  <si>
    <t>00096595</t>
  </si>
  <si>
    <t>00098294</t>
  </si>
  <si>
    <t>00099639</t>
  </si>
  <si>
    <t>00098341</t>
  </si>
  <si>
    <t>00099694</t>
  </si>
  <si>
    <t>00099695</t>
  </si>
  <si>
    <t>00098301</t>
  </si>
  <si>
    <t>00099692</t>
  </si>
  <si>
    <t>00099711</t>
  </si>
  <si>
    <t>00100336</t>
  </si>
  <si>
    <t>00100342</t>
  </si>
  <si>
    <t>00090010</t>
  </si>
  <si>
    <t>00098282</t>
  </si>
  <si>
    <t>00099677</t>
  </si>
  <si>
    <t>00100332</t>
  </si>
  <si>
    <t>00100358</t>
  </si>
  <si>
    <t>00100360</t>
  </si>
  <si>
    <t>00096401</t>
  </si>
  <si>
    <t>00100347</t>
  </si>
  <si>
    <t>00100614</t>
  </si>
  <si>
    <t>00115842</t>
  </si>
  <si>
    <t>00089418</t>
  </si>
  <si>
    <t>00096282</t>
  </si>
  <si>
    <t>00100376</t>
  </si>
  <si>
    <t>00116009</t>
  </si>
  <si>
    <t>00116010</t>
  </si>
  <si>
    <t>00116015</t>
  </si>
  <si>
    <t>00116019</t>
  </si>
  <si>
    <t>00096327</t>
  </si>
  <si>
    <t>00098555</t>
  </si>
  <si>
    <t>00099708</t>
  </si>
  <si>
    <t>00100352</t>
  </si>
  <si>
    <t>00115834</t>
  </si>
  <si>
    <t>00116029</t>
  </si>
  <si>
    <t>00116043</t>
  </si>
  <si>
    <t>00098333</t>
  </si>
  <si>
    <t>00098618</t>
  </si>
  <si>
    <t>00116045</t>
  </si>
  <si>
    <t>00116052</t>
  </si>
  <si>
    <t>00084960</t>
  </si>
  <si>
    <t>00095872</t>
  </si>
  <si>
    <t>00097318</t>
  </si>
  <si>
    <t>00099636</t>
  </si>
  <si>
    <t>00099700</t>
  </si>
  <si>
    <t>00100359</t>
  </si>
  <si>
    <t>00116032</t>
  </si>
  <si>
    <t>00116072</t>
  </si>
  <si>
    <t>00116073</t>
  </si>
  <si>
    <t>00116087</t>
  </si>
  <si>
    <t>00097333</t>
  </si>
  <si>
    <t>00098253</t>
  </si>
  <si>
    <t>00116098</t>
  </si>
  <si>
    <t>00116342</t>
  </si>
  <si>
    <t>00116343</t>
  </si>
  <si>
    <t>00116346</t>
  </si>
  <si>
    <t>00088176</t>
  </si>
  <si>
    <t>00089520</t>
  </si>
  <si>
    <t>00089955</t>
  </si>
  <si>
    <t>00116016</t>
  </si>
  <si>
    <t>00116024</t>
  </si>
  <si>
    <t>00116054</t>
  </si>
  <si>
    <t>00116359</t>
  </si>
  <si>
    <t>00116361</t>
  </si>
  <si>
    <t>00116362</t>
  </si>
  <si>
    <t>00116363</t>
  </si>
  <si>
    <t>00116376</t>
  </si>
  <si>
    <t>00116379</t>
  </si>
  <si>
    <t>00116067</t>
  </si>
  <si>
    <t>00116392</t>
  </si>
  <si>
    <t>00116393</t>
  </si>
  <si>
    <t>00116398</t>
  </si>
  <si>
    <t>00116401</t>
  </si>
  <si>
    <t>00116391</t>
  </si>
  <si>
    <t>00084993</t>
  </si>
  <si>
    <t>00089476</t>
  </si>
  <si>
    <t>00089480</t>
  </si>
  <si>
    <t>00089968</t>
  </si>
  <si>
    <t>00089972</t>
  </si>
  <si>
    <t>00089973</t>
  </si>
  <si>
    <t>00089975</t>
  </si>
  <si>
    <t>00091521</t>
  </si>
  <si>
    <t>00096314</t>
  </si>
  <si>
    <t>00098307</t>
  </si>
  <si>
    <t>00099664</t>
  </si>
  <si>
    <t>00116049</t>
  </si>
  <si>
    <t>00116062</t>
  </si>
  <si>
    <t>00089969</t>
  </si>
  <si>
    <t>00096286</t>
  </si>
  <si>
    <t>00100378</t>
  </si>
  <si>
    <t>00116453</t>
  </si>
  <si>
    <t>00116475</t>
  </si>
  <si>
    <t>00095887</t>
  </si>
  <si>
    <t>00099678</t>
  </si>
  <si>
    <t>00115839</t>
  </si>
  <si>
    <t>00116084</t>
  </si>
  <si>
    <t>00116385</t>
  </si>
  <si>
    <t>00116426</t>
  </si>
  <si>
    <t>00116510</t>
  </si>
  <si>
    <t>00116521</t>
  </si>
  <si>
    <t>00098330</t>
  </si>
  <si>
    <t>00098337</t>
  </si>
  <si>
    <t>00099673</t>
  </si>
  <si>
    <t>00116093</t>
  </si>
  <si>
    <t>00116377</t>
  </si>
  <si>
    <t>00116422</t>
  </si>
  <si>
    <t>00116508</t>
  </si>
  <si>
    <t>00116528</t>
  </si>
  <si>
    <t>00116539</t>
  </si>
  <si>
    <t>00116543</t>
  </si>
  <si>
    <t>00089532</t>
  </si>
  <si>
    <t>00099652</t>
  </si>
  <si>
    <t>00116008</t>
  </si>
  <si>
    <t>00116419</t>
  </si>
  <si>
    <t>00116518</t>
  </si>
  <si>
    <t>00116537</t>
  </si>
  <si>
    <t>00116568</t>
  </si>
  <si>
    <t>00116571</t>
  </si>
  <si>
    <t>00096536</t>
  </si>
  <si>
    <t>00097313</t>
  </si>
  <si>
    <t>00105299</t>
  </si>
  <si>
    <t>00116403</t>
  </si>
  <si>
    <t>00116446</t>
  </si>
  <si>
    <t>00116557</t>
  </si>
  <si>
    <t>00117586</t>
  </si>
  <si>
    <t>00117587</t>
  </si>
  <si>
    <t>00117591</t>
  </si>
  <si>
    <t>00117595</t>
  </si>
  <si>
    <t>00117610</t>
  </si>
  <si>
    <t>00117613</t>
  </si>
  <si>
    <t>00095439</t>
  </si>
  <si>
    <t>00096375</t>
  </si>
  <si>
    <t>00097596</t>
  </si>
  <si>
    <t>00098339</t>
  </si>
  <si>
    <t>00098550</t>
  </si>
  <si>
    <t>00116103</t>
  </si>
  <si>
    <t>00116443</t>
  </si>
  <si>
    <t>00117625</t>
  </si>
  <si>
    <t>00098314</t>
  </si>
  <si>
    <t>00116088</t>
  </si>
  <si>
    <t>00116339</t>
  </si>
  <si>
    <t>00116478</t>
  </si>
  <si>
    <t>00116482</t>
  </si>
  <si>
    <t>00116556</t>
  </si>
  <si>
    <t>00116560</t>
  </si>
  <si>
    <t>00116574</t>
  </si>
  <si>
    <t>00116581</t>
  </si>
  <si>
    <t>00116562</t>
  </si>
  <si>
    <t>00117663</t>
  </si>
  <si>
    <t>00117664</t>
  </si>
  <si>
    <t>00117686</t>
  </si>
  <si>
    <t>00116070</t>
  </si>
  <si>
    <t>00116545</t>
  </si>
  <si>
    <t>00117702</t>
  </si>
  <si>
    <t>00117706</t>
  </si>
  <si>
    <t>00117709</t>
  </si>
  <si>
    <t>00117713</t>
  </si>
  <si>
    <t>00117715</t>
  </si>
  <si>
    <t>00095521</t>
  </si>
  <si>
    <t>00099629</t>
  </si>
  <si>
    <t>00099668</t>
  </si>
  <si>
    <t>00096507</t>
  </si>
  <si>
    <t>00115838</t>
  </si>
  <si>
    <t>00117752</t>
  </si>
  <si>
    <t>00117780</t>
  </si>
  <si>
    <t>00117784</t>
  </si>
  <si>
    <t>00117789</t>
  </si>
  <si>
    <t>00118035</t>
  </si>
  <si>
    <t>00094071</t>
  </si>
  <si>
    <t>00096236</t>
  </si>
  <si>
    <t>00100335</t>
  </si>
  <si>
    <t>00116540</t>
  </si>
  <si>
    <t>00117601</t>
  </si>
  <si>
    <t>00117628</t>
  </si>
  <si>
    <t>00117659</t>
  </si>
  <si>
    <t>00118037</t>
  </si>
  <si>
    <t>00119017</t>
  </si>
  <si>
    <t>00116090</t>
  </si>
  <si>
    <t>00116402</t>
  </si>
  <si>
    <t>00117616</t>
  </si>
  <si>
    <t>00117736</t>
  </si>
  <si>
    <t>00119031</t>
  </si>
  <si>
    <t>00119033</t>
  </si>
  <si>
    <t>00119034</t>
  </si>
  <si>
    <t>00119038</t>
  </si>
  <si>
    <t>00116544</t>
  </si>
  <si>
    <t>00117662</t>
  </si>
  <si>
    <t>00117783</t>
  </si>
  <si>
    <t>00119022</t>
  </si>
  <si>
    <t>00119051</t>
  </si>
  <si>
    <t>00116428</t>
  </si>
  <si>
    <t>00116429</t>
  </si>
  <si>
    <t>00116532</t>
  </si>
  <si>
    <t>00117733</t>
  </si>
  <si>
    <t>00119014</t>
  </si>
  <si>
    <t>00119015</t>
  </si>
  <si>
    <t>00119037</t>
  </si>
  <si>
    <t>00119555</t>
  </si>
  <si>
    <t>00119562</t>
  </si>
  <si>
    <t>00119566</t>
  </si>
  <si>
    <t>00119567</t>
  </si>
  <si>
    <t>00114059</t>
  </si>
  <si>
    <t>00116104</t>
  </si>
  <si>
    <t>00117729</t>
  </si>
  <si>
    <t>00118041</t>
  </si>
  <si>
    <t>00118045</t>
  </si>
  <si>
    <t>00119594</t>
  </si>
  <si>
    <t>00119596</t>
  </si>
  <si>
    <t>00119598</t>
  </si>
  <si>
    <t>00119620</t>
  </si>
  <si>
    <t>00119621</t>
  </si>
  <si>
    <t>00117655</t>
  </si>
  <si>
    <t>00117697</t>
  </si>
  <si>
    <t>00117764</t>
  </si>
  <si>
    <t>00119578</t>
  </si>
  <si>
    <t>00119627</t>
  </si>
  <si>
    <t>00117759</t>
  </si>
  <si>
    <t>00117772</t>
  </si>
  <si>
    <t>00119024</t>
  </si>
  <si>
    <t>00119616</t>
  </si>
  <si>
    <t>00119688</t>
  </si>
  <si>
    <t>00119689</t>
  </si>
  <si>
    <t>00119691</t>
  </si>
  <si>
    <t>00119697</t>
  </si>
  <si>
    <t>00119726</t>
  </si>
  <si>
    <t>00117763</t>
  </si>
  <si>
    <t>00119035</t>
  </si>
  <si>
    <t>00122922</t>
  </si>
  <si>
    <t>00095402</t>
  </si>
  <si>
    <t>00095403</t>
  </si>
  <si>
    <t>00095430</t>
  </si>
  <si>
    <t>00096288</t>
  </si>
  <si>
    <t>00116468</t>
  </si>
  <si>
    <t>00117611</t>
  </si>
  <si>
    <t>00117675</t>
  </si>
  <si>
    <t>00119634</t>
  </si>
  <si>
    <t>00119743</t>
  </si>
  <si>
    <t>00122920</t>
  </si>
  <si>
    <t>00122935</t>
  </si>
  <si>
    <t>00122957</t>
  </si>
  <si>
    <t>00122961</t>
  </si>
  <si>
    <t>00119582</t>
  </si>
  <si>
    <t>00120569</t>
  </si>
  <si>
    <t>00122973</t>
  </si>
  <si>
    <t>00122986</t>
  </si>
  <si>
    <t>00122987</t>
  </si>
  <si>
    <t>00122990</t>
  </si>
  <si>
    <t>00117623</t>
  </si>
  <si>
    <t>00119670</t>
  </si>
  <si>
    <t>00122130</t>
  </si>
  <si>
    <t>00123015</t>
  </si>
  <si>
    <t>00089508</t>
  </si>
  <si>
    <t>00090009</t>
  </si>
  <si>
    <t>00095397</t>
  </si>
  <si>
    <t>00095400</t>
  </si>
  <si>
    <t>00116480</t>
  </si>
  <si>
    <t>00116541</t>
  </si>
  <si>
    <t>00116569</t>
  </si>
  <si>
    <t>00117642</t>
  </si>
  <si>
    <t>00117712</t>
  </si>
  <si>
    <t>00119529</t>
  </si>
  <si>
    <t>00119546</t>
  </si>
  <si>
    <t>00119595</t>
  </si>
  <si>
    <t>00119650</t>
  </si>
  <si>
    <t>00120566</t>
  </si>
  <si>
    <t>00123051</t>
  </si>
  <si>
    <t>00116533</t>
  </si>
  <si>
    <t>00123077</t>
  </si>
  <si>
    <t>00095423</t>
  </si>
  <si>
    <t>00116511</t>
  </si>
  <si>
    <t>00117588</t>
  </si>
  <si>
    <t>00119012</t>
  </si>
  <si>
    <t>00119593</t>
  </si>
  <si>
    <t>00119628</t>
  </si>
  <si>
    <t>00119649</t>
  </si>
  <si>
    <t>00119656</t>
  </si>
  <si>
    <t>00122989</t>
  </si>
  <si>
    <t>00123106</t>
  </si>
  <si>
    <t>00123109</t>
  </si>
  <si>
    <t>00123115</t>
  </si>
  <si>
    <t>00119614</t>
  </si>
  <si>
    <t>00119734</t>
  </si>
  <si>
    <t>00122954</t>
  </si>
  <si>
    <t>00123131</t>
  </si>
  <si>
    <t>00123141</t>
  </si>
  <si>
    <t>00122933</t>
  </si>
  <si>
    <t>00122934</t>
  </si>
  <si>
    <t>00122997</t>
  </si>
  <si>
    <t>00123037</t>
  </si>
  <si>
    <t>00123157</t>
  </si>
  <si>
    <t>00123321</t>
  </si>
  <si>
    <t>Donna</t>
  </si>
  <si>
    <t>Jeff</t>
  </si>
  <si>
    <t>Lexi</t>
  </si>
  <si>
    <t>Steve</t>
  </si>
  <si>
    <t>Mark</t>
  </si>
  <si>
    <t>Sales Rep</t>
  </si>
  <si>
    <t>Price / Unit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</si>
  <si>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</si>
  <si>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</si>
  <si>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</si>
  <si>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</si>
  <si>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</si>
  <si>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</si>
  <si>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</si>
  <si>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</si>
  <si>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</si>
  <si>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</si>
  <si>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</si>
  <si>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</si>
  <si>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</si>
  <si>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</si>
  <si>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</si>
  <si>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</si>
  <si>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</si>
  <si>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</si>
  <si>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</si>
  <si>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</si>
  <si>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</si>
  <si>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</si>
  <si>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</si>
  <si>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</si>
  <si>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</t>
  </si>
  <si>
    <t>Client ID</t>
  </si>
  <si>
    <t>Month</t>
  </si>
  <si>
    <t>Total Sales</t>
  </si>
  <si>
    <t>Questions 6-15</t>
  </si>
  <si>
    <t>Q38</t>
  </si>
  <si>
    <t>Account</t>
  </si>
  <si>
    <t>Automotive Sales 201901</t>
  </si>
  <si>
    <t>Automotive Sales Tooling 201901</t>
  </si>
  <si>
    <t>Bulk Sales 201901</t>
  </si>
  <si>
    <t>Bulk Sales Tooling 201901</t>
  </si>
  <si>
    <t>Consumer Sales 201901</t>
  </si>
  <si>
    <t>Consumer  Sales Tooling 201901</t>
  </si>
  <si>
    <t>Electronics Sales 201901</t>
  </si>
  <si>
    <t>Electronics Sales Tooling 201901</t>
  </si>
  <si>
    <t>Mechanic Sales 201901</t>
  </si>
  <si>
    <t>Mechanic Sales Tooling 201901</t>
  </si>
  <si>
    <t>Non Operating sales201901</t>
  </si>
  <si>
    <t xml:space="preserve">Partner Sales 201901  </t>
  </si>
  <si>
    <t>Partner Sales Tooling 201901</t>
  </si>
  <si>
    <t xml:space="preserve">Sales - Discounts 201901  </t>
  </si>
  <si>
    <t>Sales - Freight Out 201901</t>
  </si>
  <si>
    <t>Sales - Returns 201901</t>
  </si>
  <si>
    <t>Automotive Sales 201902</t>
  </si>
  <si>
    <t>Automotive Sales Tooling 201902</t>
  </si>
  <si>
    <t>Bulk Sales 201902</t>
  </si>
  <si>
    <t>Bulk Sales Tooling 201902</t>
  </si>
  <si>
    <t>Consumer Sales 201902</t>
  </si>
  <si>
    <t>Consumer  Sales Tooling 201902</t>
  </si>
  <si>
    <t>Electronics Sales 201902</t>
  </si>
  <si>
    <t>Electronics Sales Tooling 201902</t>
  </si>
  <si>
    <t>Mechanic Sales 201902</t>
  </si>
  <si>
    <t>Mechanic Sales Tooling 201902</t>
  </si>
  <si>
    <t>Non Operating sales201902</t>
  </si>
  <si>
    <t>Partner Sales 201902</t>
  </si>
  <si>
    <t>Partner Sales Tooling 201902</t>
  </si>
  <si>
    <t>Sales - Discounts 201902</t>
  </si>
  <si>
    <t>Sales - Freight Out 201902</t>
  </si>
  <si>
    <t>Sales - Returns 201902</t>
  </si>
  <si>
    <t>Automotive Sales 201903</t>
  </si>
  <si>
    <t>Automotive Sales Tooling 201903</t>
  </si>
  <si>
    <t>Bulk Sales 201903</t>
  </si>
  <si>
    <t>Bulk Sales Tooling 201903</t>
  </si>
  <si>
    <t>Consumer Sales 201903</t>
  </si>
  <si>
    <t>Consumer  Sales Tooling 201903</t>
  </si>
  <si>
    <t>Electronics Sales 201903</t>
  </si>
  <si>
    <t>Electronics Sales Tooling 201903</t>
  </si>
  <si>
    <t>Mechanic Sales 201903</t>
  </si>
  <si>
    <t>Mechanic Sales Tooling 201903</t>
  </si>
  <si>
    <t>Non Operating sales201903</t>
  </si>
  <si>
    <t>Partner Sales 201903</t>
  </si>
  <si>
    <t>Partner Sales Tooling 201903</t>
  </si>
  <si>
    <t>Sales - Discounts 201903</t>
  </si>
  <si>
    <t>Sales - Freight Out 201903</t>
  </si>
  <si>
    <t>Sales - Returns 201903</t>
  </si>
  <si>
    <t>Automotive Sales 201904</t>
  </si>
  <si>
    <t>Automotive Sales Tooling 201904</t>
  </si>
  <si>
    <t>Bulk Sales 201904</t>
  </si>
  <si>
    <t>Bulk Sales Tooling 201904</t>
  </si>
  <si>
    <t>Consumer Sales 201904</t>
  </si>
  <si>
    <t>Consumer  Sales Tooling 201904</t>
  </si>
  <si>
    <t>Electronics Sales 201904</t>
  </si>
  <si>
    <t>Electronics Sales Tooling 201904</t>
  </si>
  <si>
    <t>Mechanic Sales 201904</t>
  </si>
  <si>
    <t>Mechanic Sales Tooling 201904</t>
  </si>
  <si>
    <t>Non Operating sales201904</t>
  </si>
  <si>
    <t>Partner Sales 201904</t>
  </si>
  <si>
    <t>Partner Sales Tooling 201904</t>
  </si>
  <si>
    <t>Sales - Discounts 201904</t>
  </si>
  <si>
    <t>Sales - Freight Out 201904</t>
  </si>
  <si>
    <t>Sales - Returns 201904</t>
  </si>
  <si>
    <t xml:space="preserve">Automotive Sales 201905  </t>
  </si>
  <si>
    <t>Automotive Sales Tooling 201905</t>
  </si>
  <si>
    <t>Bulk Sales 201905</t>
  </si>
  <si>
    <t>Bulk Sales Tooling 201905</t>
  </si>
  <si>
    <t>Consumer Sales 201905</t>
  </si>
  <si>
    <t>Consumer  Sales Tooling 201905</t>
  </si>
  <si>
    <t>Electronics Sales 201905</t>
  </si>
  <si>
    <t>Electronics Sales Tooling 201905</t>
  </si>
  <si>
    <t>Mechanic Sales 201905</t>
  </si>
  <si>
    <t>Mechanic Sales Tooling 201905</t>
  </si>
  <si>
    <t>Non Operating sales201905</t>
  </si>
  <si>
    <t>Partner Sales 201905</t>
  </si>
  <si>
    <t>Partner Sales Tooling 201905</t>
  </si>
  <si>
    <t>Sales - Discounts 201905</t>
  </si>
  <si>
    <t>Sales - Freight Out 201905</t>
  </si>
  <si>
    <t>Sales - Returns 201905</t>
  </si>
  <si>
    <t>Automotive Sales 201906</t>
  </si>
  <si>
    <t>Automotive Sales Tooling 201906</t>
  </si>
  <si>
    <t>Bulk Sales 201906</t>
  </si>
  <si>
    <t>Bulk Sales Tooling 201906</t>
  </si>
  <si>
    <t>Consumer Sales 201906</t>
  </si>
  <si>
    <t>Consumer  Sales Tooling 201906</t>
  </si>
  <si>
    <t>Electronics Sales 201906</t>
  </si>
  <si>
    <t>Electronics Sales Tooling 201906</t>
  </si>
  <si>
    <t>Mechanic Sales 201906</t>
  </si>
  <si>
    <t>Mechanic Sales Tooling 201906</t>
  </si>
  <si>
    <t>Non Operating sales201906</t>
  </si>
  <si>
    <t>Partner Sales 201906</t>
  </si>
  <si>
    <t>Partner Sales Tooling 201906</t>
  </si>
  <si>
    <t>Sales - Discounts 201906</t>
  </si>
  <si>
    <t>Sales - Freight Out 201906</t>
  </si>
  <si>
    <t>Sales - Returns 201906</t>
  </si>
  <si>
    <t>Automotive Sales 201907</t>
  </si>
  <si>
    <t>Automotive Sales Tooling 201907</t>
  </si>
  <si>
    <t>Bulk Sales 201907</t>
  </si>
  <si>
    <t>Bulk Sales Tooling 201907</t>
  </si>
  <si>
    <t>Consumer Sales 201907</t>
  </si>
  <si>
    <t>Consumer  Sales Tooling 201907</t>
  </si>
  <si>
    <t>Electronics Sales 201907</t>
  </si>
  <si>
    <t>Electronics Sales Tooling 201907</t>
  </si>
  <si>
    <t>Mechanic Sales 201907</t>
  </si>
  <si>
    <t>Mechanic Sales Tooling 201907</t>
  </si>
  <si>
    <t>Non Operating sales201907</t>
  </si>
  <si>
    <t>Partner Sales 201907</t>
  </si>
  <si>
    <t>Partner Sales Tooling 201907</t>
  </si>
  <si>
    <t>Sales - Discounts 201907</t>
  </si>
  <si>
    <t>Sales - Freight Out 201907</t>
  </si>
  <si>
    <t>Sales - Returns 201907</t>
  </si>
  <si>
    <t>Automotive Sales 201908</t>
  </si>
  <si>
    <t>Automotive Sales Tooling 201908</t>
  </si>
  <si>
    <t>Bulk Sales 201908</t>
  </si>
  <si>
    <t>Bulk Sales Tooling 201908</t>
  </si>
  <si>
    <t>Consumer Sales 201908</t>
  </si>
  <si>
    <t>Consumer  Sales Tooling 201908</t>
  </si>
  <si>
    <t>Electronics Sales 201908</t>
  </si>
  <si>
    <t>Electronics Sales Tooling 201908</t>
  </si>
  <si>
    <t>Mechanic Sales 201908</t>
  </si>
  <si>
    <t>Mechanic Sales Tooling 201908</t>
  </si>
  <si>
    <t>Non Operating sales201908</t>
  </si>
  <si>
    <t>Partner Sales 201908</t>
  </si>
  <si>
    <t>Partner Sales Tooling 201908</t>
  </si>
  <si>
    <t>Sales - Discounts 201908</t>
  </si>
  <si>
    <t>Sales - Freight Out 201908</t>
  </si>
  <si>
    <t>Sales - Returns 201908</t>
  </si>
  <si>
    <t>Automotive Sales 201909</t>
  </si>
  <si>
    <t>Automotive Sales Tooling 201909</t>
  </si>
  <si>
    <t>Bulk Sales 201909</t>
  </si>
  <si>
    <t>Bulk Sales Tooling 201909</t>
  </si>
  <si>
    <t>Consumer Sales 201909</t>
  </si>
  <si>
    <t>Consumer  Sales Tooling 201909</t>
  </si>
  <si>
    <t>Electronics Sales 201909</t>
  </si>
  <si>
    <t>Electronics Sales Tooling 201909</t>
  </si>
  <si>
    <t>Mechanic Sales 201909</t>
  </si>
  <si>
    <t>Mechanic Sales Tooling 201909</t>
  </si>
  <si>
    <t>Non Operating sales201909</t>
  </si>
  <si>
    <t xml:space="preserve">Partner Sales 201909  </t>
  </si>
  <si>
    <t>Partner Sales Tooling 201909</t>
  </si>
  <si>
    <t>Sales - Discounts 201909</t>
  </si>
  <si>
    <t>Sales - Freight Out 201909</t>
  </si>
  <si>
    <t>Sales - Returns 201909</t>
  </si>
  <si>
    <t>Automotive Sales 201910</t>
  </si>
  <si>
    <t>Automotive Sales Tooling 201910</t>
  </si>
  <si>
    <t xml:space="preserve">Bulk Sales 201910  </t>
  </si>
  <si>
    <t>Bulk Sales Tooling 201910</t>
  </si>
  <si>
    <t xml:space="preserve">Consumer Sales 201910  </t>
  </si>
  <si>
    <t>Consumer  Sales Tooling 201910</t>
  </si>
  <si>
    <t>Electronics Sales 201910</t>
  </si>
  <si>
    <t>Electronics Sales Tooling 201910</t>
  </si>
  <si>
    <t>Mechanic Sales 201910</t>
  </si>
  <si>
    <t>Mechanic Sales Tooling 201910</t>
  </si>
  <si>
    <t>Non Operating sales201910</t>
  </si>
  <si>
    <t>Partner Sales 201910</t>
  </si>
  <si>
    <t>Partner Sales Tooling 201910</t>
  </si>
  <si>
    <t>Sales - Discounts 201910</t>
  </si>
  <si>
    <t>Sales - Freight Out 201910</t>
  </si>
  <si>
    <t>Sales - Returns 201910</t>
  </si>
  <si>
    <t>Automotive Sales 201911</t>
  </si>
  <si>
    <t>Automotive Sales Tooling 201911</t>
  </si>
  <si>
    <t xml:space="preserve">Bulk Sales 201911  </t>
  </si>
  <si>
    <t>Bulk Sales Tooling 201911</t>
  </si>
  <si>
    <t>Consumer Sales 201911</t>
  </si>
  <si>
    <t>Consumer  Sales Tooling 201911</t>
  </si>
  <si>
    <t>Electronics Sales 201911</t>
  </si>
  <si>
    <t>Electronics Sales Tooling 201911</t>
  </si>
  <si>
    <t>Mechanic Sales 201911</t>
  </si>
  <si>
    <t>Mechanic Sales Tooling 201911</t>
  </si>
  <si>
    <t>Non Operating sales201911</t>
  </si>
  <si>
    <t>Partner Sales 201911</t>
  </si>
  <si>
    <t>Partner Sales Tooling 201911</t>
  </si>
  <si>
    <t>Sales - Discounts 201911</t>
  </si>
  <si>
    <t>Sales - Freight Out 201911</t>
  </si>
  <si>
    <t>Sales - Returns 201911</t>
  </si>
  <si>
    <t>Automotive Sales 201912</t>
  </si>
  <si>
    <t>Automotive Sales Tooling 201912</t>
  </si>
  <si>
    <t>Bulk Sales 201912</t>
  </si>
  <si>
    <t>Bulk Sales Tooling 201912</t>
  </si>
  <si>
    <t>Consumer Sales 201912</t>
  </si>
  <si>
    <t>Consumer  Sales Tooling 201912</t>
  </si>
  <si>
    <t>Electronics Sales 201912</t>
  </si>
  <si>
    <t>Electronics Sales Tooling 201912</t>
  </si>
  <si>
    <t>Mechanic Sales 201912</t>
  </si>
  <si>
    <t>Mechanic Sales Tooling 201912</t>
  </si>
  <si>
    <t>Non Operating sales201912</t>
  </si>
  <si>
    <t>Partner Sales 201912</t>
  </si>
  <si>
    <t>Partner Sales Tooling 201912</t>
  </si>
  <si>
    <t>Sales - Discounts 201912</t>
  </si>
  <si>
    <t>Sales - Freight Out 201912</t>
  </si>
  <si>
    <t>Sales - Returns 201912</t>
  </si>
  <si>
    <t xml:space="preserve">Automotive Sales 201801  </t>
  </si>
  <si>
    <t>Automotive Sales Tooling 201801</t>
  </si>
  <si>
    <t>Bulk Sales 201801</t>
  </si>
  <si>
    <t>Bulk Sales Tooling 201801</t>
  </si>
  <si>
    <t>Consumer Sales 201801</t>
  </si>
  <si>
    <t>Consumer  Sales Tooling 201801</t>
  </si>
  <si>
    <t>Electronics Sales 201801</t>
  </si>
  <si>
    <t>Electronics Sales Tooling 201801</t>
  </si>
  <si>
    <t>Mechanic Sales 201801</t>
  </si>
  <si>
    <t>Mechanic Sales Tooling 201801</t>
  </si>
  <si>
    <t>Non Operating sales201801</t>
  </si>
  <si>
    <t>Partner Sales 201801</t>
  </si>
  <si>
    <t>Partner Sales Tooling 201801</t>
  </si>
  <si>
    <t>Sales - Discounts 201801</t>
  </si>
  <si>
    <t>Sales - Freight Out 201801</t>
  </si>
  <si>
    <t>Sales - Returns 201801</t>
  </si>
  <si>
    <t>Automotive Sales 201802</t>
  </si>
  <si>
    <t>Automotive Sales Tooling 201802</t>
  </si>
  <si>
    <t>Bulk Sales 201802</t>
  </si>
  <si>
    <t>Bulk Sales Tooling 201802</t>
  </si>
  <si>
    <t>Consumer Sales 201802</t>
  </si>
  <si>
    <t>Consumer  Sales Tooling 201802</t>
  </si>
  <si>
    <t>Electronics Sales 201802</t>
  </si>
  <si>
    <t>Electronics Sales Tooling 201802</t>
  </si>
  <si>
    <t>Mechanic Sales 201802</t>
  </si>
  <si>
    <t>Mechanic Sales Tooling 201802</t>
  </si>
  <si>
    <t>Non Operating sales201802</t>
  </si>
  <si>
    <t>Partner Sales 201802</t>
  </si>
  <si>
    <t>Partner Sales Tooling 201802</t>
  </si>
  <si>
    <t>Sales - Discounts 201802</t>
  </si>
  <si>
    <t>Sales - Freight Out 201802</t>
  </si>
  <si>
    <t>Sales - Returns 201802</t>
  </si>
  <si>
    <t>Automotive Sales 201803</t>
  </si>
  <si>
    <t>Automotive Sales Tooling 201803</t>
  </si>
  <si>
    <t>Bulk Sales 201803</t>
  </si>
  <si>
    <t>Bulk Sales Tooling 201803</t>
  </si>
  <si>
    <t>Consumer Sales 201803</t>
  </si>
  <si>
    <t>Consumer  Sales Tooling 201803</t>
  </si>
  <si>
    <t>Electronics Sales 201803</t>
  </si>
  <si>
    <t>Electronics Sales Tooling 201803</t>
  </si>
  <si>
    <t>Mechanic Sales 201803</t>
  </si>
  <si>
    <t>Mechanic Sales Tooling 201803</t>
  </si>
  <si>
    <t>Non Operating sales201803</t>
  </si>
  <si>
    <t>Partner Sales 201803</t>
  </si>
  <si>
    <t>Partner Sales Tooling 201803</t>
  </si>
  <si>
    <t>Sales - Discounts 201803</t>
  </si>
  <si>
    <t>Sales - Freight Out 201803</t>
  </si>
  <si>
    <t xml:space="preserve">Sales - Returns 201803  </t>
  </si>
  <si>
    <t>Automotive Sales 201804</t>
  </si>
  <si>
    <t>Automotive Sales Tooling 201804</t>
  </si>
  <si>
    <t>Bulk Sales 201804</t>
  </si>
  <si>
    <t>Bulk Sales Tooling 201804</t>
  </si>
  <si>
    <t>Consumer Sales 201804</t>
  </si>
  <si>
    <t>Consumer  Sales Tooling 201804</t>
  </si>
  <si>
    <t>Electronics Sales 201804</t>
  </si>
  <si>
    <t>Electronics Sales Tooling 201804</t>
  </si>
  <si>
    <t>Mechanic Sales 201804</t>
  </si>
  <si>
    <t>Mechanic Sales Tooling 201804</t>
  </si>
  <si>
    <t>Non Operating sales201804</t>
  </si>
  <si>
    <t>Partner Sales 201804</t>
  </si>
  <si>
    <t>Partner Sales Tooling 201804</t>
  </si>
  <si>
    <t>Sales - Discounts 201804</t>
  </si>
  <si>
    <t>Sales - Freight Out 201804</t>
  </si>
  <si>
    <t>Sales - Returns 201804</t>
  </si>
  <si>
    <t>Automotive Sales 201805</t>
  </si>
  <si>
    <t>Automotive Sales Tooling 201805</t>
  </si>
  <si>
    <t>Bulk Sales 201805</t>
  </si>
  <si>
    <t>Bulk Sales Tooling 201805</t>
  </si>
  <si>
    <t xml:space="preserve">Consumer Sales 201805  </t>
  </si>
  <si>
    <t>Consumer  Sales Tooling 201805</t>
  </si>
  <si>
    <t>Electronics Sales 201805</t>
  </si>
  <si>
    <t>Electronics Sales Tooling 201805</t>
  </si>
  <si>
    <t>Mechanic Sales 201805</t>
  </si>
  <si>
    <t>Mechanic Sales Tooling 201805</t>
  </si>
  <si>
    <t>Non Operating sales201805</t>
  </si>
  <si>
    <t>Partner Sales 201805</t>
  </si>
  <si>
    <t>Partner Sales Tooling 201805</t>
  </si>
  <si>
    <t>Sales - Discounts 201805</t>
  </si>
  <si>
    <t>Sales - Freight Out 201805</t>
  </si>
  <si>
    <t>Sales - Returns 201805</t>
  </si>
  <si>
    <t>Automotive Sales 201806</t>
  </si>
  <si>
    <t>Automotive Sales Tooling 201806</t>
  </si>
  <si>
    <t>Bulk Sales 201806</t>
  </si>
  <si>
    <t>Bulk Sales Tooling 201806</t>
  </si>
  <si>
    <t>Consumer Sales 201806</t>
  </si>
  <si>
    <t>Consumer  Sales Tooling 201806</t>
  </si>
  <si>
    <t>Electronics Sales 201806</t>
  </si>
  <si>
    <t>Electronics Sales Tooling 201806</t>
  </si>
  <si>
    <t>Mechanic Sales 201806</t>
  </si>
  <si>
    <t>Mechanic Sales Tooling 201806</t>
  </si>
  <si>
    <t>Non Operating sales201806</t>
  </si>
  <si>
    <t>Partner Sales 201806</t>
  </si>
  <si>
    <t>Partner Sales Tooling 201806</t>
  </si>
  <si>
    <t>Sales - Discounts 201806</t>
  </si>
  <si>
    <t>Sales - Freight Out 201806</t>
  </si>
  <si>
    <t>Sales - Returns 201806</t>
  </si>
  <si>
    <t>Automotive Sales 201807</t>
  </si>
  <si>
    <t>Automotive Sales Tooling 201807</t>
  </si>
  <si>
    <t>Bulk Sales 201807</t>
  </si>
  <si>
    <t>Bulk Sales Tooling 201807</t>
  </si>
  <si>
    <t>Consumer Sales 201807</t>
  </si>
  <si>
    <t>Consumer  Sales Tooling 201807</t>
  </si>
  <si>
    <t>Electronics Sales 201807</t>
  </si>
  <si>
    <t>Electronics Sales Tooling 201807</t>
  </si>
  <si>
    <t>Mechanic Sales 201807</t>
  </si>
  <si>
    <t>Mechanic Sales Tooling 201807</t>
  </si>
  <si>
    <t>Non Operating sales201807</t>
  </si>
  <si>
    <t>Partner Sales 201807</t>
  </si>
  <si>
    <t>Partner Sales Tooling 201807</t>
  </si>
  <si>
    <t>Sales - Discounts 201807</t>
  </si>
  <si>
    <t>Sales - Freight Out 201807</t>
  </si>
  <si>
    <t>Sales - Returns 201807</t>
  </si>
  <si>
    <t>Automotive Sales 201808</t>
  </si>
  <si>
    <t>Automotive Sales Tooling 201808</t>
  </si>
  <si>
    <t>Bulk Sales 201808</t>
  </si>
  <si>
    <t>Bulk Sales Tooling 201808</t>
  </si>
  <si>
    <t>Consumer Sales 201808</t>
  </si>
  <si>
    <t>Consumer  Sales Tooling 201808</t>
  </si>
  <si>
    <t>Electronics Sales 201808</t>
  </si>
  <si>
    <t>Electronics Sales Tooling 201808</t>
  </si>
  <si>
    <t>Mechanic Sales 201808</t>
  </si>
  <si>
    <t>Mechanic Sales Tooling 201808</t>
  </si>
  <si>
    <t>Non Operating sales201808</t>
  </si>
  <si>
    <t>Partner Sales 201808</t>
  </si>
  <si>
    <t>Partner Sales Tooling 201808</t>
  </si>
  <si>
    <t>Sales - Discounts 201808</t>
  </si>
  <si>
    <t>Sales - Freight Out 201808</t>
  </si>
  <si>
    <t>Sales - Returns 201808</t>
  </si>
  <si>
    <t>Automotive Sales 201809</t>
  </si>
  <si>
    <t>Automotive Sales Tooling 201809</t>
  </si>
  <si>
    <t>Bulk Sales 201809</t>
  </si>
  <si>
    <t>Bulk Sales Tooling 201809</t>
  </si>
  <si>
    <t>Consumer Sales 201809</t>
  </si>
  <si>
    <t>Consumer  Sales Tooling 201809</t>
  </si>
  <si>
    <t>Electronics Sales 201809</t>
  </si>
  <si>
    <t>Electronics Sales Tooling 201809</t>
  </si>
  <si>
    <t>Mechanic Sales 201809</t>
  </si>
  <si>
    <t>Mechanic Sales Tooling 201809</t>
  </si>
  <si>
    <t>Non Operating sales201809</t>
  </si>
  <si>
    <t>Partner Sales 201809</t>
  </si>
  <si>
    <t>Partner Sales Tooling 201809</t>
  </si>
  <si>
    <t>Sales - Discounts 201809</t>
  </si>
  <si>
    <t>Sales - Freight Out 201809</t>
  </si>
  <si>
    <t>Sales - Returns 201809</t>
  </si>
  <si>
    <t>Automotive Sales 201810</t>
  </si>
  <si>
    <t>Automotive Sales Tooling 201810</t>
  </si>
  <si>
    <t>Bulk Sales 201810</t>
  </si>
  <si>
    <t>Bulk Sales Tooling 201810</t>
  </si>
  <si>
    <t>Consumer Sales 201810</t>
  </si>
  <si>
    <t>Consumer  Sales Tooling 201810</t>
  </si>
  <si>
    <t>Electronics Sales 201810</t>
  </si>
  <si>
    <t>Electronics Sales Tooling 201810</t>
  </si>
  <si>
    <t>Mechanic Sales 201810</t>
  </si>
  <si>
    <t>Mechanic Sales Tooling 201810</t>
  </si>
  <si>
    <t>Non Operating sales201810</t>
  </si>
  <si>
    <t>Partner Sales 201810</t>
  </si>
  <si>
    <t>Partner Sales Tooling 201810</t>
  </si>
  <si>
    <t>Sales - Discounts 201810</t>
  </si>
  <si>
    <t>Sales - Freight Out 201810</t>
  </si>
  <si>
    <t>Sales - Returns 201810</t>
  </si>
  <si>
    <t xml:space="preserve">Automotive Sales 201811  </t>
  </si>
  <si>
    <t>Automotive Sales Tooling 201811</t>
  </si>
  <si>
    <t>Bulk Sales 201811</t>
  </si>
  <si>
    <t>Bulk Sales Tooling 201811</t>
  </si>
  <si>
    <t>Consumer Sales 201811</t>
  </si>
  <si>
    <t>Consumer  Sales Tooling 201811</t>
  </si>
  <si>
    <t>Electronics Sales 201811</t>
  </si>
  <si>
    <t>Electronics Sales Tooling 201811</t>
  </si>
  <si>
    <t>Mechanic Sales 201811</t>
  </si>
  <si>
    <t>Mechanic Sales Tooling 201811</t>
  </si>
  <si>
    <t>Non Operating sales201811</t>
  </si>
  <si>
    <t>Partner Sales 201811</t>
  </si>
  <si>
    <t>Partner Sales Tooling 201811</t>
  </si>
  <si>
    <t>Sales - Discounts 201811</t>
  </si>
  <si>
    <t>Sales - Freight Out 201811</t>
  </si>
  <si>
    <t>Sales - Returns 201811</t>
  </si>
  <si>
    <t>Automotive Sales 201812</t>
  </si>
  <si>
    <t>Automotive Sales Tooling 201812</t>
  </si>
  <si>
    <t>Bulk Sales 201812</t>
  </si>
  <si>
    <t>Bulk Sales Tooling 201812</t>
  </si>
  <si>
    <t>Consumer Sales 201812</t>
  </si>
  <si>
    <t>Consumer  Sales Tooling 201812</t>
  </si>
  <si>
    <t>Electronics Sales 201812</t>
  </si>
  <si>
    <t>Electronics Sales Tooling 201812</t>
  </si>
  <si>
    <t>Mechanic Sales 201812</t>
  </si>
  <si>
    <t>Mechanic Sales Tooling 201812</t>
  </si>
  <si>
    <t>Non Operating sales201812</t>
  </si>
  <si>
    <t>Partner Sales 201812</t>
  </si>
  <si>
    <t>Partner Sales Tooling 201812</t>
  </si>
  <si>
    <t>Sales - Discounts 201812</t>
  </si>
  <si>
    <t>Sales - Freight Out 201812</t>
  </si>
  <si>
    <t>Sales - Returns 201812</t>
  </si>
  <si>
    <t>Automotive Sales 201701</t>
  </si>
  <si>
    <t>Automotive Sales Tooling 201701</t>
  </si>
  <si>
    <t>Bulk Sales 201701</t>
  </si>
  <si>
    <t>Bulk Sales Tooling 201701</t>
  </si>
  <si>
    <t>Consumer Sales 201701</t>
  </si>
  <si>
    <t>Consumer  Sales Tooling 201701</t>
  </si>
  <si>
    <t>Electronics Sales 201701</t>
  </si>
  <si>
    <t>Electronics Sales Tooling 201701</t>
  </si>
  <si>
    <t xml:space="preserve">Mechanic Sales 201701  </t>
  </si>
  <si>
    <t>Mechanic Sales Tooling 201701</t>
  </si>
  <si>
    <t>Non Operating sales201701</t>
  </si>
  <si>
    <t>Partner Sales 201701</t>
  </si>
  <si>
    <t>Partner Sales Tooling 201701</t>
  </si>
  <si>
    <t>Sales - Discounts 201701</t>
  </si>
  <si>
    <t>Sales - Freight Out 201701</t>
  </si>
  <si>
    <t>Sales - Returns 201701</t>
  </si>
  <si>
    <t>Automotive Sales 201702</t>
  </si>
  <si>
    <t>Automotive Sales Tooling 201702</t>
  </si>
  <si>
    <t>Bulk Sales 201702</t>
  </si>
  <si>
    <t>Bulk Sales Tooling 201702</t>
  </si>
  <si>
    <t>Consumer Sales 201702</t>
  </si>
  <si>
    <t>Consumer  Sales Tooling 201702</t>
  </si>
  <si>
    <t>Electronics Sales 201702</t>
  </si>
  <si>
    <t>Electronics Sales Tooling 201702</t>
  </si>
  <si>
    <t>Mechanic Sales 201702</t>
  </si>
  <si>
    <t>Mechanic Sales Tooling 201702</t>
  </si>
  <si>
    <t>Non Operating sales201702</t>
  </si>
  <si>
    <t>Partner Sales 201702</t>
  </si>
  <si>
    <t>Partner Sales Tooling 201702</t>
  </si>
  <si>
    <t>Sales - Discounts 201702</t>
  </si>
  <si>
    <t>Sales - Freight Out 201702</t>
  </si>
  <si>
    <t>Sales - Returns 201702</t>
  </si>
  <si>
    <t>Automotive Sales 201703</t>
  </si>
  <si>
    <t>Automotive Sales Tooling 201703</t>
  </si>
  <si>
    <t>Bulk Sales 201703</t>
  </si>
  <si>
    <t>Bulk Sales Tooling 201703</t>
  </si>
  <si>
    <t>Consumer Sales 201703</t>
  </si>
  <si>
    <t>Consumer  Sales Tooling 201703</t>
  </si>
  <si>
    <t>Electronics Sales 201703</t>
  </si>
  <si>
    <t>Electronics Sales Tooling 201703</t>
  </si>
  <si>
    <t>Mechanic Sales 201703</t>
  </si>
  <si>
    <t>Mechanic Sales Tooling 201703</t>
  </si>
  <si>
    <t>Non Operating sales201703</t>
  </si>
  <si>
    <t>Partner Sales 201703</t>
  </si>
  <si>
    <t>Partner Sales Tooling 201703</t>
  </si>
  <si>
    <t>Sales - Discounts 201703</t>
  </si>
  <si>
    <t>Sales - Freight Out 201703</t>
  </si>
  <si>
    <t>Sales - Returns 201703</t>
  </si>
  <si>
    <t>Automotive Sales 201704</t>
  </si>
  <si>
    <t>Automotive Sales Tooling 201704</t>
  </si>
  <si>
    <t>Bulk Sales 201704</t>
  </si>
  <si>
    <t>Bulk Sales Tooling 201704</t>
  </si>
  <si>
    <t>Consumer Sales 201704</t>
  </si>
  <si>
    <t>Consumer  Sales Tooling 201704</t>
  </si>
  <si>
    <t>Electronics Sales 201704</t>
  </si>
  <si>
    <t>Electronics Sales Tooling 201704</t>
  </si>
  <si>
    <t>Mechanic Sales 201704</t>
  </si>
  <si>
    <t>Mechanic Sales Tooling 201704</t>
  </si>
  <si>
    <t>Non Operating sales201704</t>
  </si>
  <si>
    <t>Partner Sales 201704</t>
  </si>
  <si>
    <t>Partner Sales Tooling 201704</t>
  </si>
  <si>
    <t>Sales - Discounts 201704</t>
  </si>
  <si>
    <t>Sales - Freight Out 201704</t>
  </si>
  <si>
    <t>Sales - Returns 201704</t>
  </si>
  <si>
    <t>Automotive Sales 201705</t>
  </si>
  <si>
    <t>Automotive Sales Tooling 201705</t>
  </si>
  <si>
    <t>Bulk Sales 201705</t>
  </si>
  <si>
    <t>Bulk Sales Tooling 201705</t>
  </si>
  <si>
    <t>Consumer Sales 201705</t>
  </si>
  <si>
    <t>Consumer  Sales Tooling 201705</t>
  </si>
  <si>
    <t>Electronics Sales 201705</t>
  </si>
  <si>
    <t>Electronics Sales Tooling 201705</t>
  </si>
  <si>
    <t>Mechanic Sales 201705</t>
  </si>
  <si>
    <t>Mechanic Sales Tooling 201705</t>
  </si>
  <si>
    <t>Non Operating sales201705</t>
  </si>
  <si>
    <t>Partner Sales 201705</t>
  </si>
  <si>
    <t>Partner Sales Tooling 201705</t>
  </si>
  <si>
    <t>Sales - Discounts 201705</t>
  </si>
  <si>
    <t>Sales - Freight Out 201705</t>
  </si>
  <si>
    <t>Sales - Returns 201705</t>
  </si>
  <si>
    <t>Automotive Sales 201706</t>
  </si>
  <si>
    <t>Automotive Sales Tooling 201706</t>
  </si>
  <si>
    <t>Bulk Sales 201706</t>
  </si>
  <si>
    <t>Bulk Sales Tooling 201706</t>
  </si>
  <si>
    <t>Consumer Sales 201706</t>
  </si>
  <si>
    <t>Consumer  Sales Tooling 201706</t>
  </si>
  <si>
    <t>Electronics Sales 201706</t>
  </si>
  <si>
    <t>Electronics Sales Tooling 201706</t>
  </si>
  <si>
    <t>Mechanic Sales 201706</t>
  </si>
  <si>
    <t>Mechanic Sales Tooling 201706</t>
  </si>
  <si>
    <t>Non Operating sales201706</t>
  </si>
  <si>
    <t>Partner Sales 201706</t>
  </si>
  <si>
    <t>Partner Sales Tooling 201706</t>
  </si>
  <si>
    <t>Sales - Discounts 201706</t>
  </si>
  <si>
    <t>Sales - Freight Out 201706</t>
  </si>
  <si>
    <t>Sales - Returns 201706</t>
  </si>
  <si>
    <t>Automotive Sales 201707</t>
  </si>
  <si>
    <t>Automotive Sales Tooling 201707</t>
  </si>
  <si>
    <t>Bulk Sales 201707</t>
  </si>
  <si>
    <t>Bulk Sales Tooling 201707</t>
  </si>
  <si>
    <t xml:space="preserve">Consumer Sales 201707  </t>
  </si>
  <si>
    <t>Consumer  Sales Tooling 201707</t>
  </si>
  <si>
    <t>Electronics Sales 201707</t>
  </si>
  <si>
    <t>Electronics Sales Tooling 201707</t>
  </si>
  <si>
    <t>Mechanic Sales 201707</t>
  </si>
  <si>
    <t>Mechanic Sales Tooling 201707</t>
  </si>
  <si>
    <t>Non Operating sales201707</t>
  </si>
  <si>
    <t>Partner Sales 201707</t>
  </si>
  <si>
    <t>Partner Sales Tooling 201707</t>
  </si>
  <si>
    <t>Sales - Discounts 201707</t>
  </si>
  <si>
    <t>Sales - Freight Out 201707</t>
  </si>
  <si>
    <t xml:space="preserve">Sales - Returns 201707  </t>
  </si>
  <si>
    <t xml:space="preserve">Automotive Sales 201708  </t>
  </si>
  <si>
    <t>Automotive Sales Tooling 201708</t>
  </si>
  <si>
    <t>Bulk Sales 201708</t>
  </si>
  <si>
    <t>Bulk Sales Tooling 201708</t>
  </si>
  <si>
    <t xml:space="preserve">Consumer Sales 201708  </t>
  </si>
  <si>
    <t>Consumer  Sales Tooling 201708</t>
  </si>
  <si>
    <t>Electronics Sales 201708</t>
  </si>
  <si>
    <t>Electronics Sales Tooling 201708</t>
  </si>
  <si>
    <t xml:space="preserve">Mechanic Sales 201708  </t>
  </si>
  <si>
    <t>Mechanic Sales Tooling 201708</t>
  </si>
  <si>
    <t>Non Operating sales201708</t>
  </si>
  <si>
    <t xml:space="preserve">Partner Sales 201708  </t>
  </si>
  <si>
    <t>Partner Sales Tooling 201708</t>
  </si>
  <si>
    <t>Sales - Discounts 201708</t>
  </si>
  <si>
    <t>Sales - Freight Out 201708</t>
  </si>
  <si>
    <t>Sales - Returns 201708</t>
  </si>
  <si>
    <t>Automotive Sales 201709</t>
  </si>
  <si>
    <t>Automotive Sales Tooling 201709</t>
  </si>
  <si>
    <t>Bulk Sales 201709</t>
  </si>
  <si>
    <t>Bulk Sales Tooling 201709</t>
  </si>
  <si>
    <t>Consumer Sales 201709</t>
  </si>
  <si>
    <t>Consumer  Sales Tooling 201709</t>
  </si>
  <si>
    <t>Electronics Sales 201709</t>
  </si>
  <si>
    <t>Electronics Sales Tooling 201709</t>
  </si>
  <si>
    <t xml:space="preserve">Mechanic Sales 201709  </t>
  </si>
  <si>
    <t>Mechanic Sales Tooling 201709</t>
  </si>
  <si>
    <t>Non Operating sales201709</t>
  </si>
  <si>
    <t>Partner Sales 201709</t>
  </si>
  <si>
    <t>Partner Sales Tooling 201709</t>
  </si>
  <si>
    <t>Sales - Discounts 201709</t>
  </si>
  <si>
    <t>Sales - Freight Out 201709</t>
  </si>
  <si>
    <t>Sales - Returns 201709</t>
  </si>
  <si>
    <t>Automotive Sales 201710</t>
  </si>
  <si>
    <t>Automotive Sales Tooling 201710</t>
  </si>
  <si>
    <t>Bulk Sales 201710</t>
  </si>
  <si>
    <t>Bulk Sales Tooling 201710</t>
  </si>
  <si>
    <t>Consumer Sales 201710</t>
  </si>
  <si>
    <t>Consumer  Sales Tooling 201710</t>
  </si>
  <si>
    <t>Electronics Sales 201710</t>
  </si>
  <si>
    <t>Electronics Sales Tooling 201710</t>
  </si>
  <si>
    <t>Mechanic Sales 201710</t>
  </si>
  <si>
    <t>Mechanic Sales Tooling 201710</t>
  </si>
  <si>
    <t>Non Operating sales201710</t>
  </si>
  <si>
    <t>Partner Sales 201710</t>
  </si>
  <si>
    <t>Partner Sales Tooling 201710</t>
  </si>
  <si>
    <t>Sales - Discounts 201710</t>
  </si>
  <si>
    <t>Sales - Freight Out 201710</t>
  </si>
  <si>
    <t>Sales - Returns 201710</t>
  </si>
  <si>
    <t>Automotive Sales 201711</t>
  </si>
  <si>
    <t>Automotive Sales Tooling 201711</t>
  </si>
  <si>
    <t>Bulk Sales 201711</t>
  </si>
  <si>
    <t>Bulk Sales Tooling 201711</t>
  </si>
  <si>
    <t>Consumer Sales 201711</t>
  </si>
  <si>
    <t>Consumer  Sales Tooling 201711</t>
  </si>
  <si>
    <t>Electronics Sales 201711</t>
  </si>
  <si>
    <t>Electronics Sales Tooling 201711</t>
  </si>
  <si>
    <t xml:space="preserve">Mechanic Sales 201711  </t>
  </si>
  <si>
    <t>Mechanic Sales Tooling 201711</t>
  </si>
  <si>
    <t>Non Operating sales201711</t>
  </si>
  <si>
    <t>Partner Sales 201711</t>
  </si>
  <si>
    <t>Partner Sales Tooling 201711</t>
  </si>
  <si>
    <t>Sales - Discounts 201711</t>
  </si>
  <si>
    <t>Sales - Freight Out 201711</t>
  </si>
  <si>
    <t>Sales - Returns 201711</t>
  </si>
  <si>
    <t>Automotive Sales 201712</t>
  </si>
  <si>
    <t>Automotive Sales Tooling 201712</t>
  </si>
  <si>
    <t>Bulk Sales 201712</t>
  </si>
  <si>
    <t>Bulk Sales Tooling 201712</t>
  </si>
  <si>
    <t>Consumer Sales 201712</t>
  </si>
  <si>
    <t>Consumer  Sales Tooling 201712</t>
  </si>
  <si>
    <t>Electronics Sales 201712</t>
  </si>
  <si>
    <t>Electronics Sales Tooling 201712</t>
  </si>
  <si>
    <t>Mechanic Sales 201712</t>
  </si>
  <si>
    <t>Mechanic Sales Tooling 201712</t>
  </si>
  <si>
    <t>Non Operating sales201712</t>
  </si>
  <si>
    <t>Partner Sales 201712</t>
  </si>
  <si>
    <t>Partner Sales Tooling 201712</t>
  </si>
  <si>
    <t>Sales - Discounts 201712</t>
  </si>
  <si>
    <t>Sales - Freight Out 201712</t>
  </si>
  <si>
    <t>Sales - Returns 201712</t>
  </si>
  <si>
    <t>Year</t>
  </si>
  <si>
    <t>Account Date (Year Month)</t>
  </si>
  <si>
    <t>Remove Extra Spaces</t>
  </si>
  <si>
    <t>Amount (Formatted)</t>
  </si>
  <si>
    <t>Q39</t>
  </si>
  <si>
    <t>Q40</t>
  </si>
  <si>
    <t>Questions 38-40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</si>
</sst>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&quot;Year &quot;0"/>
    <numFmt numFmtId="165" formatCode="_(* #,##0_);_(* \(#,##0\);_(* &quot;-&quot;??_);_(@_)"/>
    <numFmt numFmtId="166" formatCode="0.0%_);\(0.0%\);\-\ "/>
    <numFmt numFmtId="167" formatCode="_([$$-409]* #,##0.00_);_([$$-409]* \(#,##0.00\);_([$$-409]* &quot;-&quot;??_);_(@_)"/>
    <numFmt numFmtId="169" formatCode="m/d/yy;@"/>
    <numFmt numFmtId="171" formatCode="0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48"/>
      <color theme="1"/>
      <name val="Cambria"/>
      <family val="1"/>
    </font>
    <font>
      <b/>
      <sz val="24"/>
      <color rgb="FF288E82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"/>
      <name val="Cambria"/>
      <family val="1"/>
    </font>
    <font>
      <i/>
      <sz val="11"/>
      <color theme="1"/>
      <name val="Cambria"/>
      <family val="1"/>
    </font>
    <font>
      <sz val="11"/>
      <color rgb="FF0000FF"/>
      <name val="Cambria"/>
      <family val="1"/>
    </font>
    <font>
      <b/>
      <sz val="20"/>
      <color theme="0"/>
      <name val="Cambria"/>
      <family val="1"/>
    </font>
    <font>
      <sz val="11"/>
      <color theme="0"/>
      <name val="Cambria"/>
      <family val="1"/>
    </font>
    <font>
      <sz val="11"/>
      <color theme="1" tint="0.499984740745262"/>
      <name val="Cambria"/>
      <family val="1"/>
    </font>
    <font>
      <sz val="11"/>
      <name val="Cambria"/>
      <family val="1"/>
    </font>
    <font>
      <b/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35BDAD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1" xfId="0" applyFont="1" applyBorder="1"/>
    <xf numFmtId="0" fontId="8" fillId="0" borderId="0" xfId="0" applyFont="1"/>
    <xf numFmtId="0" fontId="9" fillId="0" borderId="0" xfId="0" applyFont="1"/>
    <xf numFmtId="165" fontId="10" fillId="0" borderId="0" xfId="1" applyNumberFormat="1" applyFont="1"/>
    <xf numFmtId="0" fontId="10" fillId="0" borderId="0" xfId="0" quotePrefix="1" applyFont="1" applyAlignment="1">
      <alignment horizontal="right"/>
    </xf>
    <xf numFmtId="167" fontId="10" fillId="0" borderId="0" xfId="1" applyNumberFormat="1" applyFont="1"/>
    <xf numFmtId="165" fontId="2" fillId="2" borderId="0" xfId="1" applyNumberFormat="1" applyFont="1" applyFill="1"/>
    <xf numFmtId="167" fontId="2" fillId="2" borderId="0" xfId="1" applyNumberFormat="1" applyFont="1" applyFill="1"/>
    <xf numFmtId="165" fontId="3" fillId="2" borderId="0" xfId="1" applyNumberFormat="1" applyFont="1" applyFill="1"/>
    <xf numFmtId="166" fontId="9" fillId="2" borderId="0" xfId="0" applyNumberFormat="1" applyFont="1" applyFill="1"/>
    <xf numFmtId="165" fontId="3" fillId="2" borderId="0" xfId="0" applyNumberFormat="1" applyFont="1" applyFill="1"/>
    <xf numFmtId="166" fontId="9" fillId="2" borderId="0" xfId="0" applyNumberFormat="1" applyFont="1" applyFill="1" applyAlignment="1">
      <alignment horizontal="right"/>
    </xf>
    <xf numFmtId="165" fontId="2" fillId="2" borderId="0" xfId="0" applyNumberFormat="1" applyFont="1" applyFill="1"/>
    <xf numFmtId="0" fontId="9" fillId="0" borderId="0" xfId="0" applyFont="1" applyAlignment="1">
      <alignment horizontal="left" indent="1"/>
    </xf>
    <xf numFmtId="0" fontId="11" fillId="3" borderId="0" xfId="0" applyFont="1" applyFill="1"/>
    <xf numFmtId="0" fontId="12" fillId="3" borderId="0" xfId="0" applyFont="1" applyFill="1"/>
    <xf numFmtId="0" fontId="13" fillId="0" borderId="0" xfId="0" applyFont="1"/>
    <xf numFmtId="0" fontId="13" fillId="0" borderId="0" xfId="0" quotePrefix="1" applyFont="1"/>
    <xf numFmtId="164" fontId="3" fillId="0" borderId="1" xfId="0" applyNumberFormat="1" applyFont="1" applyBorder="1" applyAlignment="1">
      <alignment horizontal="center"/>
    </xf>
    <xf numFmtId="166" fontId="10" fillId="0" borderId="0" xfId="0" applyNumberFormat="1" applyFont="1"/>
    <xf numFmtId="166" fontId="9" fillId="0" borderId="0" xfId="0" quotePrefix="1" applyNumberFormat="1" applyFont="1" applyAlignment="1">
      <alignment horizontal="right"/>
    </xf>
    <xf numFmtId="0" fontId="14" fillId="0" borderId="0" xfId="0" applyNumberFormat="1" applyFont="1" applyFill="1" applyBorder="1" applyAlignment="1">
      <alignment horizontal="center"/>
    </xf>
    <xf numFmtId="0" fontId="14" fillId="0" borderId="0" xfId="0" applyNumberFormat="1" applyFont="1" applyFill="1" applyBorder="1" applyAlignment="1">
      <alignment horizontal="left"/>
    </xf>
    <xf numFmtId="0" fontId="14" fillId="0" borderId="0" xfId="1" applyNumberFormat="1" applyFont="1" applyFill="1" applyBorder="1" applyAlignment="1">
      <alignment horizontal="left"/>
    </xf>
    <xf numFmtId="0" fontId="14" fillId="0" borderId="0" xfId="0" applyNumberFormat="1" applyFont="1" applyFill="1" applyBorder="1" applyAlignment="1"/>
    <xf numFmtId="0" fontId="15" fillId="0" borderId="2" xfId="0" applyNumberFormat="1" applyFont="1" applyFill="1" applyBorder="1" applyAlignment="1">
      <alignment horizontal="left"/>
    </xf>
    <xf numFmtId="169" fontId="14" fillId="0" borderId="0" xfId="0" applyNumberFormat="1" applyFont="1" applyFill="1" applyBorder="1" applyAlignment="1">
      <alignment horizontal="left"/>
    </xf>
    <xf numFmtId="171" fontId="14" fillId="0" borderId="0" xfId="0" applyNumberFormat="1" applyFont="1" applyFill="1" applyBorder="1" applyAlignment="1">
      <alignment horizontal="left"/>
    </xf>
    <xf numFmtId="0" fontId="15" fillId="0" borderId="2" xfId="0" applyNumberFormat="1" applyFont="1" applyFill="1" applyBorder="1" applyAlignment="1">
      <alignment horizontal="center"/>
    </xf>
    <xf numFmtId="0" fontId="14" fillId="0" borderId="0" xfId="1" applyNumberFormat="1" applyFont="1" applyFill="1" applyBorder="1" applyAlignment="1">
      <alignment horizontal="center"/>
    </xf>
    <xf numFmtId="43" fontId="14" fillId="0" borderId="0" xfId="1" applyFont="1" applyFill="1" applyBorder="1" applyAlignment="1">
      <alignment horizontal="left"/>
    </xf>
    <xf numFmtId="43" fontId="14" fillId="0" borderId="0" xfId="1" quotePrefix="1" applyFont="1" applyFill="1" applyBorder="1" applyAlignment="1">
      <alignment horizontal="left"/>
    </xf>
    <xf numFmtId="0" fontId="11" fillId="3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15" fillId="2" borderId="2" xfId="0" applyNumberFormat="1" applyFont="1" applyFill="1" applyBorder="1" applyAlignment="1">
      <alignment horizontal="left"/>
    </xf>
    <xf numFmtId="165" fontId="14" fillId="2" borderId="0" xfId="1" applyNumberFormat="1" applyFont="1" applyFill="1" applyBorder="1" applyAlignment="1">
      <alignment horizontal="left"/>
    </xf>
    <xf numFmtId="165" fontId="2" fillId="0" borderId="0" xfId="1" applyNumberFormat="1" applyFont="1"/>
    <xf numFmtId="0" fontId="15" fillId="0" borderId="2" xfId="0" applyNumberFormat="1" applyFont="1" applyFill="1" applyBorder="1" applyAlignment="1">
      <alignment horizontal="center" wrapText="1"/>
    </xf>
    <xf numFmtId="43" fontId="14" fillId="2" borderId="0" xfId="1" applyFont="1" applyFill="1" applyBorder="1" applyAlignment="1">
      <alignment horizontal="left"/>
    </xf>
    <xf numFmtId="0" fontId="15" fillId="0" borderId="2" xfId="0" applyNumberFormat="1" applyFont="1" applyFill="1" applyBorder="1" applyAlignment="1"/>
    <xf numFmtId="0" fontId="2" fillId="0" borderId="0" xfId="0" applyFont="1" applyAlignment="1"/>
    <xf numFmtId="0" fontId="14" fillId="2" borderId="0" xfId="0" applyNumberFormat="1" applyFont="1" applyFill="1" applyBorder="1" applyAlignment="1"/>
    <xf numFmtId="43" fontId="14" fillId="2" borderId="0" xfId="1" quotePrefix="1" applyFont="1" applyFill="1" applyBorder="1" applyAlignment="1">
      <alignment horizontal="center"/>
    </xf>
    <xf numFmtId="165" fontId="13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FF"/>
      <color rgb="FF35BDAD"/>
      <color rgb="FF49C0F5"/>
      <color rgb="FF8CFCA7"/>
      <color rgb="FF288E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120650</xdr:colOff>
      <xdr:row>2</xdr:row>
      <xdr:rowOff>114300</xdr:rowOff>
    </xdr:from>
    <xdr:to>
      <xdr:col>5</xdr:col>
      <xdr:colOff>416140</xdr:colOff>
      <xdr:row>5</xdr:row>
      <xdr:rowOff>41910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73C5C1A-698A-4D10-B449-7BBA0E158CB7}"/>
            </a:ext>
          </a:extLst>
        </xdr:cNvPr>
        <xdr:cNvGrpSpPr>
          <a:grpSpLocks noChangeAspect="1"/>
        </xdr:cNvGrpSpPr>
      </xdr:nvGrpSpPr>
      <xdr:grpSpPr>
        <a:xfrm>
          <a:off x="234950" y="484414"/>
          <a:ext cx="2908061" cy="482782"/>
          <a:chOff x="1957445" y="4956085"/>
          <a:chExt cx="2757119" cy="433764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9E00396-7715-49BD-BCAE-CE7871B98F2D}"/>
              </a:ext>
            </a:extLst>
          </xdr:cNvPr>
          <xdr:cNvGrpSpPr>
            <a:grpSpLocks noChangeAspect="1"/>
          </xdr:cNvGrpSpPr>
        </xdr:nvGrpSpPr>
        <xdr:grpSpPr>
          <a:xfrm>
            <a:off x="1957445" y="4956085"/>
            <a:ext cx="365760" cy="365760"/>
            <a:chOff x="1578736" y="2802526"/>
            <a:chExt cx="1280160" cy="1280160"/>
          </a:xfrm>
        </xdr:grpSpPr>
        <xdr:sp macro="" textlink="">
          <xdr:nvSpPr>
            <xdr:cNvPr id="5" name="Freeform: Shape 4">
              <a:extLst>
                <a:ext uri="{FF2B5EF4-FFF2-40B4-BE49-F238E27FC236}">
                  <a16:creationId xmlns:a16="http://schemas.microsoft.com/office/drawing/2014/main" id="{37C54F2B-1ECC-484C-AAB0-A6AEC3E0FD03}"/>
                </a:ext>
              </a:extLst>
            </xdr:cNvPr>
            <xdr:cNvSpPr/>
          </xdr:nvSpPr>
          <xdr:spPr>
            <a:xfrm>
              <a:off x="1578736" y="2802526"/>
              <a:ext cx="1280160" cy="1280160"/>
            </a:xfrm>
            <a:custGeom>
              <a:avLst/>
              <a:gdLst>
                <a:gd name="connsiteX0" fmla="*/ 306771 w 306770"/>
                <a:gd name="connsiteY0" fmla="*/ 153385 h 306770"/>
                <a:gd name="connsiteX1" fmla="*/ 153385 w 306770"/>
                <a:gd name="connsiteY1" fmla="*/ 306771 h 306770"/>
                <a:gd name="connsiteX2" fmla="*/ 0 w 306770"/>
                <a:gd name="connsiteY2" fmla="*/ 153385 h 306770"/>
                <a:gd name="connsiteX3" fmla="*/ 153385 w 306770"/>
                <a:gd name="connsiteY3" fmla="*/ 0 h 306770"/>
                <a:gd name="connsiteX4" fmla="*/ 306771 w 306770"/>
                <a:gd name="connsiteY4" fmla="*/ 153385 h 306770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306770" h="306770">
                  <a:moveTo>
                    <a:pt x="306771" y="153385"/>
                  </a:moveTo>
                  <a:cubicBezTo>
                    <a:pt x="306771" y="238098"/>
                    <a:pt x="238098" y="306771"/>
                    <a:pt x="153385" y="306771"/>
                  </a:cubicBezTo>
                  <a:cubicBezTo>
                    <a:pt x="68673" y="306771"/>
                    <a:pt x="0" y="238098"/>
                    <a:pt x="0" y="153385"/>
                  </a:cubicBezTo>
                  <a:cubicBezTo>
                    <a:pt x="0" y="68673"/>
                    <a:pt x="68673" y="0"/>
                    <a:pt x="153385" y="0"/>
                  </a:cubicBezTo>
                  <a:cubicBezTo>
                    <a:pt x="238098" y="0"/>
                    <a:pt x="306771" y="68673"/>
                    <a:pt x="306771" y="153385"/>
                  </a:cubicBezTo>
                  <a:close/>
                </a:path>
              </a:pathLst>
            </a:custGeom>
            <a:solidFill>
              <a:srgbClr val="98EF9A"/>
            </a:solidFill>
            <a:ln w="3953" cap="flat">
              <a:noFill/>
              <a:prstDash val="solid"/>
              <a:round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68580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137160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205740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274320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342900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411480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480060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548640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 sz="4050"/>
            </a:p>
          </xdr:txBody>
        </xdr:sp>
        <xdr:sp macro="" textlink="">
          <xdr:nvSpPr>
            <xdr:cNvPr id="6" name="Freeform: Shape 5">
              <a:extLst>
                <a:ext uri="{FF2B5EF4-FFF2-40B4-BE49-F238E27FC236}">
                  <a16:creationId xmlns:a16="http://schemas.microsoft.com/office/drawing/2014/main" id="{218C6A8C-40B5-4E2E-B117-DB5B5105F01A}"/>
                </a:ext>
              </a:extLst>
            </xdr:cNvPr>
            <xdr:cNvSpPr/>
          </xdr:nvSpPr>
          <xdr:spPr>
            <a:xfrm>
              <a:off x="1644312" y="2969247"/>
              <a:ext cx="1174997" cy="983256"/>
            </a:xfrm>
            <a:custGeom>
              <a:avLst/>
              <a:gdLst>
                <a:gd name="connsiteX0" fmla="*/ 145577 w 281569"/>
                <a:gd name="connsiteY0" fmla="*/ 41484 h 235621"/>
                <a:gd name="connsiteX1" fmla="*/ 142019 w 281569"/>
                <a:gd name="connsiteY1" fmla="*/ 31997 h 235621"/>
                <a:gd name="connsiteX2" fmla="*/ 143996 w 281569"/>
                <a:gd name="connsiteY2" fmla="*/ 28043 h 235621"/>
                <a:gd name="connsiteX3" fmla="*/ 144391 w 281569"/>
                <a:gd name="connsiteY3" fmla="*/ 22509 h 235621"/>
                <a:gd name="connsiteX4" fmla="*/ 128183 w 281569"/>
                <a:gd name="connsiteY4" fmla="*/ 9859 h 235621"/>
                <a:gd name="connsiteX5" fmla="*/ 117905 w 281569"/>
                <a:gd name="connsiteY5" fmla="*/ 371 h 235621"/>
                <a:gd name="connsiteX6" fmla="*/ 114742 w 281569"/>
                <a:gd name="connsiteY6" fmla="*/ 19346 h 235621"/>
                <a:gd name="connsiteX7" fmla="*/ 122649 w 281569"/>
                <a:gd name="connsiteY7" fmla="*/ 43856 h 235621"/>
                <a:gd name="connsiteX8" fmla="*/ 49909 w 281569"/>
                <a:gd name="connsiteY8" fmla="*/ 109875 h 235621"/>
                <a:gd name="connsiteX9" fmla="*/ 45560 w 281569"/>
                <a:gd name="connsiteY9" fmla="*/ 119758 h 235621"/>
                <a:gd name="connsiteX10" fmla="*/ 25004 w 281569"/>
                <a:gd name="connsiteY10" fmla="*/ 107503 h 235621"/>
                <a:gd name="connsiteX11" fmla="*/ 21050 w 281569"/>
                <a:gd name="connsiteY11" fmla="*/ 108294 h 235621"/>
                <a:gd name="connsiteX12" fmla="*/ 1680 w 281569"/>
                <a:gd name="connsiteY12" fmla="*/ 140315 h 235621"/>
                <a:gd name="connsiteX13" fmla="*/ 2075 w 281569"/>
                <a:gd name="connsiteY13" fmla="*/ 145454 h 235621"/>
                <a:gd name="connsiteX14" fmla="*/ 39631 w 281569"/>
                <a:gd name="connsiteY14" fmla="*/ 167593 h 235621"/>
                <a:gd name="connsiteX15" fmla="*/ 44770 w 281569"/>
                <a:gd name="connsiteY15" fmla="*/ 170755 h 235621"/>
                <a:gd name="connsiteX16" fmla="*/ 51490 w 281569"/>
                <a:gd name="connsiteY16" fmla="*/ 170755 h 235621"/>
                <a:gd name="connsiteX17" fmla="*/ 70861 w 281569"/>
                <a:gd name="connsiteY17" fmla="*/ 141501 h 235621"/>
                <a:gd name="connsiteX18" fmla="*/ 70466 w 281569"/>
                <a:gd name="connsiteY18" fmla="*/ 135176 h 235621"/>
                <a:gd name="connsiteX19" fmla="*/ 52676 w 281569"/>
                <a:gd name="connsiteY19" fmla="*/ 124502 h 235621"/>
                <a:gd name="connsiteX20" fmla="*/ 52281 w 281569"/>
                <a:gd name="connsiteY20" fmla="*/ 123316 h 235621"/>
                <a:gd name="connsiteX21" fmla="*/ 56234 w 281569"/>
                <a:gd name="connsiteY21" fmla="*/ 117782 h 235621"/>
                <a:gd name="connsiteX22" fmla="*/ 53862 w 281569"/>
                <a:gd name="connsiteY22" fmla="*/ 112643 h 235621"/>
                <a:gd name="connsiteX23" fmla="*/ 109998 w 281569"/>
                <a:gd name="connsiteY23" fmla="*/ 69948 h 235621"/>
                <a:gd name="connsiteX24" fmla="*/ 130555 w 281569"/>
                <a:gd name="connsiteY24" fmla="*/ 115805 h 235621"/>
                <a:gd name="connsiteX25" fmla="*/ 89046 w 281569"/>
                <a:gd name="connsiteY25" fmla="*/ 196846 h 235621"/>
                <a:gd name="connsiteX26" fmla="*/ 80349 w 281569"/>
                <a:gd name="connsiteY26" fmla="*/ 196451 h 235621"/>
                <a:gd name="connsiteX27" fmla="*/ 75210 w 281569"/>
                <a:gd name="connsiteY27" fmla="*/ 235588 h 235621"/>
                <a:gd name="connsiteX28" fmla="*/ 84697 w 281569"/>
                <a:gd name="connsiteY28" fmla="*/ 217008 h 235621"/>
                <a:gd name="connsiteX29" fmla="*/ 89441 w 281569"/>
                <a:gd name="connsiteY29" fmla="*/ 205544 h 235621"/>
                <a:gd name="connsiteX30" fmla="*/ 93395 w 281569"/>
                <a:gd name="connsiteY30" fmla="*/ 209892 h 235621"/>
                <a:gd name="connsiteX31" fmla="*/ 156646 w 281569"/>
                <a:gd name="connsiteY31" fmla="*/ 131618 h 235621"/>
                <a:gd name="connsiteX32" fmla="*/ 175622 w 281569"/>
                <a:gd name="connsiteY32" fmla="*/ 127665 h 235621"/>
                <a:gd name="connsiteX33" fmla="*/ 247966 w 281569"/>
                <a:gd name="connsiteY33" fmla="*/ 135571 h 235621"/>
                <a:gd name="connsiteX34" fmla="*/ 249547 w 281569"/>
                <a:gd name="connsiteY34" fmla="*/ 135176 h 235621"/>
                <a:gd name="connsiteX35" fmla="*/ 255082 w 281569"/>
                <a:gd name="connsiteY35" fmla="*/ 144664 h 235621"/>
                <a:gd name="connsiteX36" fmla="*/ 279987 w 281569"/>
                <a:gd name="connsiteY36" fmla="*/ 124502 h 235621"/>
                <a:gd name="connsiteX37" fmla="*/ 273662 w 281569"/>
                <a:gd name="connsiteY37" fmla="*/ 124107 h 235621"/>
                <a:gd name="connsiteX38" fmla="*/ 251919 w 281569"/>
                <a:gd name="connsiteY38" fmla="*/ 132409 h 235621"/>
                <a:gd name="connsiteX39" fmla="*/ 253896 w 281569"/>
                <a:gd name="connsiteY39" fmla="*/ 128060 h 235621"/>
                <a:gd name="connsiteX40" fmla="*/ 253896 w 281569"/>
                <a:gd name="connsiteY40" fmla="*/ 128060 h 235621"/>
                <a:gd name="connsiteX41" fmla="*/ 167320 w 281569"/>
                <a:gd name="connsiteY41" fmla="*/ 103946 h 235621"/>
                <a:gd name="connsiteX42" fmla="*/ 162181 w 281569"/>
                <a:gd name="connsiteY42" fmla="*/ 89714 h 235621"/>
                <a:gd name="connsiteX43" fmla="*/ 164553 w 281569"/>
                <a:gd name="connsiteY43" fmla="*/ 69157 h 235621"/>
                <a:gd name="connsiteX44" fmla="*/ 227804 w 281569"/>
                <a:gd name="connsiteY44" fmla="*/ 26462 h 235621"/>
                <a:gd name="connsiteX45" fmla="*/ 235711 w 281569"/>
                <a:gd name="connsiteY45" fmla="*/ 22509 h 235621"/>
                <a:gd name="connsiteX46" fmla="*/ 230967 w 281569"/>
                <a:gd name="connsiteY46" fmla="*/ 14998 h 235621"/>
                <a:gd name="connsiteX47" fmla="*/ 223061 w 281569"/>
                <a:gd name="connsiteY47" fmla="*/ 18160 h 235621"/>
                <a:gd name="connsiteX48" fmla="*/ 225037 w 281569"/>
                <a:gd name="connsiteY48" fmla="*/ 22114 h 235621"/>
                <a:gd name="connsiteX49" fmla="*/ 172459 w 281569"/>
                <a:gd name="connsiteY49" fmla="*/ 46228 h 235621"/>
                <a:gd name="connsiteX50" fmla="*/ 145577 w 281569"/>
                <a:gd name="connsiteY50" fmla="*/ 41484 h 235621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  <a:cxn ang="0">
                  <a:pos x="connsiteX14" y="connsiteY14"/>
                </a:cxn>
                <a:cxn ang="0">
                  <a:pos x="connsiteX15" y="connsiteY15"/>
                </a:cxn>
                <a:cxn ang="0">
                  <a:pos x="connsiteX16" y="connsiteY16"/>
                </a:cxn>
                <a:cxn ang="0">
                  <a:pos x="connsiteX17" y="connsiteY17"/>
                </a:cxn>
                <a:cxn ang="0">
                  <a:pos x="connsiteX18" y="connsiteY18"/>
                </a:cxn>
                <a:cxn ang="0">
                  <a:pos x="connsiteX19" y="connsiteY19"/>
                </a:cxn>
                <a:cxn ang="0">
                  <a:pos x="connsiteX20" y="connsiteY20"/>
                </a:cxn>
                <a:cxn ang="0">
                  <a:pos x="connsiteX21" y="connsiteY21"/>
                </a:cxn>
                <a:cxn ang="0">
                  <a:pos x="connsiteX22" y="connsiteY22"/>
                </a:cxn>
                <a:cxn ang="0">
                  <a:pos x="connsiteX23" y="connsiteY23"/>
                </a:cxn>
                <a:cxn ang="0">
                  <a:pos x="connsiteX24" y="connsiteY24"/>
                </a:cxn>
                <a:cxn ang="0">
                  <a:pos x="connsiteX25" y="connsiteY25"/>
                </a:cxn>
                <a:cxn ang="0">
                  <a:pos x="connsiteX26" y="connsiteY26"/>
                </a:cxn>
                <a:cxn ang="0">
                  <a:pos x="connsiteX27" y="connsiteY27"/>
                </a:cxn>
                <a:cxn ang="0">
                  <a:pos x="connsiteX28" y="connsiteY28"/>
                </a:cxn>
                <a:cxn ang="0">
                  <a:pos x="connsiteX29" y="connsiteY29"/>
                </a:cxn>
                <a:cxn ang="0">
                  <a:pos x="connsiteX30" y="connsiteY30"/>
                </a:cxn>
                <a:cxn ang="0">
                  <a:pos x="connsiteX31" y="connsiteY31"/>
                </a:cxn>
                <a:cxn ang="0">
                  <a:pos x="connsiteX32" y="connsiteY32"/>
                </a:cxn>
                <a:cxn ang="0">
                  <a:pos x="connsiteX33" y="connsiteY33"/>
                </a:cxn>
                <a:cxn ang="0">
                  <a:pos x="connsiteX34" y="connsiteY34"/>
                </a:cxn>
                <a:cxn ang="0">
                  <a:pos x="connsiteX35" y="connsiteY35"/>
                </a:cxn>
                <a:cxn ang="0">
                  <a:pos x="connsiteX36" y="connsiteY36"/>
                </a:cxn>
                <a:cxn ang="0">
                  <a:pos x="connsiteX37" y="connsiteY37"/>
                </a:cxn>
                <a:cxn ang="0">
                  <a:pos x="connsiteX38" y="connsiteY38"/>
                </a:cxn>
                <a:cxn ang="0">
                  <a:pos x="connsiteX39" y="connsiteY39"/>
                </a:cxn>
                <a:cxn ang="0">
                  <a:pos x="connsiteX40" y="connsiteY40"/>
                </a:cxn>
                <a:cxn ang="0">
                  <a:pos x="connsiteX41" y="connsiteY41"/>
                </a:cxn>
                <a:cxn ang="0">
                  <a:pos x="connsiteX42" y="connsiteY42"/>
                </a:cxn>
                <a:cxn ang="0">
                  <a:pos x="connsiteX43" y="connsiteY43"/>
                </a:cxn>
                <a:cxn ang="0">
                  <a:pos x="connsiteX44" y="connsiteY44"/>
                </a:cxn>
                <a:cxn ang="0">
                  <a:pos x="connsiteX45" y="connsiteY45"/>
                </a:cxn>
                <a:cxn ang="0">
                  <a:pos x="connsiteX46" y="connsiteY46"/>
                </a:cxn>
                <a:cxn ang="0">
                  <a:pos x="connsiteX47" y="connsiteY47"/>
                </a:cxn>
                <a:cxn ang="0">
                  <a:pos x="connsiteX48" y="connsiteY48"/>
                </a:cxn>
                <a:cxn ang="0">
                  <a:pos x="connsiteX49" y="connsiteY49"/>
                </a:cxn>
                <a:cxn ang="0">
                  <a:pos x="connsiteX50" y="connsiteY50"/>
                </a:cxn>
              </a:cxnLst>
              <a:rect l="l" t="t" r="r" b="b"/>
              <a:pathLst>
                <a:path w="281569" h="235621">
                  <a:moveTo>
                    <a:pt x="145577" y="41484"/>
                  </a:moveTo>
                  <a:cubicBezTo>
                    <a:pt x="145577" y="41484"/>
                    <a:pt x="142415" y="33183"/>
                    <a:pt x="142019" y="31997"/>
                  </a:cubicBezTo>
                  <a:cubicBezTo>
                    <a:pt x="141229" y="30415"/>
                    <a:pt x="141624" y="29229"/>
                    <a:pt x="143996" y="28043"/>
                  </a:cubicBezTo>
                  <a:cubicBezTo>
                    <a:pt x="145973" y="26858"/>
                    <a:pt x="147949" y="25276"/>
                    <a:pt x="144391" y="22509"/>
                  </a:cubicBezTo>
                  <a:cubicBezTo>
                    <a:pt x="140833" y="19742"/>
                    <a:pt x="132136" y="14998"/>
                    <a:pt x="128183" y="9859"/>
                  </a:cubicBezTo>
                  <a:cubicBezTo>
                    <a:pt x="124230" y="4719"/>
                    <a:pt x="119881" y="-1606"/>
                    <a:pt x="117905" y="371"/>
                  </a:cubicBezTo>
                  <a:cubicBezTo>
                    <a:pt x="115928" y="2347"/>
                    <a:pt x="109603" y="5905"/>
                    <a:pt x="114742" y="19346"/>
                  </a:cubicBezTo>
                  <a:cubicBezTo>
                    <a:pt x="117509" y="27253"/>
                    <a:pt x="123439" y="40298"/>
                    <a:pt x="122649" y="43856"/>
                  </a:cubicBezTo>
                  <a:cubicBezTo>
                    <a:pt x="117114" y="44647"/>
                    <a:pt x="53467" y="58088"/>
                    <a:pt x="49909" y="109875"/>
                  </a:cubicBezTo>
                  <a:cubicBezTo>
                    <a:pt x="47537" y="109480"/>
                    <a:pt x="39631" y="110666"/>
                    <a:pt x="45560" y="119758"/>
                  </a:cubicBezTo>
                  <a:cubicBezTo>
                    <a:pt x="29352" y="110666"/>
                    <a:pt x="25004" y="107503"/>
                    <a:pt x="25004" y="107503"/>
                  </a:cubicBezTo>
                  <a:cubicBezTo>
                    <a:pt x="25004" y="107503"/>
                    <a:pt x="22632" y="105922"/>
                    <a:pt x="21050" y="108294"/>
                  </a:cubicBezTo>
                  <a:cubicBezTo>
                    <a:pt x="19469" y="110666"/>
                    <a:pt x="2470" y="139129"/>
                    <a:pt x="1680" y="140315"/>
                  </a:cubicBezTo>
                  <a:cubicBezTo>
                    <a:pt x="889" y="141501"/>
                    <a:pt x="-1878" y="142687"/>
                    <a:pt x="2075" y="145454"/>
                  </a:cubicBezTo>
                  <a:cubicBezTo>
                    <a:pt x="6028" y="147826"/>
                    <a:pt x="34491" y="164430"/>
                    <a:pt x="39631" y="167593"/>
                  </a:cubicBezTo>
                  <a:lnTo>
                    <a:pt x="44770" y="170755"/>
                  </a:lnTo>
                  <a:cubicBezTo>
                    <a:pt x="44770" y="170755"/>
                    <a:pt x="48328" y="174313"/>
                    <a:pt x="51490" y="170755"/>
                  </a:cubicBezTo>
                  <a:cubicBezTo>
                    <a:pt x="54653" y="167197"/>
                    <a:pt x="70861" y="141501"/>
                    <a:pt x="70861" y="141501"/>
                  </a:cubicBezTo>
                  <a:cubicBezTo>
                    <a:pt x="70861" y="141501"/>
                    <a:pt x="74024" y="137548"/>
                    <a:pt x="70466" y="135176"/>
                  </a:cubicBezTo>
                  <a:cubicBezTo>
                    <a:pt x="67303" y="133199"/>
                    <a:pt x="53467" y="125293"/>
                    <a:pt x="52676" y="124502"/>
                  </a:cubicBezTo>
                  <a:cubicBezTo>
                    <a:pt x="51886" y="123712"/>
                    <a:pt x="51095" y="123316"/>
                    <a:pt x="52281" y="123316"/>
                  </a:cubicBezTo>
                  <a:cubicBezTo>
                    <a:pt x="52676" y="123316"/>
                    <a:pt x="56234" y="123712"/>
                    <a:pt x="56234" y="117782"/>
                  </a:cubicBezTo>
                  <a:cubicBezTo>
                    <a:pt x="56234" y="114619"/>
                    <a:pt x="53862" y="112643"/>
                    <a:pt x="53862" y="112643"/>
                  </a:cubicBezTo>
                  <a:cubicBezTo>
                    <a:pt x="53862" y="112643"/>
                    <a:pt x="64141" y="70738"/>
                    <a:pt x="109998" y="69948"/>
                  </a:cubicBezTo>
                  <a:cubicBezTo>
                    <a:pt x="109603" y="77459"/>
                    <a:pt x="113951" y="94458"/>
                    <a:pt x="130555" y="115805"/>
                  </a:cubicBezTo>
                  <a:cubicBezTo>
                    <a:pt x="129764" y="134385"/>
                    <a:pt x="117905" y="184196"/>
                    <a:pt x="89046" y="196846"/>
                  </a:cubicBezTo>
                  <a:cubicBezTo>
                    <a:pt x="86674" y="192893"/>
                    <a:pt x="82721" y="186963"/>
                    <a:pt x="80349" y="196451"/>
                  </a:cubicBezTo>
                  <a:cubicBezTo>
                    <a:pt x="74024" y="223333"/>
                    <a:pt x="72442" y="236379"/>
                    <a:pt x="75210" y="235588"/>
                  </a:cubicBezTo>
                  <a:cubicBezTo>
                    <a:pt x="75210" y="235588"/>
                    <a:pt x="79163" y="225310"/>
                    <a:pt x="84697" y="217008"/>
                  </a:cubicBezTo>
                  <a:cubicBezTo>
                    <a:pt x="90232" y="208706"/>
                    <a:pt x="88255" y="203962"/>
                    <a:pt x="89441" y="205544"/>
                  </a:cubicBezTo>
                  <a:cubicBezTo>
                    <a:pt x="92209" y="210287"/>
                    <a:pt x="92999" y="209892"/>
                    <a:pt x="93395" y="209892"/>
                  </a:cubicBezTo>
                  <a:cubicBezTo>
                    <a:pt x="97743" y="206729"/>
                    <a:pt x="147949" y="178662"/>
                    <a:pt x="156646" y="131618"/>
                  </a:cubicBezTo>
                  <a:cubicBezTo>
                    <a:pt x="160600" y="131223"/>
                    <a:pt x="167320" y="131223"/>
                    <a:pt x="175622" y="127665"/>
                  </a:cubicBezTo>
                  <a:cubicBezTo>
                    <a:pt x="184319" y="124107"/>
                    <a:pt x="215945" y="118177"/>
                    <a:pt x="247966" y="135571"/>
                  </a:cubicBezTo>
                  <a:cubicBezTo>
                    <a:pt x="248361" y="135967"/>
                    <a:pt x="249152" y="134781"/>
                    <a:pt x="249547" y="135176"/>
                  </a:cubicBezTo>
                  <a:cubicBezTo>
                    <a:pt x="248757" y="141106"/>
                    <a:pt x="251129" y="147826"/>
                    <a:pt x="255082" y="144664"/>
                  </a:cubicBezTo>
                  <a:cubicBezTo>
                    <a:pt x="259035" y="141501"/>
                    <a:pt x="276034" y="127665"/>
                    <a:pt x="279987" y="124502"/>
                  </a:cubicBezTo>
                  <a:cubicBezTo>
                    <a:pt x="283940" y="121340"/>
                    <a:pt x="279987" y="119758"/>
                    <a:pt x="273662" y="124107"/>
                  </a:cubicBezTo>
                  <a:cubicBezTo>
                    <a:pt x="265756" y="129246"/>
                    <a:pt x="251919" y="132409"/>
                    <a:pt x="251919" y="132409"/>
                  </a:cubicBezTo>
                  <a:cubicBezTo>
                    <a:pt x="251919" y="132409"/>
                    <a:pt x="254291" y="128456"/>
                    <a:pt x="253896" y="128060"/>
                  </a:cubicBezTo>
                  <a:cubicBezTo>
                    <a:pt x="252710" y="126874"/>
                    <a:pt x="254686" y="128851"/>
                    <a:pt x="253896" y="128060"/>
                  </a:cubicBezTo>
                  <a:cubicBezTo>
                    <a:pt x="251919" y="126479"/>
                    <a:pt x="217526" y="96039"/>
                    <a:pt x="167320" y="103946"/>
                  </a:cubicBezTo>
                  <a:cubicBezTo>
                    <a:pt x="165739" y="103550"/>
                    <a:pt x="162576" y="97620"/>
                    <a:pt x="162181" y="89714"/>
                  </a:cubicBezTo>
                  <a:cubicBezTo>
                    <a:pt x="161786" y="81807"/>
                    <a:pt x="165343" y="70738"/>
                    <a:pt x="164553" y="69157"/>
                  </a:cubicBezTo>
                  <a:cubicBezTo>
                    <a:pt x="163367" y="65994"/>
                    <a:pt x="217526" y="68762"/>
                    <a:pt x="227804" y="26462"/>
                  </a:cubicBezTo>
                  <a:cubicBezTo>
                    <a:pt x="231758" y="25276"/>
                    <a:pt x="231758" y="26462"/>
                    <a:pt x="235711" y="22509"/>
                  </a:cubicBezTo>
                  <a:cubicBezTo>
                    <a:pt x="239664" y="18556"/>
                    <a:pt x="235316" y="18951"/>
                    <a:pt x="230967" y="14998"/>
                  </a:cubicBezTo>
                  <a:cubicBezTo>
                    <a:pt x="226619" y="11045"/>
                    <a:pt x="224247" y="14603"/>
                    <a:pt x="223061" y="18160"/>
                  </a:cubicBezTo>
                  <a:cubicBezTo>
                    <a:pt x="221875" y="21718"/>
                    <a:pt x="223851" y="20532"/>
                    <a:pt x="225037" y="22114"/>
                  </a:cubicBezTo>
                  <a:cubicBezTo>
                    <a:pt x="223456" y="24486"/>
                    <a:pt x="204480" y="55321"/>
                    <a:pt x="172459" y="46228"/>
                  </a:cubicBezTo>
                  <a:cubicBezTo>
                    <a:pt x="152298" y="39903"/>
                    <a:pt x="145577" y="41484"/>
                    <a:pt x="145577" y="41484"/>
                  </a:cubicBezTo>
                  <a:close/>
                </a:path>
              </a:pathLst>
            </a:custGeom>
            <a:solidFill>
              <a:srgbClr val="000000"/>
            </a:solidFill>
            <a:ln w="3953" cap="flat">
              <a:noFill/>
              <a:prstDash val="solid"/>
              <a:round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68580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137160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205740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274320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342900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411480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480060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548640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 sz="4050"/>
            </a:p>
          </xdr:txBody>
        </xdr:sp>
        <xdr:sp macro="" textlink="">
          <xdr:nvSpPr>
            <xdr:cNvPr id="7" name="Freeform: Shape 6">
              <a:extLst>
                <a:ext uri="{FF2B5EF4-FFF2-40B4-BE49-F238E27FC236}">
                  <a16:creationId xmlns:a16="http://schemas.microsoft.com/office/drawing/2014/main" id="{6A1726B6-13EC-4E96-A47C-326E70A64133}"/>
                </a:ext>
              </a:extLst>
            </xdr:cNvPr>
            <xdr:cNvSpPr/>
          </xdr:nvSpPr>
          <xdr:spPr>
            <a:xfrm>
              <a:off x="2167441" y="3152261"/>
              <a:ext cx="108385" cy="230959"/>
            </a:xfrm>
            <a:custGeom>
              <a:avLst/>
              <a:gdLst>
                <a:gd name="connsiteX0" fmla="*/ 11125 w 25973"/>
                <a:gd name="connsiteY0" fmla="*/ 5535 h 55345"/>
                <a:gd name="connsiteX1" fmla="*/ 17450 w 25973"/>
                <a:gd name="connsiteY1" fmla="*/ 0 h 55345"/>
                <a:gd name="connsiteX2" fmla="*/ 23380 w 25973"/>
                <a:gd name="connsiteY2" fmla="*/ 15813 h 55345"/>
                <a:gd name="connsiteX3" fmla="*/ 21799 w 25973"/>
                <a:gd name="connsiteY3" fmla="*/ 55345 h 55345"/>
                <a:gd name="connsiteX4" fmla="*/ 3614 w 25973"/>
                <a:gd name="connsiteY4" fmla="*/ 28859 h 55345"/>
                <a:gd name="connsiteX5" fmla="*/ 56 w 25973"/>
                <a:gd name="connsiteY5" fmla="*/ 1581 h 55345"/>
                <a:gd name="connsiteX6" fmla="*/ 11125 w 25973"/>
                <a:gd name="connsiteY6" fmla="*/ 5535 h 55345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</a:cxnLst>
              <a:rect l="l" t="t" r="r" b="b"/>
              <a:pathLst>
                <a:path w="25973" h="55345">
                  <a:moveTo>
                    <a:pt x="11125" y="5535"/>
                  </a:moveTo>
                  <a:cubicBezTo>
                    <a:pt x="13497" y="5139"/>
                    <a:pt x="17450" y="0"/>
                    <a:pt x="17450" y="0"/>
                  </a:cubicBezTo>
                  <a:cubicBezTo>
                    <a:pt x="17450" y="0"/>
                    <a:pt x="21008" y="5535"/>
                    <a:pt x="23380" y="15813"/>
                  </a:cubicBezTo>
                  <a:cubicBezTo>
                    <a:pt x="28520" y="40718"/>
                    <a:pt x="24962" y="51392"/>
                    <a:pt x="21799" y="55345"/>
                  </a:cubicBezTo>
                  <a:cubicBezTo>
                    <a:pt x="13497" y="54159"/>
                    <a:pt x="7963" y="43090"/>
                    <a:pt x="3614" y="28859"/>
                  </a:cubicBezTo>
                  <a:cubicBezTo>
                    <a:pt x="-734" y="15022"/>
                    <a:pt x="56" y="1581"/>
                    <a:pt x="56" y="1581"/>
                  </a:cubicBezTo>
                  <a:cubicBezTo>
                    <a:pt x="56" y="1581"/>
                    <a:pt x="8753" y="5930"/>
                    <a:pt x="11125" y="5535"/>
                  </a:cubicBezTo>
                  <a:close/>
                </a:path>
              </a:pathLst>
            </a:custGeom>
            <a:solidFill>
              <a:srgbClr val="FFFFFF"/>
            </a:solidFill>
            <a:ln w="3953" cap="flat">
              <a:noFill/>
              <a:prstDash val="solid"/>
              <a:round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68580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137160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205740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274320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342900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411480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480060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548640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 sz="4050"/>
            </a:p>
          </xdr:txBody>
        </xdr:sp>
        <xdr:sp macro="" textlink="">
          <xdr:nvSpPr>
            <xdr:cNvPr id="8" name="Freeform: Shape 7">
              <a:extLst>
                <a:ext uri="{FF2B5EF4-FFF2-40B4-BE49-F238E27FC236}">
                  <a16:creationId xmlns:a16="http://schemas.microsoft.com/office/drawing/2014/main" id="{9DAB2029-EEEE-4F1C-85F6-C6C52FBDEEE1}"/>
                </a:ext>
              </a:extLst>
            </xdr:cNvPr>
            <xdr:cNvSpPr/>
          </xdr:nvSpPr>
          <xdr:spPr>
            <a:xfrm>
              <a:off x="2197369" y="3150610"/>
              <a:ext cx="81739" cy="257715"/>
            </a:xfrm>
            <a:custGeom>
              <a:avLst/>
              <a:gdLst>
                <a:gd name="connsiteX0" fmla="*/ 0 w 19588"/>
                <a:gd name="connsiteY0" fmla="*/ 2372 h 61757"/>
                <a:gd name="connsiteX1" fmla="*/ 8697 w 19588"/>
                <a:gd name="connsiteY1" fmla="*/ 56531 h 61757"/>
                <a:gd name="connsiteX2" fmla="*/ 18976 w 19588"/>
                <a:gd name="connsiteY2" fmla="*/ 52973 h 61757"/>
                <a:gd name="connsiteX3" fmla="*/ 3953 w 19588"/>
                <a:gd name="connsiteY3" fmla="*/ 1581 h 61757"/>
                <a:gd name="connsiteX4" fmla="*/ 3163 w 19588"/>
                <a:gd name="connsiteY4" fmla="*/ 0 h 61757"/>
                <a:gd name="connsiteX5" fmla="*/ 0 w 19588"/>
                <a:gd name="connsiteY5" fmla="*/ 2372 h 6175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</a:cxnLst>
              <a:rect l="l" t="t" r="r" b="b"/>
              <a:pathLst>
                <a:path w="19588" h="61757">
                  <a:moveTo>
                    <a:pt x="0" y="2372"/>
                  </a:moveTo>
                  <a:cubicBezTo>
                    <a:pt x="0" y="2372"/>
                    <a:pt x="6720" y="48229"/>
                    <a:pt x="8697" y="56531"/>
                  </a:cubicBezTo>
                  <a:cubicBezTo>
                    <a:pt x="9488" y="60880"/>
                    <a:pt x="22533" y="67205"/>
                    <a:pt x="18976" y="52973"/>
                  </a:cubicBezTo>
                  <a:cubicBezTo>
                    <a:pt x="15418" y="38742"/>
                    <a:pt x="3953" y="1581"/>
                    <a:pt x="3953" y="1581"/>
                  </a:cubicBezTo>
                  <a:lnTo>
                    <a:pt x="3163" y="0"/>
                  </a:lnTo>
                  <a:lnTo>
                    <a:pt x="0" y="2372"/>
                  </a:lnTo>
                  <a:close/>
                </a:path>
              </a:pathLst>
            </a:custGeom>
            <a:solidFill>
              <a:srgbClr val="151B19"/>
            </a:solidFill>
            <a:ln w="3953" cap="flat">
              <a:noFill/>
              <a:prstDash val="solid"/>
              <a:round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68580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137160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205740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274320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342900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411480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480060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5486400" algn="l" defTabSz="1371600" rtl="0" eaLnBrk="1" latinLnBrk="0" hangingPunct="1">
                <a:defRPr sz="27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 sz="4050"/>
            </a:p>
          </xdr:txBody>
        </xdr:sp>
      </xdr:grpSp>
      <xdr:pic>
        <xdr:nvPicPr>
          <xdr:cNvPr id="4" name="Picture 3" descr="A close up of a sign&#10;&#10;Description automatically generated">
            <a:extLst>
              <a:ext uri="{FF2B5EF4-FFF2-40B4-BE49-F238E27FC236}">
                <a16:creationId xmlns:a16="http://schemas.microsoft.com/office/drawing/2014/main" id="{F58E606C-2FE7-43E8-A916-1C4F32CC150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51444" b="9752"/>
          <a:stretch/>
        </xdr:blipFill>
        <xdr:spPr>
          <a:xfrm>
            <a:off x="2377764" y="4968197"/>
            <a:ext cx="2336800" cy="42165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B7:B9"/>
  <sheetViews>
    <sheetView showGridLines="0" tabSelected="1" workbookViewId="0"/>
  </sheetViews>
  <sheetFormatPr defaultRowHeight="14.6" x14ac:dyDescent="0.4"/>
  <cols>
    <col min="1" max="1" width="1.61328125" customWidth="1"/>
  </cols>
  <sheetData>
    <row r="7" spans="2:2" ht="59.15" x14ac:dyDescent="1.3">
      <c r="B7" s="3" t="s">
        <v>0</v>
      </c>
    </row>
    <row r="9" spans="2:2" ht="29.6" x14ac:dyDescent="0.65">
      <c r="B9" s="4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801FA-53DF-4530-95F7-14F4F8208D92}">
  <sheetPr>
    <tabColor theme="4" tint="0.59999389629810485"/>
  </sheetPr>
  <dimension ref="B2:K41"/>
  <sheetViews>
    <sheetView showGridLines="0" workbookViewId="0"/>
  </sheetViews>
  <sheetFormatPr defaultColWidth="12.61328125" defaultRowHeight="14.15" x14ac:dyDescent="0.35"/>
  <cols>
    <col min="1" max="1" width="1.61328125" style="1" customWidth="1"/>
    <col min="2" max="9" width="12.61328125" style="1"/>
    <col min="10" max="10" width="1.61328125" style="1" customWidth="1"/>
    <col min="11" max="11" width="50.61328125" style="21" customWidth="1"/>
    <col min="12" max="16384" width="12.61328125" style="1"/>
  </cols>
  <sheetData>
    <row r="2" spans="2:11" ht="24.9" x14ac:dyDescent="0.55000000000000004">
      <c r="B2" s="19" t="s">
        <v>30</v>
      </c>
      <c r="C2" s="20"/>
      <c r="D2" s="20"/>
      <c r="E2" s="20"/>
      <c r="F2" s="20"/>
      <c r="G2" s="20"/>
      <c r="H2" s="20"/>
      <c r="I2" s="20"/>
    </row>
    <row r="4" spans="2:11" ht="14.6" thickBot="1" x14ac:dyDescent="0.4">
      <c r="E4" s="23">
        <v>1</v>
      </c>
      <c r="F4" s="23">
        <f>E4+1</f>
        <v>2</v>
      </c>
      <c r="G4" s="23">
        <f t="shared" ref="G4:I4" si="0">F4+1</f>
        <v>3</v>
      </c>
      <c r="H4" s="23">
        <f t="shared" si="0"/>
        <v>4</v>
      </c>
      <c r="I4" s="23">
        <f t="shared" si="0"/>
        <v>5</v>
      </c>
    </row>
    <row r="6" spans="2:11" x14ac:dyDescent="0.35">
      <c r="B6" s="1" t="s">
        <v>2</v>
      </c>
      <c r="E6" s="8">
        <v>5000</v>
      </c>
      <c r="F6" s="11"/>
      <c r="G6" s="11"/>
      <c r="H6" s="11"/>
      <c r="I6" s="11"/>
      <c r="K6" s="22" t="s">
        <v>43</v>
      </c>
    </row>
    <row r="7" spans="2:11" x14ac:dyDescent="0.35">
      <c r="B7" s="1" t="s">
        <v>3</v>
      </c>
      <c r="E7" s="10">
        <v>24.99</v>
      </c>
      <c r="F7" s="12"/>
      <c r="G7" s="12"/>
      <c r="H7" s="12"/>
      <c r="I7" s="12"/>
      <c r="K7" s="22" t="s">
        <v>44</v>
      </c>
    </row>
    <row r="8" spans="2:11" x14ac:dyDescent="0.35">
      <c r="B8" s="2" t="s">
        <v>4</v>
      </c>
      <c r="E8" s="13"/>
      <c r="F8" s="13"/>
      <c r="G8" s="13"/>
      <c r="H8" s="13"/>
      <c r="I8" s="13"/>
      <c r="K8" s="22" t="s">
        <v>38</v>
      </c>
    </row>
    <row r="9" spans="2:11" s="7" customFormat="1" x14ac:dyDescent="0.35">
      <c r="B9" s="18" t="s">
        <v>27</v>
      </c>
      <c r="E9" s="25" t="s">
        <v>49</v>
      </c>
      <c r="F9" s="14"/>
      <c r="G9" s="14"/>
      <c r="H9" s="14"/>
      <c r="I9" s="14"/>
      <c r="K9" s="22" t="s">
        <v>39</v>
      </c>
    </row>
    <row r="11" spans="2:11" x14ac:dyDescent="0.35">
      <c r="B11" s="1" t="s">
        <v>5</v>
      </c>
      <c r="E11" s="10">
        <v>10</v>
      </c>
      <c r="F11" s="12"/>
      <c r="G11" s="12"/>
      <c r="H11" s="12"/>
      <c r="I11" s="12"/>
      <c r="K11" s="22" t="s">
        <v>45</v>
      </c>
    </row>
    <row r="12" spans="2:11" x14ac:dyDescent="0.35">
      <c r="B12" s="1" t="s">
        <v>6</v>
      </c>
      <c r="E12" s="11"/>
      <c r="F12" s="11"/>
      <c r="G12" s="11"/>
      <c r="H12" s="11"/>
      <c r="I12" s="11"/>
      <c r="K12" s="22" t="s">
        <v>37</v>
      </c>
    </row>
    <row r="13" spans="2:11" x14ac:dyDescent="0.35">
      <c r="B13" s="2" t="s">
        <v>7</v>
      </c>
      <c r="E13" s="15"/>
      <c r="F13" s="15"/>
      <c r="G13" s="15"/>
      <c r="H13" s="15"/>
      <c r="I13" s="15"/>
      <c r="K13" s="22" t="s">
        <v>36</v>
      </c>
    </row>
    <row r="14" spans="2:11" s="7" customFormat="1" x14ac:dyDescent="0.35">
      <c r="B14" s="18" t="s">
        <v>8</v>
      </c>
      <c r="E14" s="16"/>
      <c r="F14" s="16"/>
      <c r="G14" s="16"/>
      <c r="H14" s="16"/>
      <c r="I14" s="16"/>
      <c r="K14" s="22" t="s">
        <v>40</v>
      </c>
    </row>
    <row r="16" spans="2:11" x14ac:dyDescent="0.35">
      <c r="B16" s="1" t="s">
        <v>9</v>
      </c>
      <c r="E16" s="11"/>
      <c r="F16" s="11"/>
      <c r="G16" s="11"/>
      <c r="H16" s="11"/>
      <c r="I16" s="11"/>
      <c r="K16" s="22" t="s">
        <v>46</v>
      </c>
    </row>
    <row r="17" spans="2:11" x14ac:dyDescent="0.35">
      <c r="B17" s="1" t="s">
        <v>10</v>
      </c>
      <c r="E17" s="8">
        <v>-7500</v>
      </c>
      <c r="F17" s="17"/>
      <c r="G17" s="17"/>
      <c r="H17" s="17"/>
      <c r="I17" s="17"/>
      <c r="K17" s="22" t="s">
        <v>47</v>
      </c>
    </row>
    <row r="18" spans="2:11" x14ac:dyDescent="0.35">
      <c r="B18" s="2" t="s">
        <v>15</v>
      </c>
      <c r="E18" s="15"/>
      <c r="F18" s="15"/>
      <c r="G18" s="15"/>
      <c r="H18" s="15"/>
      <c r="I18" s="15"/>
      <c r="K18" s="22" t="s">
        <v>35</v>
      </c>
    </row>
    <row r="19" spans="2:11" s="7" customFormat="1" x14ac:dyDescent="0.35">
      <c r="B19" s="18" t="s">
        <v>24</v>
      </c>
      <c r="E19" s="16"/>
      <c r="F19" s="16"/>
      <c r="G19" s="16"/>
      <c r="H19" s="16"/>
      <c r="I19" s="16"/>
      <c r="K19" s="22" t="s">
        <v>41</v>
      </c>
    </row>
    <row r="21" spans="2:11" x14ac:dyDescent="0.35">
      <c r="B21" s="1" t="s">
        <v>11</v>
      </c>
      <c r="E21" s="11"/>
      <c r="F21" s="11"/>
      <c r="G21" s="11"/>
      <c r="H21" s="11"/>
      <c r="I21" s="11"/>
      <c r="K21" s="22" t="s">
        <v>46</v>
      </c>
    </row>
    <row r="22" spans="2:11" x14ac:dyDescent="0.35">
      <c r="B22" s="2" t="s">
        <v>16</v>
      </c>
      <c r="E22" s="15"/>
      <c r="F22" s="15"/>
      <c r="G22" s="15"/>
      <c r="H22" s="15"/>
      <c r="I22" s="15"/>
      <c r="K22" s="22" t="s">
        <v>34</v>
      </c>
    </row>
    <row r="23" spans="2:11" s="7" customFormat="1" x14ac:dyDescent="0.35">
      <c r="B23" s="18" t="s">
        <v>25</v>
      </c>
      <c r="E23" s="16"/>
      <c r="F23" s="16"/>
      <c r="G23" s="16"/>
      <c r="H23" s="16"/>
      <c r="I23" s="16"/>
      <c r="K23" s="22" t="s">
        <v>42</v>
      </c>
    </row>
    <row r="25" spans="2:11" x14ac:dyDescent="0.35">
      <c r="B25" s="1" t="s">
        <v>12</v>
      </c>
      <c r="E25" s="8">
        <v>-1500</v>
      </c>
      <c r="F25" s="8">
        <v>-1500</v>
      </c>
      <c r="G25" s="8">
        <v>-1500</v>
      </c>
      <c r="H25" s="8">
        <v>-1500</v>
      </c>
      <c r="I25" s="8">
        <v>-1500</v>
      </c>
    </row>
    <row r="26" spans="2:11" x14ac:dyDescent="0.35">
      <c r="B26" s="2" t="s">
        <v>22</v>
      </c>
      <c r="E26" s="15"/>
      <c r="F26" s="15"/>
      <c r="G26" s="15"/>
      <c r="H26" s="15"/>
      <c r="I26" s="15"/>
      <c r="K26" s="22" t="s">
        <v>33</v>
      </c>
    </row>
    <row r="28" spans="2:11" x14ac:dyDescent="0.35">
      <c r="B28" s="1" t="s">
        <v>13</v>
      </c>
      <c r="E28" s="11"/>
      <c r="F28" s="11"/>
      <c r="G28" s="11"/>
      <c r="H28" s="11"/>
      <c r="I28" s="11"/>
      <c r="K28" s="22" t="s">
        <v>48</v>
      </c>
    </row>
    <row r="29" spans="2:11" x14ac:dyDescent="0.35">
      <c r="B29" s="2" t="s">
        <v>14</v>
      </c>
      <c r="E29" s="15"/>
      <c r="F29" s="15"/>
      <c r="G29" s="15"/>
      <c r="H29" s="15"/>
      <c r="I29" s="15"/>
      <c r="K29" s="22" t="s">
        <v>32</v>
      </c>
    </row>
    <row r="30" spans="2:11" s="7" customFormat="1" x14ac:dyDescent="0.35">
      <c r="B30" s="18" t="s">
        <v>26</v>
      </c>
      <c r="E30" s="16"/>
      <c r="F30" s="16"/>
      <c r="G30" s="16"/>
      <c r="H30" s="16"/>
      <c r="I30" s="16"/>
      <c r="K30" s="22" t="s">
        <v>31</v>
      </c>
    </row>
    <row r="33" spans="2:9" x14ac:dyDescent="0.35">
      <c r="B33" s="6" t="s">
        <v>29</v>
      </c>
    </row>
    <row r="34" spans="2:9" x14ac:dyDescent="0.35">
      <c r="B34" s="1" t="s">
        <v>20</v>
      </c>
      <c r="E34" s="9" t="s">
        <v>49</v>
      </c>
      <c r="F34" s="24">
        <v>0.05</v>
      </c>
      <c r="G34" s="24">
        <v>0.05</v>
      </c>
      <c r="H34" s="24">
        <v>0.05</v>
      </c>
      <c r="I34" s="24">
        <v>0.05</v>
      </c>
    </row>
    <row r="35" spans="2:9" x14ac:dyDescent="0.35">
      <c r="B35" s="1" t="s">
        <v>19</v>
      </c>
      <c r="E35" s="9" t="s">
        <v>49</v>
      </c>
      <c r="F35" s="24">
        <v>1.4999999999999999E-2</v>
      </c>
      <c r="G35" s="24">
        <v>1.4999999999999999E-2</v>
      </c>
      <c r="H35" s="24">
        <v>1.4999999999999999E-2</v>
      </c>
      <c r="I35" s="24">
        <v>1.4999999999999999E-2</v>
      </c>
    </row>
    <row r="36" spans="2:9" x14ac:dyDescent="0.35">
      <c r="B36" s="1" t="s">
        <v>18</v>
      </c>
      <c r="E36" s="9" t="s">
        <v>49</v>
      </c>
      <c r="F36" s="24">
        <v>0.02</v>
      </c>
      <c r="G36" s="24">
        <v>0.02</v>
      </c>
      <c r="H36" s="24">
        <v>0.02</v>
      </c>
      <c r="I36" s="24">
        <v>0.02</v>
      </c>
    </row>
    <row r="37" spans="2:9" x14ac:dyDescent="0.35">
      <c r="B37" s="1" t="s">
        <v>17</v>
      </c>
      <c r="E37" s="24">
        <v>0.152</v>
      </c>
      <c r="F37" s="24">
        <f>E37+0.002</f>
        <v>0.154</v>
      </c>
      <c r="G37" s="24">
        <f t="shared" ref="G37:I37" si="1">F37+0.002</f>
        <v>0.156</v>
      </c>
      <c r="H37" s="24">
        <f t="shared" si="1"/>
        <v>0.158</v>
      </c>
      <c r="I37" s="24">
        <f t="shared" si="1"/>
        <v>0.16</v>
      </c>
    </row>
    <row r="38" spans="2:9" x14ac:dyDescent="0.35">
      <c r="B38" s="1" t="s">
        <v>21</v>
      </c>
      <c r="E38" s="9" t="s">
        <v>49</v>
      </c>
      <c r="F38" s="24">
        <v>0.02</v>
      </c>
      <c r="G38" s="24">
        <v>0.02</v>
      </c>
      <c r="H38" s="24">
        <v>0.02</v>
      </c>
      <c r="I38" s="24">
        <v>0.02</v>
      </c>
    </row>
    <row r="39" spans="2:9" x14ac:dyDescent="0.35">
      <c r="B39" s="1" t="s">
        <v>28</v>
      </c>
      <c r="E39" s="24">
        <v>3.5000000000000003E-2</v>
      </c>
      <c r="F39" s="24">
        <v>3.5000000000000003E-2</v>
      </c>
      <c r="G39" s="24">
        <v>3.5000000000000003E-2</v>
      </c>
      <c r="H39" s="24">
        <v>3.5000000000000003E-2</v>
      </c>
      <c r="I39" s="24">
        <v>3.5000000000000003E-2</v>
      </c>
    </row>
    <row r="40" spans="2:9" x14ac:dyDescent="0.35">
      <c r="B40" s="1" t="s">
        <v>23</v>
      </c>
      <c r="E40" s="24">
        <v>0.25</v>
      </c>
      <c r="F40" s="24">
        <v>0.25</v>
      </c>
      <c r="G40" s="24">
        <v>0.25</v>
      </c>
      <c r="H40" s="24">
        <v>0.25</v>
      </c>
      <c r="I40" s="24">
        <v>0.25</v>
      </c>
    </row>
    <row r="41" spans="2:9" ht="14.6" thickBot="1" x14ac:dyDescent="0.4">
      <c r="B41" s="5"/>
      <c r="C41" s="5"/>
      <c r="D41" s="5"/>
      <c r="E41" s="5"/>
      <c r="F41" s="5"/>
      <c r="G41" s="5"/>
      <c r="H41" s="5"/>
      <c r="I41" s="5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7B51-A424-4242-8A51-3DAE8A8BD14C}">
  <sheetPr>
    <tabColor rgb="FFC00000"/>
  </sheetPr>
  <dimension ref="B2:K41"/>
  <sheetViews>
    <sheetView showGridLines="0" workbookViewId="0"/>
  </sheetViews>
  <sheetFormatPr defaultColWidth="12.61328125" defaultRowHeight="14.15" x14ac:dyDescent="0.35"/>
  <cols>
    <col min="1" max="1" width="1.61328125" style="1" customWidth="1"/>
    <col min="2" max="9" width="12.61328125" style="1"/>
    <col min="10" max="10" width="1.61328125" style="1" customWidth="1"/>
    <col min="11" max="11" width="50.61328125" style="21" customWidth="1"/>
    <col min="12" max="16384" width="12.61328125" style="1"/>
  </cols>
  <sheetData>
    <row r="2" spans="2:11" ht="24.9" x14ac:dyDescent="0.55000000000000004">
      <c r="B2" s="19" t="s">
        <v>30</v>
      </c>
      <c r="C2" s="20"/>
      <c r="D2" s="20"/>
      <c r="E2" s="20"/>
      <c r="F2" s="20"/>
      <c r="G2" s="20"/>
      <c r="H2" s="20"/>
      <c r="I2" s="20"/>
    </row>
    <row r="4" spans="2:11" ht="14.6" thickBot="1" x14ac:dyDescent="0.4">
      <c r="E4" s="23">
        <v>1</v>
      </c>
      <c r="F4" s="23">
        <f>E4+1</f>
        <v>2</v>
      </c>
      <c r="G4" s="23">
        <f t="shared" ref="G4:I4" si="0">F4+1</f>
        <v>3</v>
      </c>
      <c r="H4" s="23">
        <f t="shared" si="0"/>
        <v>4</v>
      </c>
      <c r="I4" s="23">
        <f t="shared" si="0"/>
        <v>5</v>
      </c>
    </row>
    <row r="6" spans="2:11" x14ac:dyDescent="0.35">
      <c r="B6" s="1" t="s">
        <v>2</v>
      </c>
      <c r="E6" s="8">
        <v>5000</v>
      </c>
      <c r="F6" s="11">
        <f t="shared" ref="F6:I7" si="1">E6*(1+F34)</f>
        <v>5250</v>
      </c>
      <c r="G6" s="11">
        <f t="shared" si="1"/>
        <v>5512.5</v>
      </c>
      <c r="H6" s="11">
        <f t="shared" si="1"/>
        <v>5788.125</v>
      </c>
      <c r="I6" s="11">
        <f t="shared" si="1"/>
        <v>6077.53125</v>
      </c>
      <c r="K6" s="22" t="s">
        <v>43</v>
      </c>
    </row>
    <row r="7" spans="2:11" x14ac:dyDescent="0.35">
      <c r="B7" s="1" t="s">
        <v>3</v>
      </c>
      <c r="E7" s="10">
        <v>24.99</v>
      </c>
      <c r="F7" s="12">
        <f t="shared" si="1"/>
        <v>25.364849999999997</v>
      </c>
      <c r="G7" s="12">
        <f t="shared" si="1"/>
        <v>25.745322749999996</v>
      </c>
      <c r="H7" s="12">
        <f t="shared" si="1"/>
        <v>26.131502591249994</v>
      </c>
      <c r="I7" s="12">
        <f t="shared" si="1"/>
        <v>26.52347513011874</v>
      </c>
      <c r="K7" s="22" t="s">
        <v>44</v>
      </c>
    </row>
    <row r="8" spans="2:11" x14ac:dyDescent="0.35">
      <c r="B8" s="2" t="s">
        <v>4</v>
      </c>
      <c r="E8" s="13">
        <f>E6*E7</f>
        <v>124949.99999999999</v>
      </c>
      <c r="F8" s="13">
        <f t="shared" ref="F8:I8" si="2">F6*F7</f>
        <v>133165.46249999999</v>
      </c>
      <c r="G8" s="13">
        <f t="shared" si="2"/>
        <v>141921.09165937497</v>
      </c>
      <c r="H8" s="13">
        <f t="shared" si="2"/>
        <v>151252.40343597886</v>
      </c>
      <c r="I8" s="13">
        <f t="shared" si="2"/>
        <v>161197.24896189445</v>
      </c>
      <c r="K8" s="22" t="s">
        <v>38</v>
      </c>
    </row>
    <row r="9" spans="2:11" s="7" customFormat="1" x14ac:dyDescent="0.35">
      <c r="B9" s="18" t="s">
        <v>27</v>
      </c>
      <c r="E9" s="25" t="s">
        <v>49</v>
      </c>
      <c r="F9" s="14">
        <f>F8/E8-1</f>
        <v>6.5749999999999975E-2</v>
      </c>
      <c r="G9" s="14">
        <f t="shared" ref="G9:I9" si="3">G8/F8-1</f>
        <v>6.5749999999999753E-2</v>
      </c>
      <c r="H9" s="14">
        <f t="shared" si="3"/>
        <v>6.5749999999999975E-2</v>
      </c>
      <c r="I9" s="14">
        <f t="shared" si="3"/>
        <v>6.5749999999999753E-2</v>
      </c>
      <c r="K9" s="22" t="s">
        <v>39</v>
      </c>
    </row>
    <row r="11" spans="2:11" x14ac:dyDescent="0.35">
      <c r="B11" s="1" t="s">
        <v>5</v>
      </c>
      <c r="E11" s="10">
        <v>10</v>
      </c>
      <c r="F11" s="12">
        <f>E11*(1+F36)</f>
        <v>10.199999999999999</v>
      </c>
      <c r="G11" s="12">
        <f>F11*(1+G36)</f>
        <v>10.404</v>
      </c>
      <c r="H11" s="12">
        <f>G11*(1+H36)</f>
        <v>10.612080000000001</v>
      </c>
      <c r="I11" s="12">
        <f>H11*(1+I36)</f>
        <v>10.824321600000001</v>
      </c>
      <c r="K11" s="22" t="s">
        <v>45</v>
      </c>
    </row>
    <row r="12" spans="2:11" x14ac:dyDescent="0.35">
      <c r="B12" s="1" t="s">
        <v>6</v>
      </c>
      <c r="E12" s="11">
        <f>-E6*E11</f>
        <v>-50000</v>
      </c>
      <c r="F12" s="11">
        <f t="shared" ref="F12:I12" si="4">-F6*F11</f>
        <v>-53549.999999999993</v>
      </c>
      <c r="G12" s="11">
        <f t="shared" si="4"/>
        <v>-57352.05</v>
      </c>
      <c r="H12" s="11">
        <f t="shared" si="4"/>
        <v>-61424.045550000003</v>
      </c>
      <c r="I12" s="11">
        <f t="shared" si="4"/>
        <v>-65785.152784050006</v>
      </c>
      <c r="K12" s="22" t="s">
        <v>37</v>
      </c>
    </row>
    <row r="13" spans="2:11" x14ac:dyDescent="0.35">
      <c r="B13" s="2" t="s">
        <v>7</v>
      </c>
      <c r="E13" s="15">
        <f>E8+E12</f>
        <v>74949.999999999985</v>
      </c>
      <c r="F13" s="15">
        <f t="shared" ref="F13:I13" si="5">F8+F12</f>
        <v>79615.462499999994</v>
      </c>
      <c r="G13" s="15">
        <f t="shared" si="5"/>
        <v>84569.041659374969</v>
      </c>
      <c r="H13" s="15">
        <f t="shared" si="5"/>
        <v>89828.357885978854</v>
      </c>
      <c r="I13" s="15">
        <f t="shared" si="5"/>
        <v>95412.096177844447</v>
      </c>
      <c r="K13" s="22" t="s">
        <v>36</v>
      </c>
    </row>
    <row r="14" spans="2:11" s="7" customFormat="1" x14ac:dyDescent="0.35">
      <c r="B14" s="18" t="s">
        <v>8</v>
      </c>
      <c r="E14" s="16">
        <f>E13/E$8</f>
        <v>0.59983993597438967</v>
      </c>
      <c r="F14" s="16">
        <f t="shared" ref="F14:I14" si="6">F13/F$8</f>
        <v>0.59786870413189908</v>
      </c>
      <c r="G14" s="16">
        <f t="shared" si="6"/>
        <v>0.59588776178772118</v>
      </c>
      <c r="H14" s="16">
        <f t="shared" si="6"/>
        <v>0.59389706110687235</v>
      </c>
      <c r="I14" s="16">
        <f t="shared" si="6"/>
        <v>0.59189655401872887</v>
      </c>
      <c r="K14" s="22" t="s">
        <v>40</v>
      </c>
    </row>
    <row r="16" spans="2:11" x14ac:dyDescent="0.35">
      <c r="B16" s="1" t="s">
        <v>9</v>
      </c>
      <c r="E16" s="11">
        <f>-E8*E37</f>
        <v>-18992.399999999998</v>
      </c>
      <c r="F16" s="11">
        <f>-F8*F37</f>
        <v>-20507.481225</v>
      </c>
      <c r="G16" s="11">
        <f>-G8*G37</f>
        <v>-22139.690298862497</v>
      </c>
      <c r="H16" s="11">
        <f>-H8*H37</f>
        <v>-23897.879742884659</v>
      </c>
      <c r="I16" s="11">
        <f>-I8*I37</f>
        <v>-25791.559833903113</v>
      </c>
      <c r="K16" s="22" t="s">
        <v>46</v>
      </c>
    </row>
    <row r="17" spans="2:11" x14ac:dyDescent="0.35">
      <c r="B17" s="1" t="s">
        <v>10</v>
      </c>
      <c r="E17" s="8">
        <v>-7500</v>
      </c>
      <c r="F17" s="17">
        <f>E17*(1+F38)</f>
        <v>-7650</v>
      </c>
      <c r="G17" s="17">
        <f>F17*(1+G38)</f>
        <v>-7803</v>
      </c>
      <c r="H17" s="17">
        <f>G17*(1+H38)</f>
        <v>-7959.06</v>
      </c>
      <c r="I17" s="17">
        <f>H17*(1+I38)</f>
        <v>-8118.2412000000004</v>
      </c>
      <c r="K17" s="22" t="s">
        <v>47</v>
      </c>
    </row>
    <row r="18" spans="2:11" x14ac:dyDescent="0.35">
      <c r="B18" s="2" t="s">
        <v>15</v>
      </c>
      <c r="E18" s="15">
        <f>E13+E16+E17</f>
        <v>48457.599999999991</v>
      </c>
      <c r="F18" s="15">
        <f t="shared" ref="F18:I18" si="7">F13+F16+F17</f>
        <v>51457.981274999998</v>
      </c>
      <c r="G18" s="15">
        <f t="shared" si="7"/>
        <v>54626.351360512475</v>
      </c>
      <c r="H18" s="15">
        <f t="shared" si="7"/>
        <v>57971.418143094197</v>
      </c>
      <c r="I18" s="15">
        <f t="shared" si="7"/>
        <v>61502.29514394133</v>
      </c>
      <c r="K18" s="22" t="s">
        <v>35</v>
      </c>
    </row>
    <row r="19" spans="2:11" s="7" customFormat="1" x14ac:dyDescent="0.35">
      <c r="B19" s="18" t="s">
        <v>24</v>
      </c>
      <c r="E19" s="16">
        <f>E18/E$8</f>
        <v>0.38781592637054818</v>
      </c>
      <c r="F19" s="16">
        <f t="shared" ref="F19" si="8">F18/F$8</f>
        <v>0.38642137615074179</v>
      </c>
      <c r="G19" s="16">
        <f t="shared" ref="G19" si="9">G18/G$8</f>
        <v>0.38490650488809136</v>
      </c>
      <c r="H19" s="16">
        <f t="shared" ref="H19" si="10">H18/H$8</f>
        <v>0.38327601298337027</v>
      </c>
      <c r="I19" s="16">
        <f t="shared" ref="I19" si="11">I18/I$8</f>
        <v>0.38153439677174583</v>
      </c>
      <c r="K19" s="22" t="s">
        <v>41</v>
      </c>
    </row>
    <row r="21" spans="2:11" x14ac:dyDescent="0.35">
      <c r="B21" s="1" t="s">
        <v>11</v>
      </c>
      <c r="E21" s="11">
        <f>-E8*E39</f>
        <v>-4373.25</v>
      </c>
      <c r="F21" s="11">
        <f>-F8*F39</f>
        <v>-4660.7911875</v>
      </c>
      <c r="G21" s="11">
        <f>-G8*G39</f>
        <v>-4967.2382080781244</v>
      </c>
      <c r="H21" s="11">
        <f>-H8*H39</f>
        <v>-5293.834120259261</v>
      </c>
      <c r="I21" s="11">
        <f>-I8*I39</f>
        <v>-5641.9037136663064</v>
      </c>
      <c r="K21" s="22" t="s">
        <v>46</v>
      </c>
    </row>
    <row r="22" spans="2:11" x14ac:dyDescent="0.35">
      <c r="B22" s="2" t="s">
        <v>16</v>
      </c>
      <c r="E22" s="15">
        <f>E18+E21</f>
        <v>44084.349999999991</v>
      </c>
      <c r="F22" s="15">
        <f t="shared" ref="F22:I22" si="12">F18+F21</f>
        <v>46797.190087499999</v>
      </c>
      <c r="G22" s="15">
        <f t="shared" si="12"/>
        <v>49659.113152434351</v>
      </c>
      <c r="H22" s="15">
        <f t="shared" si="12"/>
        <v>52677.584022834933</v>
      </c>
      <c r="I22" s="15">
        <f t="shared" si="12"/>
        <v>55860.39143027502</v>
      </c>
      <c r="K22" s="22" t="s">
        <v>34</v>
      </c>
    </row>
    <row r="23" spans="2:11" s="7" customFormat="1" x14ac:dyDescent="0.35">
      <c r="B23" s="18" t="s">
        <v>25</v>
      </c>
      <c r="E23" s="16">
        <f>E22/E$8</f>
        <v>0.35281592637054821</v>
      </c>
      <c r="F23" s="16">
        <f t="shared" ref="F23" si="13">F22/F$8</f>
        <v>0.35142137615074182</v>
      </c>
      <c r="G23" s="16">
        <f t="shared" ref="G23" si="14">G22/G$8</f>
        <v>0.34990650488809139</v>
      </c>
      <c r="H23" s="16">
        <f t="shared" ref="H23" si="15">H22/H$8</f>
        <v>0.3482760129833703</v>
      </c>
      <c r="I23" s="16">
        <f t="shared" ref="I23" si="16">I22/I$8</f>
        <v>0.3465343967717458</v>
      </c>
      <c r="K23" s="22" t="s">
        <v>42</v>
      </c>
    </row>
    <row r="25" spans="2:11" x14ac:dyDescent="0.35">
      <c r="B25" s="1" t="s">
        <v>12</v>
      </c>
      <c r="E25" s="8">
        <v>-1500</v>
      </c>
      <c r="F25" s="8">
        <v>-1500</v>
      </c>
      <c r="G25" s="8">
        <v>-1500</v>
      </c>
      <c r="H25" s="8">
        <v>-1500</v>
      </c>
      <c r="I25" s="8">
        <v>-1500</v>
      </c>
    </row>
    <row r="26" spans="2:11" x14ac:dyDescent="0.35">
      <c r="B26" s="2" t="s">
        <v>22</v>
      </c>
      <c r="E26" s="15">
        <f>E22+E25</f>
        <v>42584.349999999991</v>
      </c>
      <c r="F26" s="15">
        <f t="shared" ref="F26:I26" si="17">F22+F25</f>
        <v>45297.190087499999</v>
      </c>
      <c r="G26" s="15">
        <f t="shared" si="17"/>
        <v>48159.113152434351</v>
      </c>
      <c r="H26" s="15">
        <f t="shared" si="17"/>
        <v>51177.584022834933</v>
      </c>
      <c r="I26" s="15">
        <f t="shared" si="17"/>
        <v>54360.39143027502</v>
      </c>
      <c r="K26" s="22" t="s">
        <v>33</v>
      </c>
    </row>
    <row r="28" spans="2:11" x14ac:dyDescent="0.35">
      <c r="B28" s="1" t="s">
        <v>13</v>
      </c>
      <c r="E28" s="11">
        <f>-E26*E40</f>
        <v>-10646.087499999998</v>
      </c>
      <c r="F28" s="11">
        <f>-F26*F40</f>
        <v>-11324.297521875</v>
      </c>
      <c r="G28" s="11">
        <f>-G26*G40</f>
        <v>-12039.778288108588</v>
      </c>
      <c r="H28" s="11">
        <f>-H26*H40</f>
        <v>-12794.396005708733</v>
      </c>
      <c r="I28" s="11">
        <f>-I26*I40</f>
        <v>-13590.097857568755</v>
      </c>
      <c r="K28" s="22" t="s">
        <v>48</v>
      </c>
    </row>
    <row r="29" spans="2:11" x14ac:dyDescent="0.35">
      <c r="B29" s="2" t="s">
        <v>14</v>
      </c>
      <c r="E29" s="15">
        <f>E26+E28</f>
        <v>31938.262499999993</v>
      </c>
      <c r="F29" s="15">
        <f t="shared" ref="F29:I29" si="18">F26+F28</f>
        <v>33972.892565624999</v>
      </c>
      <c r="G29" s="15">
        <f t="shared" si="18"/>
        <v>36119.334864325763</v>
      </c>
      <c r="H29" s="15">
        <f t="shared" si="18"/>
        <v>38383.188017126202</v>
      </c>
      <c r="I29" s="15">
        <f t="shared" si="18"/>
        <v>40770.293572706265</v>
      </c>
      <c r="K29" s="22" t="s">
        <v>32</v>
      </c>
    </row>
    <row r="30" spans="2:11" s="7" customFormat="1" x14ac:dyDescent="0.35">
      <c r="B30" s="18" t="s">
        <v>26</v>
      </c>
      <c r="E30" s="16">
        <f>E29/E$8</f>
        <v>0.2556083433373349</v>
      </c>
      <c r="F30" s="16">
        <f t="shared" ref="F30" si="19">F29/F$8</f>
        <v>0.25511789564523912</v>
      </c>
      <c r="G30" s="16">
        <f t="shared" ref="G30" si="20">G29/G$8</f>
        <v>0.25450293851329608</v>
      </c>
      <c r="H30" s="16">
        <f t="shared" ref="H30" si="21">H29/H$8</f>
        <v>0.25376911140042008</v>
      </c>
      <c r="I30" s="16">
        <f t="shared" ref="I30" si="22">I29/I$8</f>
        <v>0.25292177028619134</v>
      </c>
      <c r="K30" s="22" t="s">
        <v>31</v>
      </c>
    </row>
    <row r="33" spans="2:9" x14ac:dyDescent="0.35">
      <c r="B33" s="6" t="s">
        <v>29</v>
      </c>
    </row>
    <row r="34" spans="2:9" x14ac:dyDescent="0.35">
      <c r="B34" s="1" t="s">
        <v>20</v>
      </c>
      <c r="E34" s="9" t="s">
        <v>49</v>
      </c>
      <c r="F34" s="24">
        <v>0.05</v>
      </c>
      <c r="G34" s="24">
        <v>0.05</v>
      </c>
      <c r="H34" s="24">
        <v>0.05</v>
      </c>
      <c r="I34" s="24">
        <v>0.05</v>
      </c>
    </row>
    <row r="35" spans="2:9" x14ac:dyDescent="0.35">
      <c r="B35" s="1" t="s">
        <v>19</v>
      </c>
      <c r="E35" s="9" t="s">
        <v>49</v>
      </c>
      <c r="F35" s="24">
        <v>1.4999999999999999E-2</v>
      </c>
      <c r="G35" s="24">
        <v>1.4999999999999999E-2</v>
      </c>
      <c r="H35" s="24">
        <v>1.4999999999999999E-2</v>
      </c>
      <c r="I35" s="24">
        <v>1.4999999999999999E-2</v>
      </c>
    </row>
    <row r="36" spans="2:9" x14ac:dyDescent="0.35">
      <c r="B36" s="1" t="s">
        <v>18</v>
      </c>
      <c r="E36" s="9" t="s">
        <v>49</v>
      </c>
      <c r="F36" s="24">
        <v>0.02</v>
      </c>
      <c r="G36" s="24">
        <v>0.02</v>
      </c>
      <c r="H36" s="24">
        <v>0.02</v>
      </c>
      <c r="I36" s="24">
        <v>0.02</v>
      </c>
    </row>
    <row r="37" spans="2:9" x14ac:dyDescent="0.35">
      <c r="B37" s="1" t="s">
        <v>17</v>
      </c>
      <c r="E37" s="24">
        <v>0.152</v>
      </c>
      <c r="F37" s="24">
        <f>E37+0.002</f>
        <v>0.154</v>
      </c>
      <c r="G37" s="24">
        <f t="shared" ref="G37:I37" si="23">F37+0.002</f>
        <v>0.156</v>
      </c>
      <c r="H37" s="24">
        <f t="shared" si="23"/>
        <v>0.158</v>
      </c>
      <c r="I37" s="24">
        <f t="shared" si="23"/>
        <v>0.16</v>
      </c>
    </row>
    <row r="38" spans="2:9" x14ac:dyDescent="0.35">
      <c r="B38" s="1" t="s">
        <v>21</v>
      </c>
      <c r="E38" s="9" t="s">
        <v>49</v>
      </c>
      <c r="F38" s="24">
        <v>0.02</v>
      </c>
      <c r="G38" s="24">
        <v>0.02</v>
      </c>
      <c r="H38" s="24">
        <v>0.02</v>
      </c>
      <c r="I38" s="24">
        <v>0.02</v>
      </c>
    </row>
    <row r="39" spans="2:9" x14ac:dyDescent="0.35">
      <c r="B39" s="1" t="s">
        <v>28</v>
      </c>
      <c r="E39" s="24">
        <v>3.5000000000000003E-2</v>
      </c>
      <c r="F39" s="24">
        <v>3.5000000000000003E-2</v>
      </c>
      <c r="G39" s="24">
        <v>3.5000000000000003E-2</v>
      </c>
      <c r="H39" s="24">
        <v>3.5000000000000003E-2</v>
      </c>
      <c r="I39" s="24">
        <v>3.5000000000000003E-2</v>
      </c>
    </row>
    <row r="40" spans="2:9" x14ac:dyDescent="0.35">
      <c r="B40" s="1" t="s">
        <v>23</v>
      </c>
      <c r="E40" s="24">
        <v>0.25</v>
      </c>
      <c r="F40" s="24">
        <v>0.25</v>
      </c>
      <c r="G40" s="24">
        <v>0.25</v>
      </c>
      <c r="H40" s="24">
        <v>0.25</v>
      </c>
      <c r="I40" s="24">
        <v>0.25</v>
      </c>
    </row>
    <row r="41" spans="2:9" ht="14.6" thickBot="1" x14ac:dyDescent="0.4">
      <c r="B41" s="5"/>
      <c r="C41" s="5"/>
      <c r="D41" s="5"/>
      <c r="E41" s="5"/>
      <c r="F41" s="5"/>
      <c r="G41" s="5"/>
      <c r="H41" s="5"/>
      <c r="I41" s="5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41D79-7B0B-4C6C-AE4B-E33CF8BA3C48}">
  <sheetPr>
    <tabColor theme="4" tint="0.59999389629810485"/>
  </sheetPr>
  <dimension ref="B2:K576"/>
  <sheetViews>
    <sheetView showGridLines="0" workbookViewId="0"/>
  </sheetViews>
  <sheetFormatPr defaultColWidth="12.61328125" defaultRowHeight="14.15" x14ac:dyDescent="0.35"/>
  <cols>
    <col min="1" max="1" width="1.61328125" style="1" customWidth="1"/>
    <col min="2" max="9" width="12.69140625" style="1" customWidth="1"/>
    <col min="10" max="10" width="12.69140625" style="21" customWidth="1"/>
    <col min="11" max="11" width="12.69140625" style="1" customWidth="1"/>
    <col min="12" max="12" width="1.69140625" style="1" customWidth="1"/>
    <col min="13" max="16384" width="12.61328125" style="1"/>
  </cols>
  <sheetData>
    <row r="2" spans="2:11" ht="24.9" x14ac:dyDescent="0.55000000000000004">
      <c r="B2" s="19" t="s">
        <v>508</v>
      </c>
      <c r="C2" s="20"/>
      <c r="D2" s="20"/>
      <c r="E2" s="20"/>
      <c r="F2" s="20"/>
      <c r="G2" s="20"/>
      <c r="H2" s="20"/>
      <c r="I2" s="20"/>
      <c r="J2" s="20"/>
      <c r="K2" s="20"/>
    </row>
    <row r="4" spans="2:11" x14ac:dyDescent="0.35">
      <c r="B4" s="30" t="s">
        <v>50</v>
      </c>
      <c r="C4" s="30" t="s">
        <v>51</v>
      </c>
      <c r="D4" s="30" t="s">
        <v>505</v>
      </c>
      <c r="E4" s="30" t="s">
        <v>504</v>
      </c>
      <c r="F4" s="30" t="s">
        <v>478</v>
      </c>
      <c r="G4" s="33" t="s">
        <v>52</v>
      </c>
      <c r="H4" s="33" t="s">
        <v>479</v>
      </c>
      <c r="I4" s="33" t="s">
        <v>53</v>
      </c>
      <c r="J4" s="33" t="s">
        <v>54</v>
      </c>
      <c r="K4" s="33" t="s">
        <v>507</v>
      </c>
    </row>
    <row r="5" spans="2:11" x14ac:dyDescent="0.35">
      <c r="B5" s="31">
        <v>44928</v>
      </c>
      <c r="C5" s="27" t="s">
        <v>56</v>
      </c>
      <c r="D5" s="32">
        <v>110</v>
      </c>
      <c r="E5" s="28" t="s">
        <v>480</v>
      </c>
      <c r="F5" s="28" t="s">
        <v>473</v>
      </c>
      <c r="G5" s="34">
        <v>24</v>
      </c>
      <c r="H5" s="35">
        <v>15</v>
      </c>
      <c r="I5" s="35">
        <v>0</v>
      </c>
      <c r="J5" s="36">
        <v>0</v>
      </c>
      <c r="K5" s="35">
        <v>360</v>
      </c>
    </row>
    <row r="6" spans="2:11" s="7" customFormat="1" x14ac:dyDescent="0.35">
      <c r="B6" s="31">
        <v>44928</v>
      </c>
      <c r="C6" s="27" t="s">
        <v>57</v>
      </c>
      <c r="D6" s="32">
        <v>22384</v>
      </c>
      <c r="E6" s="28" t="s">
        <v>480</v>
      </c>
      <c r="F6" s="28" t="s">
        <v>473</v>
      </c>
      <c r="G6" s="26">
        <v>12</v>
      </c>
      <c r="H6" s="35">
        <v>15</v>
      </c>
      <c r="I6" s="35">
        <v>0</v>
      </c>
      <c r="J6" s="36">
        <v>0</v>
      </c>
      <c r="K6" s="35">
        <v>180</v>
      </c>
    </row>
    <row r="7" spans="2:11" x14ac:dyDescent="0.35">
      <c r="B7" s="31">
        <v>44928</v>
      </c>
      <c r="C7" s="27" t="s">
        <v>58</v>
      </c>
      <c r="D7" s="32">
        <v>559</v>
      </c>
      <c r="E7" s="28" t="s">
        <v>480</v>
      </c>
      <c r="F7" s="28" t="s">
        <v>473</v>
      </c>
      <c r="G7" s="34">
        <v>42</v>
      </c>
      <c r="H7" s="35">
        <v>15</v>
      </c>
      <c r="I7" s="35">
        <v>0</v>
      </c>
      <c r="J7" s="36">
        <v>0</v>
      </c>
      <c r="K7" s="35">
        <v>630</v>
      </c>
    </row>
    <row r="8" spans="2:11" x14ac:dyDescent="0.35">
      <c r="B8" s="31">
        <v>44928</v>
      </c>
      <c r="C8" s="27" t="s">
        <v>58</v>
      </c>
      <c r="D8" s="32">
        <v>559</v>
      </c>
      <c r="E8" s="28" t="s">
        <v>480</v>
      </c>
      <c r="F8" s="28" t="s">
        <v>473</v>
      </c>
      <c r="G8" s="26">
        <v>1</v>
      </c>
      <c r="H8" s="35">
        <v>750</v>
      </c>
      <c r="I8" s="35">
        <v>0</v>
      </c>
      <c r="J8" s="36">
        <v>0</v>
      </c>
      <c r="K8" s="35">
        <v>750</v>
      </c>
    </row>
    <row r="9" spans="2:11" x14ac:dyDescent="0.35">
      <c r="B9" s="31">
        <v>44928</v>
      </c>
      <c r="C9" s="27" t="s">
        <v>59</v>
      </c>
      <c r="D9" s="32">
        <v>13010</v>
      </c>
      <c r="E9" s="28" t="s">
        <v>480</v>
      </c>
      <c r="F9" s="28" t="s">
        <v>473</v>
      </c>
      <c r="G9" s="34">
        <v>16</v>
      </c>
      <c r="H9" s="35">
        <v>15</v>
      </c>
      <c r="I9" s="35">
        <v>0</v>
      </c>
      <c r="J9" s="36">
        <v>0</v>
      </c>
      <c r="K9" s="35">
        <v>240</v>
      </c>
    </row>
    <row r="10" spans="2:11" s="7" customFormat="1" x14ac:dyDescent="0.35">
      <c r="B10" s="31">
        <v>44928</v>
      </c>
      <c r="C10" s="27" t="s">
        <v>60</v>
      </c>
      <c r="D10" s="32">
        <v>212</v>
      </c>
      <c r="E10" s="28" t="s">
        <v>480</v>
      </c>
      <c r="F10" s="28" t="s">
        <v>473</v>
      </c>
      <c r="G10" s="26">
        <v>48</v>
      </c>
      <c r="H10" s="35">
        <v>15</v>
      </c>
      <c r="I10" s="35">
        <v>0</v>
      </c>
      <c r="J10" s="36">
        <v>0</v>
      </c>
      <c r="K10" s="35">
        <v>720</v>
      </c>
    </row>
    <row r="11" spans="2:11" x14ac:dyDescent="0.35">
      <c r="B11" s="31">
        <v>44928</v>
      </c>
      <c r="C11" s="27" t="s">
        <v>61</v>
      </c>
      <c r="D11" s="32">
        <v>13013</v>
      </c>
      <c r="E11" s="28" t="s">
        <v>480</v>
      </c>
      <c r="F11" s="28" t="s">
        <v>474</v>
      </c>
      <c r="G11" s="26">
        <v>1</v>
      </c>
      <c r="H11" s="35">
        <v>0</v>
      </c>
      <c r="I11" s="35">
        <v>0</v>
      </c>
      <c r="J11" s="36">
        <v>0</v>
      </c>
      <c r="K11" s="35">
        <v>0</v>
      </c>
    </row>
    <row r="12" spans="2:11" s="7" customFormat="1" x14ac:dyDescent="0.35">
      <c r="B12" s="31">
        <v>44928</v>
      </c>
      <c r="C12" s="27" t="s">
        <v>62</v>
      </c>
      <c r="D12" s="32">
        <v>173</v>
      </c>
      <c r="E12" s="28" t="s">
        <v>480</v>
      </c>
      <c r="F12" s="28" t="s">
        <v>474</v>
      </c>
      <c r="G12" s="26">
        <v>1</v>
      </c>
      <c r="H12" s="35">
        <v>0</v>
      </c>
      <c r="I12" s="35">
        <v>0</v>
      </c>
      <c r="J12" s="36">
        <v>0</v>
      </c>
      <c r="K12" s="35">
        <v>0</v>
      </c>
    </row>
    <row r="13" spans="2:11" x14ac:dyDescent="0.35">
      <c r="B13" s="31">
        <v>44928</v>
      </c>
      <c r="C13" s="27" t="s">
        <v>63</v>
      </c>
      <c r="D13" s="32">
        <v>87</v>
      </c>
      <c r="E13" s="28" t="s">
        <v>480</v>
      </c>
      <c r="F13" s="28" t="s">
        <v>474</v>
      </c>
      <c r="G13" s="26">
        <v>1</v>
      </c>
      <c r="H13" s="35">
        <v>75</v>
      </c>
      <c r="I13" s="35">
        <v>0</v>
      </c>
      <c r="J13" s="35">
        <v>0</v>
      </c>
      <c r="K13" s="35">
        <v>75</v>
      </c>
    </row>
    <row r="14" spans="2:11" x14ac:dyDescent="0.35">
      <c r="B14" s="31">
        <v>44928</v>
      </c>
      <c r="C14" s="27" t="s">
        <v>64</v>
      </c>
      <c r="D14" s="32">
        <v>5369</v>
      </c>
      <c r="E14" s="28" t="s">
        <v>481</v>
      </c>
      <c r="F14" s="28" t="s">
        <v>474</v>
      </c>
      <c r="G14" s="34">
        <v>1</v>
      </c>
      <c r="H14" s="35">
        <v>150</v>
      </c>
      <c r="I14" s="35">
        <v>75</v>
      </c>
      <c r="J14" s="35">
        <v>5.85</v>
      </c>
      <c r="K14" s="35">
        <v>80.849999999999994</v>
      </c>
    </row>
    <row r="15" spans="2:11" x14ac:dyDescent="0.35">
      <c r="B15" s="31">
        <v>44928</v>
      </c>
      <c r="C15" s="27" t="s">
        <v>64</v>
      </c>
      <c r="D15" s="32">
        <v>5369</v>
      </c>
      <c r="E15" s="28" t="s">
        <v>481</v>
      </c>
      <c r="F15" s="28" t="s">
        <v>474</v>
      </c>
      <c r="G15" s="26">
        <v>1</v>
      </c>
      <c r="H15" s="35">
        <v>45</v>
      </c>
      <c r="I15" s="35">
        <v>22.5</v>
      </c>
      <c r="J15" s="36">
        <v>1.76</v>
      </c>
      <c r="K15" s="35">
        <v>24.26</v>
      </c>
    </row>
    <row r="16" spans="2:11" x14ac:dyDescent="0.35">
      <c r="B16" s="31">
        <v>44928</v>
      </c>
      <c r="C16" s="27" t="s">
        <v>64</v>
      </c>
      <c r="D16" s="32">
        <v>5369</v>
      </c>
      <c r="E16" s="28" t="s">
        <v>481</v>
      </c>
      <c r="F16" s="28" t="s">
        <v>474</v>
      </c>
      <c r="G16" s="26">
        <v>1</v>
      </c>
      <c r="H16" s="35">
        <v>148</v>
      </c>
      <c r="I16" s="35">
        <v>74</v>
      </c>
      <c r="J16" s="35">
        <v>5.77</v>
      </c>
      <c r="K16" s="35">
        <v>79.77</v>
      </c>
    </row>
    <row r="17" spans="2:11" x14ac:dyDescent="0.35">
      <c r="B17" s="31">
        <v>44928</v>
      </c>
      <c r="C17" s="27" t="s">
        <v>65</v>
      </c>
      <c r="D17" s="32">
        <v>559</v>
      </c>
      <c r="E17" s="28" t="s">
        <v>481</v>
      </c>
      <c r="F17" s="28" t="s">
        <v>473</v>
      </c>
      <c r="G17" s="26">
        <v>1</v>
      </c>
      <c r="H17" s="35">
        <v>3250</v>
      </c>
      <c r="I17" s="35">
        <v>0</v>
      </c>
      <c r="J17" s="36">
        <v>0</v>
      </c>
      <c r="K17" s="35">
        <v>3250</v>
      </c>
    </row>
    <row r="18" spans="2:11" x14ac:dyDescent="0.35">
      <c r="B18" s="31">
        <v>44929</v>
      </c>
      <c r="C18" s="27" t="s">
        <v>66</v>
      </c>
      <c r="D18" s="32">
        <v>13190</v>
      </c>
      <c r="E18" s="28" t="s">
        <v>481</v>
      </c>
      <c r="F18" s="28" t="s">
        <v>475</v>
      </c>
      <c r="G18" s="26">
        <v>1</v>
      </c>
      <c r="H18" s="35">
        <v>95</v>
      </c>
      <c r="I18" s="35">
        <v>0</v>
      </c>
      <c r="J18" s="35">
        <v>7.41</v>
      </c>
      <c r="K18" s="35">
        <v>102.41</v>
      </c>
    </row>
    <row r="19" spans="2:11" x14ac:dyDescent="0.35">
      <c r="B19" s="31">
        <v>44929</v>
      </c>
      <c r="C19" s="27" t="s">
        <v>66</v>
      </c>
      <c r="D19" s="32">
        <v>13190</v>
      </c>
      <c r="E19" s="28" t="s">
        <v>482</v>
      </c>
      <c r="F19" s="28" t="s">
        <v>475</v>
      </c>
      <c r="G19" s="26">
        <v>1</v>
      </c>
      <c r="H19" s="35">
        <v>145</v>
      </c>
      <c r="I19" s="35">
        <v>0</v>
      </c>
      <c r="J19" s="35">
        <v>11.31</v>
      </c>
      <c r="K19" s="35">
        <v>156.31</v>
      </c>
    </row>
    <row r="20" spans="2:11" x14ac:dyDescent="0.35">
      <c r="B20" s="31">
        <v>44929</v>
      </c>
      <c r="C20" s="27" t="s">
        <v>66</v>
      </c>
      <c r="D20" s="32">
        <v>13190</v>
      </c>
      <c r="E20" s="28" t="s">
        <v>481</v>
      </c>
      <c r="F20" s="28" t="s">
        <v>475</v>
      </c>
      <c r="G20" s="26">
        <v>1</v>
      </c>
      <c r="H20" s="35">
        <v>45</v>
      </c>
      <c r="I20" s="35">
        <v>0</v>
      </c>
      <c r="J20" s="35">
        <v>3.51</v>
      </c>
      <c r="K20" s="35">
        <v>48.51</v>
      </c>
    </row>
    <row r="21" spans="2:11" x14ac:dyDescent="0.35">
      <c r="B21" s="31">
        <v>44929</v>
      </c>
      <c r="C21" s="27" t="s">
        <v>67</v>
      </c>
      <c r="D21" s="32">
        <v>375</v>
      </c>
      <c r="E21" s="28" t="s">
        <v>482</v>
      </c>
      <c r="F21" s="28" t="s">
        <v>475</v>
      </c>
      <c r="G21" s="26">
        <v>1</v>
      </c>
      <c r="H21" s="35">
        <v>225</v>
      </c>
      <c r="I21" s="35">
        <v>0</v>
      </c>
      <c r="J21" s="35">
        <v>17.55</v>
      </c>
      <c r="K21" s="35">
        <v>242.55</v>
      </c>
    </row>
    <row r="22" spans="2:11" x14ac:dyDescent="0.35">
      <c r="B22" s="31">
        <v>44929</v>
      </c>
      <c r="C22" s="27" t="s">
        <v>68</v>
      </c>
      <c r="D22" s="32">
        <v>15521</v>
      </c>
      <c r="E22" s="28" t="s">
        <v>481</v>
      </c>
      <c r="F22" s="28" t="s">
        <v>476</v>
      </c>
      <c r="G22" s="26">
        <v>1</v>
      </c>
      <c r="H22" s="35">
        <v>148</v>
      </c>
      <c r="I22" s="35">
        <v>0</v>
      </c>
      <c r="J22" s="35">
        <v>11.54</v>
      </c>
      <c r="K22" s="35">
        <v>159.54</v>
      </c>
    </row>
    <row r="23" spans="2:11" x14ac:dyDescent="0.35">
      <c r="B23" s="31">
        <v>44929</v>
      </c>
      <c r="C23" s="27" t="s">
        <v>68</v>
      </c>
      <c r="D23" s="32">
        <v>15521</v>
      </c>
      <c r="E23" s="28" t="s">
        <v>482</v>
      </c>
      <c r="F23" s="28" t="s">
        <v>476</v>
      </c>
      <c r="G23" s="26">
        <v>1</v>
      </c>
      <c r="H23" s="35">
        <v>0</v>
      </c>
      <c r="I23" s="35">
        <v>0</v>
      </c>
      <c r="J23" s="35">
        <v>0</v>
      </c>
      <c r="K23" s="35">
        <v>0</v>
      </c>
    </row>
    <row r="24" spans="2:11" x14ac:dyDescent="0.35">
      <c r="B24" s="31">
        <v>44929</v>
      </c>
      <c r="C24" s="27" t="s">
        <v>69</v>
      </c>
      <c r="D24" s="32">
        <v>935</v>
      </c>
      <c r="E24" s="28" t="s">
        <v>482</v>
      </c>
      <c r="F24" s="28" t="s">
        <v>476</v>
      </c>
      <c r="G24" s="26">
        <v>1</v>
      </c>
      <c r="H24" s="35">
        <v>3000</v>
      </c>
      <c r="I24" s="35">
        <v>0</v>
      </c>
      <c r="J24" s="35">
        <v>234</v>
      </c>
      <c r="K24" s="35">
        <v>3234</v>
      </c>
    </row>
    <row r="25" spans="2:11" x14ac:dyDescent="0.35">
      <c r="B25" s="31">
        <v>44930</v>
      </c>
      <c r="C25" s="27" t="s">
        <v>70</v>
      </c>
      <c r="D25" s="32">
        <v>5367</v>
      </c>
      <c r="E25" s="28" t="s">
        <v>482</v>
      </c>
      <c r="F25" s="28" t="s">
        <v>475</v>
      </c>
      <c r="G25" s="26">
        <v>1</v>
      </c>
      <c r="H25" s="35">
        <v>180</v>
      </c>
      <c r="I25" s="35">
        <v>0</v>
      </c>
      <c r="J25" s="35">
        <v>14.04</v>
      </c>
      <c r="K25" s="35">
        <v>194.04</v>
      </c>
    </row>
    <row r="26" spans="2:11" x14ac:dyDescent="0.35">
      <c r="B26" s="31">
        <v>44930</v>
      </c>
      <c r="C26" s="27" t="s">
        <v>70</v>
      </c>
      <c r="D26" s="32">
        <v>5367</v>
      </c>
      <c r="E26" s="28" t="s">
        <v>483</v>
      </c>
      <c r="F26" s="28" t="s">
        <v>475</v>
      </c>
      <c r="G26" s="26">
        <v>1</v>
      </c>
      <c r="H26" s="35">
        <v>51</v>
      </c>
      <c r="I26" s="35">
        <v>0</v>
      </c>
      <c r="J26" s="35">
        <v>3.98</v>
      </c>
      <c r="K26" s="35">
        <v>54.98</v>
      </c>
    </row>
    <row r="27" spans="2:11" x14ac:dyDescent="0.35">
      <c r="B27" s="31">
        <v>44930</v>
      </c>
      <c r="C27" s="27" t="s">
        <v>71</v>
      </c>
      <c r="D27" s="32">
        <v>4158</v>
      </c>
      <c r="E27" s="28" t="s">
        <v>483</v>
      </c>
      <c r="F27" s="28" t="s">
        <v>473</v>
      </c>
      <c r="G27" s="26">
        <v>1</v>
      </c>
      <c r="H27" s="35">
        <v>750</v>
      </c>
      <c r="I27" s="35">
        <v>36.927599999999998</v>
      </c>
      <c r="J27" s="35">
        <v>0</v>
      </c>
      <c r="K27" s="35">
        <v>713.07240000000002</v>
      </c>
    </row>
    <row r="28" spans="2:11" x14ac:dyDescent="0.35">
      <c r="B28" s="31">
        <v>44930</v>
      </c>
      <c r="C28" s="27" t="s">
        <v>71</v>
      </c>
      <c r="D28" s="32">
        <v>4158</v>
      </c>
      <c r="E28" s="28" t="s">
        <v>483</v>
      </c>
      <c r="F28" s="28" t="s">
        <v>473</v>
      </c>
      <c r="G28" s="26">
        <v>38</v>
      </c>
      <c r="H28" s="35">
        <v>12</v>
      </c>
      <c r="I28" s="35">
        <v>22.452000000000002</v>
      </c>
      <c r="J28" s="35">
        <v>0</v>
      </c>
      <c r="K28" s="35">
        <v>433.548</v>
      </c>
    </row>
    <row r="29" spans="2:11" x14ac:dyDescent="0.35">
      <c r="B29" s="31">
        <v>44930</v>
      </c>
      <c r="C29" s="27" t="s">
        <v>71</v>
      </c>
      <c r="D29" s="32">
        <v>4158</v>
      </c>
      <c r="E29" s="28" t="s">
        <v>483</v>
      </c>
      <c r="F29" s="28" t="s">
        <v>473</v>
      </c>
      <c r="G29" s="26">
        <v>1</v>
      </c>
      <c r="H29" s="35">
        <v>825</v>
      </c>
      <c r="I29" s="35">
        <v>40.620399999999997</v>
      </c>
      <c r="J29" s="35">
        <v>0</v>
      </c>
      <c r="K29" s="35">
        <v>784.37959999999998</v>
      </c>
    </row>
    <row r="30" spans="2:11" x14ac:dyDescent="0.35">
      <c r="B30" s="31">
        <v>44930</v>
      </c>
      <c r="C30" s="27" t="s">
        <v>72</v>
      </c>
      <c r="D30" s="32">
        <v>495</v>
      </c>
      <c r="E30" s="28" t="s">
        <v>483</v>
      </c>
      <c r="F30" s="28" t="s">
        <v>473</v>
      </c>
      <c r="G30" s="26">
        <v>6</v>
      </c>
      <c r="H30" s="35">
        <v>12</v>
      </c>
      <c r="I30" s="35">
        <v>0</v>
      </c>
      <c r="J30" s="35">
        <v>0</v>
      </c>
      <c r="K30" s="35">
        <v>72</v>
      </c>
    </row>
    <row r="31" spans="2:11" x14ac:dyDescent="0.35">
      <c r="B31" s="31">
        <v>44930</v>
      </c>
      <c r="C31" s="27" t="s">
        <v>72</v>
      </c>
      <c r="D31" s="32">
        <v>495</v>
      </c>
      <c r="E31" s="28" t="s">
        <v>483</v>
      </c>
      <c r="F31" s="28" t="s">
        <v>473</v>
      </c>
      <c r="G31" s="26">
        <v>1</v>
      </c>
      <c r="H31" s="35">
        <v>1000</v>
      </c>
      <c r="I31" s="35">
        <v>0</v>
      </c>
      <c r="J31" s="35">
        <v>0</v>
      </c>
      <c r="K31" s="35">
        <v>1000</v>
      </c>
    </row>
    <row r="32" spans="2:11" x14ac:dyDescent="0.35">
      <c r="B32" s="31">
        <v>44930</v>
      </c>
      <c r="C32" s="27" t="s">
        <v>73</v>
      </c>
      <c r="D32" s="32">
        <v>12974</v>
      </c>
      <c r="E32" s="28" t="s">
        <v>482</v>
      </c>
      <c r="F32" s="28" t="s">
        <v>475</v>
      </c>
      <c r="G32" s="26">
        <v>1</v>
      </c>
      <c r="H32" s="35">
        <v>180</v>
      </c>
      <c r="I32" s="35">
        <v>0</v>
      </c>
      <c r="J32" s="35">
        <v>14.04</v>
      </c>
      <c r="K32" s="35">
        <v>194.04</v>
      </c>
    </row>
    <row r="33" spans="2:11" x14ac:dyDescent="0.35">
      <c r="B33" s="31">
        <v>44930</v>
      </c>
      <c r="C33" s="27" t="s">
        <v>74</v>
      </c>
      <c r="D33" s="32">
        <v>991</v>
      </c>
      <c r="E33" s="28" t="s">
        <v>484</v>
      </c>
      <c r="F33" s="28" t="s">
        <v>475</v>
      </c>
      <c r="G33" s="26">
        <v>1</v>
      </c>
      <c r="H33" s="35">
        <v>1750</v>
      </c>
      <c r="I33" s="35">
        <v>0</v>
      </c>
      <c r="J33" s="35">
        <v>122.5</v>
      </c>
      <c r="K33" s="35">
        <v>1872.5</v>
      </c>
    </row>
    <row r="34" spans="2:11" x14ac:dyDescent="0.35">
      <c r="B34" s="31">
        <v>44930</v>
      </c>
      <c r="C34" s="27" t="s">
        <v>75</v>
      </c>
      <c r="D34" s="32">
        <v>870</v>
      </c>
      <c r="E34" s="28" t="s">
        <v>484</v>
      </c>
      <c r="F34" s="28" t="s">
        <v>473</v>
      </c>
      <c r="G34" s="26">
        <v>1</v>
      </c>
      <c r="H34" s="35">
        <v>825</v>
      </c>
      <c r="I34" s="35">
        <v>0</v>
      </c>
      <c r="J34" s="35">
        <v>0</v>
      </c>
      <c r="K34" s="35">
        <v>825</v>
      </c>
    </row>
    <row r="35" spans="2:11" x14ac:dyDescent="0.35">
      <c r="B35" s="31">
        <v>44930</v>
      </c>
      <c r="C35" s="27" t="s">
        <v>75</v>
      </c>
      <c r="D35" s="32">
        <v>870</v>
      </c>
      <c r="E35" s="28" t="s">
        <v>484</v>
      </c>
      <c r="F35" s="28" t="s">
        <v>473</v>
      </c>
      <c r="G35" s="26">
        <v>1</v>
      </c>
      <c r="H35" s="35">
        <v>112</v>
      </c>
      <c r="I35" s="35">
        <v>0</v>
      </c>
      <c r="J35" s="35">
        <v>8.74</v>
      </c>
      <c r="K35" s="35">
        <v>120.74</v>
      </c>
    </row>
    <row r="36" spans="2:11" x14ac:dyDescent="0.35">
      <c r="B36" s="31">
        <v>44930</v>
      </c>
      <c r="C36" s="27" t="s">
        <v>76</v>
      </c>
      <c r="D36" s="32">
        <v>275</v>
      </c>
      <c r="E36" s="28" t="s">
        <v>480</v>
      </c>
      <c r="F36" s="28" t="s">
        <v>473</v>
      </c>
      <c r="G36" s="26">
        <v>24</v>
      </c>
      <c r="H36" s="35">
        <v>15</v>
      </c>
      <c r="I36" s="35">
        <v>0</v>
      </c>
      <c r="J36" s="35">
        <v>0</v>
      </c>
      <c r="K36" s="35">
        <v>360</v>
      </c>
    </row>
    <row r="37" spans="2:11" x14ac:dyDescent="0.35">
      <c r="B37" s="31">
        <v>44930</v>
      </c>
      <c r="C37" s="27" t="s">
        <v>77</v>
      </c>
      <c r="D37" s="32">
        <v>15449</v>
      </c>
      <c r="E37" s="28" t="s">
        <v>484</v>
      </c>
      <c r="F37" s="28" t="s">
        <v>475</v>
      </c>
      <c r="G37" s="26">
        <v>4</v>
      </c>
      <c r="H37" s="35">
        <v>750</v>
      </c>
      <c r="I37" s="35">
        <v>0</v>
      </c>
      <c r="J37" s="35">
        <v>0</v>
      </c>
      <c r="K37" s="35">
        <v>3000</v>
      </c>
    </row>
    <row r="38" spans="2:11" x14ac:dyDescent="0.35">
      <c r="B38" s="31">
        <v>44930</v>
      </c>
      <c r="C38" s="27" t="s">
        <v>78</v>
      </c>
      <c r="D38" s="32">
        <v>16571</v>
      </c>
      <c r="E38" s="28" t="s">
        <v>484</v>
      </c>
      <c r="F38" s="28" t="s">
        <v>474</v>
      </c>
      <c r="G38" s="26">
        <v>1</v>
      </c>
      <c r="H38" s="35">
        <v>94.99</v>
      </c>
      <c r="I38" s="35">
        <v>0</v>
      </c>
      <c r="J38" s="35">
        <v>7.41</v>
      </c>
      <c r="K38" s="35">
        <v>102.39999999999999</v>
      </c>
    </row>
    <row r="39" spans="2:11" x14ac:dyDescent="0.35">
      <c r="B39" s="31">
        <v>44930</v>
      </c>
      <c r="C39" s="27" t="s">
        <v>79</v>
      </c>
      <c r="D39" s="32">
        <v>16573</v>
      </c>
      <c r="E39" s="28" t="s">
        <v>484</v>
      </c>
      <c r="F39" s="28" t="s">
        <v>474</v>
      </c>
      <c r="G39" s="26">
        <v>1</v>
      </c>
      <c r="H39" s="35">
        <v>94.99</v>
      </c>
      <c r="I39" s="35">
        <v>0</v>
      </c>
      <c r="J39" s="35">
        <v>7.41</v>
      </c>
      <c r="K39" s="35">
        <v>102.39999999999999</v>
      </c>
    </row>
    <row r="40" spans="2:11" x14ac:dyDescent="0.35">
      <c r="B40" s="31">
        <v>44931</v>
      </c>
      <c r="C40" s="27" t="s">
        <v>80</v>
      </c>
      <c r="D40" s="32">
        <v>814</v>
      </c>
      <c r="E40" s="28" t="s">
        <v>481</v>
      </c>
      <c r="F40" s="28" t="s">
        <v>475</v>
      </c>
      <c r="G40" s="26">
        <v>1</v>
      </c>
      <c r="H40" s="35">
        <v>95</v>
      </c>
      <c r="I40" s="35">
        <v>0</v>
      </c>
      <c r="J40" s="35">
        <v>7.41</v>
      </c>
      <c r="K40" s="35">
        <v>102.41</v>
      </c>
    </row>
    <row r="41" spans="2:11" x14ac:dyDescent="0.35">
      <c r="B41" s="31">
        <v>44931</v>
      </c>
      <c r="C41" s="27" t="s">
        <v>81</v>
      </c>
      <c r="D41" s="32">
        <v>8505</v>
      </c>
      <c r="E41" s="28" t="s">
        <v>482</v>
      </c>
      <c r="F41" s="28" t="s">
        <v>475</v>
      </c>
      <c r="G41" s="26">
        <v>1</v>
      </c>
      <c r="H41" s="35">
        <v>180</v>
      </c>
      <c r="I41" s="35">
        <v>0</v>
      </c>
      <c r="J41" s="35">
        <v>14.04</v>
      </c>
      <c r="K41" s="35">
        <v>194.04</v>
      </c>
    </row>
    <row r="42" spans="2:11" x14ac:dyDescent="0.35">
      <c r="B42" s="31">
        <v>44931</v>
      </c>
      <c r="C42" s="27" t="s">
        <v>82</v>
      </c>
      <c r="D42" s="32">
        <v>16530</v>
      </c>
      <c r="E42" s="28" t="s">
        <v>482</v>
      </c>
      <c r="F42" s="28" t="s">
        <v>475</v>
      </c>
      <c r="G42" s="26">
        <v>1</v>
      </c>
      <c r="H42" s="35">
        <v>180</v>
      </c>
      <c r="I42" s="35">
        <v>45</v>
      </c>
      <c r="J42" s="35">
        <v>10.53</v>
      </c>
      <c r="K42" s="35">
        <v>145.53</v>
      </c>
    </row>
    <row r="43" spans="2:11" x14ac:dyDescent="0.35">
      <c r="B43" s="31">
        <v>44931</v>
      </c>
      <c r="C43" s="27" t="s">
        <v>82</v>
      </c>
      <c r="D43" s="32">
        <v>16530</v>
      </c>
      <c r="E43" s="28" t="s">
        <v>481</v>
      </c>
      <c r="F43" s="28" t="s">
        <v>475</v>
      </c>
      <c r="G43" s="26">
        <v>1</v>
      </c>
      <c r="H43" s="35">
        <v>150</v>
      </c>
      <c r="I43" s="35">
        <v>37.5</v>
      </c>
      <c r="J43" s="35">
        <v>8.7799999999999994</v>
      </c>
      <c r="K43" s="35">
        <v>121.28</v>
      </c>
    </row>
    <row r="44" spans="2:11" x14ac:dyDescent="0.35">
      <c r="B44" s="31">
        <v>44931</v>
      </c>
      <c r="C44" s="27" t="s">
        <v>82</v>
      </c>
      <c r="D44" s="32">
        <v>16530</v>
      </c>
      <c r="E44" s="28" t="s">
        <v>482</v>
      </c>
      <c r="F44" s="28" t="s">
        <v>475</v>
      </c>
      <c r="G44" s="26">
        <v>1</v>
      </c>
      <c r="H44" s="35">
        <v>145</v>
      </c>
      <c r="I44" s="35">
        <v>36.25</v>
      </c>
      <c r="J44" s="35">
        <v>8.48</v>
      </c>
      <c r="K44" s="35">
        <v>117.23</v>
      </c>
    </row>
    <row r="45" spans="2:11" x14ac:dyDescent="0.35">
      <c r="B45" s="31">
        <v>44931</v>
      </c>
      <c r="C45" s="27" t="s">
        <v>83</v>
      </c>
      <c r="D45" s="32">
        <v>16537</v>
      </c>
      <c r="E45" s="28" t="s">
        <v>482</v>
      </c>
      <c r="F45" s="28" t="s">
        <v>475</v>
      </c>
      <c r="G45" s="26">
        <v>1</v>
      </c>
      <c r="H45" s="35">
        <v>180</v>
      </c>
      <c r="I45" s="35">
        <v>0</v>
      </c>
      <c r="J45" s="35">
        <v>14.04</v>
      </c>
      <c r="K45" s="35">
        <v>194.04</v>
      </c>
    </row>
    <row r="46" spans="2:11" x14ac:dyDescent="0.35">
      <c r="B46" s="31">
        <v>44931</v>
      </c>
      <c r="C46" s="27" t="s">
        <v>84</v>
      </c>
      <c r="D46" s="32">
        <v>8577</v>
      </c>
      <c r="E46" s="28" t="s">
        <v>481</v>
      </c>
      <c r="F46" s="28" t="s">
        <v>474</v>
      </c>
      <c r="G46" s="26">
        <v>1</v>
      </c>
      <c r="H46" s="35">
        <v>150</v>
      </c>
      <c r="I46" s="35">
        <v>75</v>
      </c>
      <c r="J46" s="35">
        <v>5.85</v>
      </c>
      <c r="K46" s="35">
        <v>80.849999999999994</v>
      </c>
    </row>
    <row r="47" spans="2:11" x14ac:dyDescent="0.35">
      <c r="B47" s="31">
        <v>44931</v>
      </c>
      <c r="C47" s="27" t="s">
        <v>85</v>
      </c>
      <c r="D47" s="32">
        <v>151</v>
      </c>
      <c r="E47" s="28" t="s">
        <v>485</v>
      </c>
      <c r="F47" s="28" t="s">
        <v>473</v>
      </c>
      <c r="G47" s="26">
        <v>1</v>
      </c>
      <c r="H47" s="35">
        <v>45</v>
      </c>
      <c r="I47" s="35">
        <v>0</v>
      </c>
      <c r="J47" s="35">
        <v>3.51</v>
      </c>
      <c r="K47" s="35">
        <v>48.51</v>
      </c>
    </row>
    <row r="48" spans="2:11" x14ac:dyDescent="0.35">
      <c r="B48" s="31">
        <v>44931</v>
      </c>
      <c r="C48" s="27" t="s">
        <v>86</v>
      </c>
      <c r="D48" s="32">
        <v>920</v>
      </c>
      <c r="E48" s="28" t="s">
        <v>480</v>
      </c>
      <c r="F48" s="28" t="s">
        <v>474</v>
      </c>
      <c r="G48" s="26">
        <v>1</v>
      </c>
      <c r="H48" s="35">
        <v>0</v>
      </c>
      <c r="I48" s="35">
        <v>0</v>
      </c>
      <c r="J48" s="35">
        <v>0</v>
      </c>
      <c r="K48" s="35">
        <v>0</v>
      </c>
    </row>
    <row r="49" spans="2:11" x14ac:dyDescent="0.35">
      <c r="B49" s="31">
        <v>44935</v>
      </c>
      <c r="C49" s="27" t="s">
        <v>87</v>
      </c>
      <c r="D49" s="32">
        <v>559</v>
      </c>
      <c r="E49" s="28" t="s">
        <v>480</v>
      </c>
      <c r="F49" s="28" t="s">
        <v>474</v>
      </c>
      <c r="G49" s="26">
        <v>1</v>
      </c>
      <c r="H49" s="35">
        <v>75</v>
      </c>
      <c r="I49" s="35">
        <v>0</v>
      </c>
      <c r="J49" s="35">
        <v>0</v>
      </c>
      <c r="K49" s="35">
        <v>75</v>
      </c>
    </row>
    <row r="50" spans="2:11" x14ac:dyDescent="0.35">
      <c r="B50" s="31">
        <v>44936</v>
      </c>
      <c r="C50" s="27" t="s">
        <v>88</v>
      </c>
      <c r="D50" s="32">
        <v>15408</v>
      </c>
      <c r="E50" s="28" t="s">
        <v>480</v>
      </c>
      <c r="F50" s="28" t="s">
        <v>476</v>
      </c>
      <c r="G50" s="26">
        <v>34</v>
      </c>
      <c r="H50" s="35">
        <v>15</v>
      </c>
      <c r="I50" s="35">
        <v>0</v>
      </c>
      <c r="J50" s="35">
        <v>0</v>
      </c>
      <c r="K50" s="35">
        <v>510</v>
      </c>
    </row>
    <row r="51" spans="2:11" x14ac:dyDescent="0.35">
      <c r="B51" s="31">
        <v>44936</v>
      </c>
      <c r="C51" s="27" t="s">
        <v>89</v>
      </c>
      <c r="D51" s="32">
        <v>15409</v>
      </c>
      <c r="E51" s="28" t="s">
        <v>480</v>
      </c>
      <c r="F51" s="28" t="s">
        <v>476</v>
      </c>
      <c r="G51" s="26">
        <v>30</v>
      </c>
      <c r="H51" s="35">
        <v>15</v>
      </c>
      <c r="I51" s="35">
        <v>0</v>
      </c>
      <c r="J51" s="35">
        <v>0</v>
      </c>
      <c r="K51" s="35">
        <v>450</v>
      </c>
    </row>
    <row r="52" spans="2:11" x14ac:dyDescent="0.35">
      <c r="B52" s="31">
        <v>44936</v>
      </c>
      <c r="C52" s="27" t="s">
        <v>89</v>
      </c>
      <c r="D52" s="32">
        <v>15409</v>
      </c>
      <c r="E52" s="28" t="s">
        <v>485</v>
      </c>
      <c r="F52" s="28" t="s">
        <v>476</v>
      </c>
      <c r="G52" s="26">
        <v>22</v>
      </c>
      <c r="H52" s="35">
        <v>15</v>
      </c>
      <c r="I52" s="35">
        <v>0</v>
      </c>
      <c r="J52" s="35">
        <v>0</v>
      </c>
      <c r="K52" s="35">
        <v>330</v>
      </c>
    </row>
    <row r="53" spans="2:11" x14ac:dyDescent="0.35">
      <c r="B53" s="31">
        <v>44936</v>
      </c>
      <c r="C53" s="27" t="s">
        <v>90</v>
      </c>
      <c r="D53" s="32">
        <v>13041</v>
      </c>
      <c r="E53" s="28" t="s">
        <v>480</v>
      </c>
      <c r="F53" s="28" t="s">
        <v>476</v>
      </c>
      <c r="G53" s="26">
        <v>29</v>
      </c>
      <c r="H53" s="35">
        <v>15</v>
      </c>
      <c r="I53" s="35">
        <v>0</v>
      </c>
      <c r="J53" s="35">
        <v>0</v>
      </c>
      <c r="K53" s="35">
        <v>435</v>
      </c>
    </row>
    <row r="54" spans="2:11" x14ac:dyDescent="0.35">
      <c r="B54" s="31">
        <v>44937</v>
      </c>
      <c r="C54" s="27" t="s">
        <v>91</v>
      </c>
      <c r="D54" s="32">
        <v>901</v>
      </c>
      <c r="E54" s="28" t="s">
        <v>480</v>
      </c>
      <c r="F54" s="28" t="s">
        <v>473</v>
      </c>
      <c r="G54" s="26">
        <v>48</v>
      </c>
      <c r="H54" s="35">
        <v>15</v>
      </c>
      <c r="I54" s="35">
        <v>0</v>
      </c>
      <c r="J54" s="35">
        <v>0</v>
      </c>
      <c r="K54" s="35">
        <v>720</v>
      </c>
    </row>
    <row r="55" spans="2:11" x14ac:dyDescent="0.35">
      <c r="B55" s="31">
        <v>44937</v>
      </c>
      <c r="C55" s="27" t="s">
        <v>92</v>
      </c>
      <c r="D55" s="32">
        <v>775</v>
      </c>
      <c r="E55" s="28" t="s">
        <v>485</v>
      </c>
      <c r="F55" s="28" t="s">
        <v>473</v>
      </c>
      <c r="G55" s="26">
        <v>14</v>
      </c>
      <c r="H55" s="35">
        <v>0</v>
      </c>
      <c r="I55" s="35">
        <v>0</v>
      </c>
      <c r="J55" s="35">
        <v>0</v>
      </c>
      <c r="K55" s="35">
        <v>0</v>
      </c>
    </row>
    <row r="56" spans="2:11" x14ac:dyDescent="0.35">
      <c r="B56" s="31">
        <v>44937</v>
      </c>
      <c r="C56" s="27" t="s">
        <v>92</v>
      </c>
      <c r="D56" s="32">
        <v>775</v>
      </c>
      <c r="E56" s="28" t="s">
        <v>485</v>
      </c>
      <c r="F56" s="28" t="s">
        <v>473</v>
      </c>
      <c r="G56" s="26">
        <v>1</v>
      </c>
      <c r="H56" s="35">
        <v>0</v>
      </c>
      <c r="I56" s="35">
        <v>0</v>
      </c>
      <c r="J56" s="35">
        <v>0</v>
      </c>
      <c r="K56" s="35">
        <v>0</v>
      </c>
    </row>
    <row r="57" spans="2:11" x14ac:dyDescent="0.35">
      <c r="B57" s="31">
        <v>44937</v>
      </c>
      <c r="C57" s="27" t="s">
        <v>93</v>
      </c>
      <c r="D57" s="32">
        <v>13273</v>
      </c>
      <c r="E57" s="28" t="s">
        <v>482</v>
      </c>
      <c r="F57" s="28" t="s">
        <v>475</v>
      </c>
      <c r="G57" s="26">
        <v>1</v>
      </c>
      <c r="H57" s="35">
        <v>180</v>
      </c>
      <c r="I57" s="35">
        <v>0</v>
      </c>
      <c r="J57" s="35">
        <v>14.04</v>
      </c>
      <c r="K57" s="35">
        <v>194.04</v>
      </c>
    </row>
    <row r="58" spans="2:11" x14ac:dyDescent="0.35">
      <c r="B58" s="31">
        <v>44937</v>
      </c>
      <c r="C58" s="27" t="s">
        <v>94</v>
      </c>
      <c r="D58" s="32">
        <v>10854</v>
      </c>
      <c r="E58" s="28" t="s">
        <v>485</v>
      </c>
      <c r="F58" s="28" t="s">
        <v>473</v>
      </c>
      <c r="G58" s="26">
        <v>1</v>
      </c>
      <c r="H58" s="35">
        <v>168</v>
      </c>
      <c r="I58" s="35">
        <v>0</v>
      </c>
      <c r="J58" s="35">
        <v>13.1</v>
      </c>
      <c r="K58" s="35">
        <v>181.1</v>
      </c>
    </row>
    <row r="59" spans="2:11" x14ac:dyDescent="0.35">
      <c r="B59" s="31">
        <v>44937</v>
      </c>
      <c r="C59" s="27" t="s">
        <v>94</v>
      </c>
      <c r="D59" s="32">
        <v>10854</v>
      </c>
      <c r="E59" s="28" t="s">
        <v>483</v>
      </c>
      <c r="F59" s="28" t="s">
        <v>473</v>
      </c>
      <c r="G59" s="26">
        <v>1</v>
      </c>
      <c r="H59" s="35">
        <v>825</v>
      </c>
      <c r="I59" s="35">
        <v>0</v>
      </c>
      <c r="J59" s="35">
        <v>0</v>
      </c>
      <c r="K59" s="35">
        <v>825</v>
      </c>
    </row>
    <row r="60" spans="2:11" x14ac:dyDescent="0.35">
      <c r="B60" s="31">
        <v>44937</v>
      </c>
      <c r="C60" s="27" t="s">
        <v>95</v>
      </c>
      <c r="D60" s="32">
        <v>16614</v>
      </c>
      <c r="E60" s="28" t="s">
        <v>486</v>
      </c>
      <c r="F60" s="28" t="s">
        <v>474</v>
      </c>
      <c r="G60" s="26">
        <v>5</v>
      </c>
      <c r="H60" s="35">
        <v>14</v>
      </c>
      <c r="I60" s="35">
        <v>0</v>
      </c>
      <c r="J60" s="35">
        <v>5.46</v>
      </c>
      <c r="K60" s="35">
        <v>75.459999999999994</v>
      </c>
    </row>
    <row r="61" spans="2:11" x14ac:dyDescent="0.35">
      <c r="B61" s="31">
        <v>44937</v>
      </c>
      <c r="C61" s="27" t="s">
        <v>95</v>
      </c>
      <c r="D61" s="32">
        <v>16614</v>
      </c>
      <c r="E61" s="28" t="s">
        <v>486</v>
      </c>
      <c r="F61" s="28" t="s">
        <v>474</v>
      </c>
      <c r="G61" s="26">
        <v>3</v>
      </c>
      <c r="H61" s="35">
        <v>30</v>
      </c>
      <c r="I61" s="35">
        <v>0</v>
      </c>
      <c r="J61" s="35">
        <v>7.02</v>
      </c>
      <c r="K61" s="35">
        <v>97.02</v>
      </c>
    </row>
    <row r="62" spans="2:11" x14ac:dyDescent="0.35">
      <c r="B62" s="31">
        <v>44937</v>
      </c>
      <c r="C62" s="27" t="s">
        <v>95</v>
      </c>
      <c r="D62" s="32">
        <v>16614</v>
      </c>
      <c r="E62" s="28" t="s">
        <v>486</v>
      </c>
      <c r="F62" s="28" t="s">
        <v>474</v>
      </c>
      <c r="G62" s="26">
        <v>5</v>
      </c>
      <c r="H62" s="35">
        <v>30</v>
      </c>
      <c r="I62" s="35">
        <v>0</v>
      </c>
      <c r="J62" s="35">
        <v>11.7</v>
      </c>
      <c r="K62" s="35">
        <v>161.69999999999999</v>
      </c>
    </row>
    <row r="63" spans="2:11" x14ac:dyDescent="0.35">
      <c r="B63" s="31">
        <v>44938</v>
      </c>
      <c r="C63" s="27" t="s">
        <v>96</v>
      </c>
      <c r="D63" s="32">
        <v>13023</v>
      </c>
      <c r="E63" s="28" t="s">
        <v>486</v>
      </c>
      <c r="F63" s="28" t="s">
        <v>476</v>
      </c>
      <c r="G63" s="26">
        <v>1</v>
      </c>
      <c r="H63" s="35">
        <v>750</v>
      </c>
      <c r="I63" s="35">
        <v>80.357100000000003</v>
      </c>
      <c r="J63" s="35">
        <v>0</v>
      </c>
      <c r="K63" s="35">
        <v>669.64290000000005</v>
      </c>
    </row>
    <row r="64" spans="2:11" x14ac:dyDescent="0.35">
      <c r="B64" s="31">
        <v>44938</v>
      </c>
      <c r="C64" s="27" t="s">
        <v>96</v>
      </c>
      <c r="D64" s="32">
        <v>13023</v>
      </c>
      <c r="E64" s="28" t="s">
        <v>486</v>
      </c>
      <c r="F64" s="28" t="s">
        <v>476</v>
      </c>
      <c r="G64" s="26">
        <v>1</v>
      </c>
      <c r="H64" s="35">
        <v>650</v>
      </c>
      <c r="I64" s="35">
        <v>69.642899999999997</v>
      </c>
      <c r="J64" s="35">
        <v>0</v>
      </c>
      <c r="K64" s="35">
        <v>580.35709999999995</v>
      </c>
    </row>
    <row r="65" spans="2:11" x14ac:dyDescent="0.35">
      <c r="B65" s="31">
        <v>44938</v>
      </c>
      <c r="C65" s="27" t="s">
        <v>97</v>
      </c>
      <c r="D65" s="32">
        <v>13023</v>
      </c>
      <c r="E65" s="28" t="s">
        <v>487</v>
      </c>
      <c r="F65" s="28" t="s">
        <v>476</v>
      </c>
      <c r="G65" s="26">
        <v>1</v>
      </c>
      <c r="H65" s="35">
        <v>12.5</v>
      </c>
      <c r="I65" s="35">
        <v>0</v>
      </c>
      <c r="J65" s="35">
        <v>0.98</v>
      </c>
      <c r="K65" s="35">
        <v>13.48</v>
      </c>
    </row>
    <row r="66" spans="2:11" x14ac:dyDescent="0.35">
      <c r="B66" s="31">
        <v>44938</v>
      </c>
      <c r="C66" s="27" t="s">
        <v>98</v>
      </c>
      <c r="D66" s="32">
        <v>15417</v>
      </c>
      <c r="E66" s="28" t="s">
        <v>486</v>
      </c>
      <c r="F66" s="28" t="s">
        <v>474</v>
      </c>
      <c r="G66" s="26">
        <v>1</v>
      </c>
      <c r="H66" s="35">
        <v>30</v>
      </c>
      <c r="I66" s="35">
        <v>0</v>
      </c>
      <c r="J66" s="35">
        <v>2.34</v>
      </c>
      <c r="K66" s="35">
        <v>32.340000000000003</v>
      </c>
    </row>
    <row r="67" spans="2:11" x14ac:dyDescent="0.35">
      <c r="B67" s="31">
        <v>44939</v>
      </c>
      <c r="C67" s="27" t="s">
        <v>99</v>
      </c>
      <c r="D67" s="32">
        <v>13190</v>
      </c>
      <c r="E67" s="28" t="s">
        <v>480</v>
      </c>
      <c r="F67" s="28" t="s">
        <v>476</v>
      </c>
      <c r="G67" s="26">
        <v>26</v>
      </c>
      <c r="H67" s="35">
        <v>15</v>
      </c>
      <c r="I67" s="35">
        <v>0</v>
      </c>
      <c r="J67" s="35">
        <v>0</v>
      </c>
      <c r="K67" s="35">
        <v>390</v>
      </c>
    </row>
    <row r="68" spans="2:11" x14ac:dyDescent="0.35">
      <c r="B68" s="31">
        <v>44939</v>
      </c>
      <c r="C68" s="27" t="s">
        <v>100</v>
      </c>
      <c r="D68" s="32">
        <v>15478</v>
      </c>
      <c r="E68" s="28" t="s">
        <v>482</v>
      </c>
      <c r="F68" s="28" t="s">
        <v>476</v>
      </c>
      <c r="G68" s="26">
        <v>1</v>
      </c>
      <c r="H68" s="35">
        <v>180</v>
      </c>
      <c r="I68" s="35">
        <v>0</v>
      </c>
      <c r="J68" s="35">
        <v>14.04</v>
      </c>
      <c r="K68" s="35">
        <v>194.04</v>
      </c>
    </row>
    <row r="69" spans="2:11" x14ac:dyDescent="0.35">
      <c r="B69" s="31">
        <v>44939</v>
      </c>
      <c r="C69" s="27" t="s">
        <v>101</v>
      </c>
      <c r="D69" s="32">
        <v>12898</v>
      </c>
      <c r="E69" s="28" t="s">
        <v>480</v>
      </c>
      <c r="F69" s="28" t="s">
        <v>474</v>
      </c>
      <c r="G69" s="26">
        <v>1</v>
      </c>
      <c r="H69" s="35">
        <v>0</v>
      </c>
      <c r="I69" s="35">
        <v>0</v>
      </c>
      <c r="J69" s="35">
        <v>0</v>
      </c>
      <c r="K69" s="35">
        <v>0</v>
      </c>
    </row>
    <row r="70" spans="2:11" x14ac:dyDescent="0.35">
      <c r="B70" s="31">
        <v>44939</v>
      </c>
      <c r="C70" s="27" t="s">
        <v>102</v>
      </c>
      <c r="D70" s="32">
        <v>16635</v>
      </c>
      <c r="E70" s="28" t="s">
        <v>487</v>
      </c>
      <c r="F70" s="28" t="s">
        <v>476</v>
      </c>
      <c r="G70" s="26">
        <v>1</v>
      </c>
      <c r="H70" s="35">
        <v>130</v>
      </c>
      <c r="I70" s="35">
        <v>0</v>
      </c>
      <c r="J70" s="35">
        <v>10.14</v>
      </c>
      <c r="K70" s="35">
        <v>140.13999999999999</v>
      </c>
    </row>
    <row r="71" spans="2:11" x14ac:dyDescent="0.35">
      <c r="B71" s="31">
        <v>44942</v>
      </c>
      <c r="C71" s="27" t="s">
        <v>103</v>
      </c>
      <c r="D71" s="32">
        <v>535</v>
      </c>
      <c r="E71" s="28" t="s">
        <v>483</v>
      </c>
      <c r="F71" s="28" t="s">
        <v>473</v>
      </c>
      <c r="G71" s="26">
        <v>64</v>
      </c>
      <c r="H71" s="35">
        <v>12</v>
      </c>
      <c r="I71" s="35">
        <v>0</v>
      </c>
      <c r="J71" s="35">
        <v>0</v>
      </c>
      <c r="K71" s="35">
        <v>768</v>
      </c>
    </row>
    <row r="72" spans="2:11" x14ac:dyDescent="0.35">
      <c r="B72" s="31">
        <v>44942</v>
      </c>
      <c r="C72" s="27" t="s">
        <v>104</v>
      </c>
      <c r="D72" s="32">
        <v>8538</v>
      </c>
      <c r="E72" s="28" t="s">
        <v>483</v>
      </c>
      <c r="F72" s="28" t="s">
        <v>473</v>
      </c>
      <c r="G72" s="26">
        <v>20</v>
      </c>
      <c r="H72" s="35">
        <v>12</v>
      </c>
      <c r="I72" s="35">
        <v>0</v>
      </c>
      <c r="J72" s="35">
        <v>0</v>
      </c>
      <c r="K72" s="35">
        <v>240</v>
      </c>
    </row>
    <row r="73" spans="2:11" x14ac:dyDescent="0.35">
      <c r="B73" s="31">
        <v>44942</v>
      </c>
      <c r="C73" s="27" t="s">
        <v>105</v>
      </c>
      <c r="D73" s="32">
        <v>532</v>
      </c>
      <c r="E73" s="28" t="s">
        <v>483</v>
      </c>
      <c r="F73" s="28" t="s">
        <v>473</v>
      </c>
      <c r="G73" s="26">
        <v>24</v>
      </c>
      <c r="H73" s="35">
        <v>12</v>
      </c>
      <c r="I73" s="35">
        <v>0</v>
      </c>
      <c r="J73" s="35">
        <v>0</v>
      </c>
      <c r="K73" s="35">
        <v>288</v>
      </c>
    </row>
    <row r="74" spans="2:11" x14ac:dyDescent="0.35">
      <c r="B74" s="31">
        <v>44942</v>
      </c>
      <c r="C74" s="27" t="s">
        <v>106</v>
      </c>
      <c r="D74" s="32">
        <v>283</v>
      </c>
      <c r="E74" s="28" t="s">
        <v>483</v>
      </c>
      <c r="F74" s="28" t="s">
        <v>476</v>
      </c>
      <c r="G74" s="26">
        <v>53</v>
      </c>
      <c r="H74" s="35">
        <v>12</v>
      </c>
      <c r="I74" s="35">
        <v>0</v>
      </c>
      <c r="J74" s="35">
        <v>0</v>
      </c>
      <c r="K74" s="35">
        <v>636</v>
      </c>
    </row>
    <row r="75" spans="2:11" x14ac:dyDescent="0.35">
      <c r="B75" s="31">
        <v>44942</v>
      </c>
      <c r="C75" s="27" t="s">
        <v>107</v>
      </c>
      <c r="D75" s="32">
        <v>11857</v>
      </c>
      <c r="E75" s="28" t="s">
        <v>487</v>
      </c>
      <c r="F75" s="28" t="s">
        <v>476</v>
      </c>
      <c r="G75" s="26">
        <v>20</v>
      </c>
      <c r="H75" s="35">
        <v>12</v>
      </c>
      <c r="I75" s="35">
        <v>0</v>
      </c>
      <c r="J75" s="35">
        <v>0</v>
      </c>
      <c r="K75" s="35">
        <v>240</v>
      </c>
    </row>
    <row r="76" spans="2:11" x14ac:dyDescent="0.35">
      <c r="B76" s="31">
        <v>44942</v>
      </c>
      <c r="C76" s="27" t="s">
        <v>107</v>
      </c>
      <c r="D76" s="32">
        <v>11857</v>
      </c>
      <c r="E76" s="28" t="s">
        <v>485</v>
      </c>
      <c r="F76" s="28" t="s">
        <v>476</v>
      </c>
      <c r="G76" s="26">
        <v>1</v>
      </c>
      <c r="H76" s="35">
        <v>168</v>
      </c>
      <c r="I76" s="35">
        <v>25.2</v>
      </c>
      <c r="J76" s="35">
        <v>11.14</v>
      </c>
      <c r="K76" s="35">
        <v>153.94</v>
      </c>
    </row>
    <row r="77" spans="2:11" x14ac:dyDescent="0.35">
      <c r="B77" s="31">
        <v>44942</v>
      </c>
      <c r="C77" s="27" t="s">
        <v>107</v>
      </c>
      <c r="D77" s="32">
        <v>11857</v>
      </c>
      <c r="E77" s="28" t="s">
        <v>483</v>
      </c>
      <c r="F77" s="28" t="s">
        <v>476</v>
      </c>
      <c r="G77" s="26">
        <v>1</v>
      </c>
      <c r="H77" s="35">
        <v>51</v>
      </c>
      <c r="I77" s="35">
        <v>7.65</v>
      </c>
      <c r="J77" s="35">
        <v>3.38</v>
      </c>
      <c r="K77" s="35">
        <v>46.730000000000004</v>
      </c>
    </row>
    <row r="78" spans="2:11" x14ac:dyDescent="0.35">
      <c r="B78" s="31">
        <v>44942</v>
      </c>
      <c r="C78" s="27" t="s">
        <v>107</v>
      </c>
      <c r="D78" s="32">
        <v>11857</v>
      </c>
      <c r="E78" s="28" t="s">
        <v>481</v>
      </c>
      <c r="F78" s="28" t="s">
        <v>476</v>
      </c>
      <c r="G78" s="26">
        <v>1</v>
      </c>
      <c r="H78" s="35">
        <v>148</v>
      </c>
      <c r="I78" s="35">
        <v>22.2</v>
      </c>
      <c r="J78" s="35">
        <v>9.81</v>
      </c>
      <c r="K78" s="35">
        <v>135.60999999999999</v>
      </c>
    </row>
    <row r="79" spans="2:11" x14ac:dyDescent="0.35">
      <c r="B79" s="31">
        <v>44942</v>
      </c>
      <c r="C79" s="27" t="s">
        <v>108</v>
      </c>
      <c r="D79" s="32">
        <v>544</v>
      </c>
      <c r="E79" s="28" t="s">
        <v>483</v>
      </c>
      <c r="F79" s="28" t="s">
        <v>473</v>
      </c>
      <c r="G79" s="26">
        <v>36</v>
      </c>
      <c r="H79" s="35">
        <v>12</v>
      </c>
      <c r="I79" s="35">
        <v>0</v>
      </c>
      <c r="J79" s="35">
        <v>0</v>
      </c>
      <c r="K79" s="35">
        <v>432</v>
      </c>
    </row>
    <row r="80" spans="2:11" x14ac:dyDescent="0.35">
      <c r="B80" s="31">
        <v>44942</v>
      </c>
      <c r="C80" s="27" t="s">
        <v>109</v>
      </c>
      <c r="D80" s="32">
        <v>13123</v>
      </c>
      <c r="E80" s="28" t="s">
        <v>487</v>
      </c>
      <c r="F80" s="28" t="s">
        <v>476</v>
      </c>
      <c r="G80" s="26">
        <v>28</v>
      </c>
      <c r="H80" s="35">
        <v>12</v>
      </c>
      <c r="I80" s="35">
        <v>0</v>
      </c>
      <c r="J80" s="35">
        <v>0</v>
      </c>
      <c r="K80" s="35">
        <v>336</v>
      </c>
    </row>
    <row r="81" spans="2:11" x14ac:dyDescent="0.35">
      <c r="B81" s="31">
        <v>44942</v>
      </c>
      <c r="C81" s="27" t="s">
        <v>110</v>
      </c>
      <c r="D81" s="32">
        <v>104</v>
      </c>
      <c r="E81" s="28" t="s">
        <v>483</v>
      </c>
      <c r="F81" s="28" t="s">
        <v>473</v>
      </c>
      <c r="G81" s="26">
        <v>36</v>
      </c>
      <c r="H81" s="35">
        <v>12</v>
      </c>
      <c r="I81" s="35">
        <v>0</v>
      </c>
      <c r="J81" s="35">
        <v>0</v>
      </c>
      <c r="K81" s="35">
        <v>432</v>
      </c>
    </row>
    <row r="82" spans="2:11" x14ac:dyDescent="0.35">
      <c r="B82" s="31">
        <v>44942</v>
      </c>
      <c r="C82" s="27" t="s">
        <v>111</v>
      </c>
      <c r="D82" s="32">
        <v>4245</v>
      </c>
      <c r="E82" s="28" t="s">
        <v>483</v>
      </c>
      <c r="F82" s="28" t="s">
        <v>473</v>
      </c>
      <c r="G82" s="26">
        <v>36</v>
      </c>
      <c r="H82" s="35">
        <v>12</v>
      </c>
      <c r="I82" s="35">
        <v>0</v>
      </c>
      <c r="J82" s="35">
        <v>0</v>
      </c>
      <c r="K82" s="35">
        <v>432</v>
      </c>
    </row>
    <row r="83" spans="2:11" x14ac:dyDescent="0.35">
      <c r="B83" s="31">
        <v>44942</v>
      </c>
      <c r="C83" s="27" t="s">
        <v>112</v>
      </c>
      <c r="D83" s="32">
        <v>14370</v>
      </c>
      <c r="E83" s="28" t="s">
        <v>483</v>
      </c>
      <c r="F83" s="28" t="s">
        <v>476</v>
      </c>
      <c r="G83" s="26">
        <v>50</v>
      </c>
      <c r="H83" s="35">
        <v>12</v>
      </c>
      <c r="I83" s="35">
        <v>0</v>
      </c>
      <c r="J83" s="35">
        <v>0</v>
      </c>
      <c r="K83" s="35">
        <v>600</v>
      </c>
    </row>
    <row r="84" spans="2:11" x14ac:dyDescent="0.35">
      <c r="B84" s="31">
        <v>44942</v>
      </c>
      <c r="C84" s="27" t="s">
        <v>113</v>
      </c>
      <c r="D84" s="32">
        <v>7441</v>
      </c>
      <c r="E84" s="28" t="s">
        <v>483</v>
      </c>
      <c r="F84" s="28" t="s">
        <v>473</v>
      </c>
      <c r="G84" s="26">
        <v>24</v>
      </c>
      <c r="H84" s="35">
        <v>12</v>
      </c>
      <c r="I84" s="35">
        <v>0</v>
      </c>
      <c r="J84" s="35">
        <v>0</v>
      </c>
      <c r="K84" s="35">
        <v>288</v>
      </c>
    </row>
    <row r="85" spans="2:11" x14ac:dyDescent="0.35">
      <c r="B85" s="31">
        <v>44942</v>
      </c>
      <c r="C85" s="27" t="s">
        <v>114</v>
      </c>
      <c r="D85" s="32">
        <v>58</v>
      </c>
      <c r="E85" s="28" t="s">
        <v>483</v>
      </c>
      <c r="F85" s="28" t="s">
        <v>473</v>
      </c>
      <c r="G85" s="26">
        <v>24</v>
      </c>
      <c r="H85" s="35">
        <v>12</v>
      </c>
      <c r="I85" s="35">
        <v>0</v>
      </c>
      <c r="J85" s="35">
        <v>0</v>
      </c>
      <c r="K85" s="35">
        <v>288</v>
      </c>
    </row>
    <row r="86" spans="2:11" x14ac:dyDescent="0.35">
      <c r="B86" s="31">
        <v>44942</v>
      </c>
      <c r="C86" s="27" t="s">
        <v>115</v>
      </c>
      <c r="D86" s="32">
        <v>523</v>
      </c>
      <c r="E86" s="28" t="s">
        <v>483</v>
      </c>
      <c r="F86" s="28" t="s">
        <v>473</v>
      </c>
      <c r="G86" s="26">
        <v>24</v>
      </c>
      <c r="H86" s="35">
        <v>12</v>
      </c>
      <c r="I86" s="35">
        <v>0</v>
      </c>
      <c r="J86" s="35">
        <v>0</v>
      </c>
      <c r="K86" s="35">
        <v>288</v>
      </c>
    </row>
    <row r="87" spans="2:11" x14ac:dyDescent="0.35">
      <c r="B87" s="31">
        <v>44942</v>
      </c>
      <c r="C87" s="27" t="s">
        <v>116</v>
      </c>
      <c r="D87" s="32">
        <v>15453</v>
      </c>
      <c r="E87" s="28" t="s">
        <v>483</v>
      </c>
      <c r="F87" s="28" t="s">
        <v>476</v>
      </c>
      <c r="G87" s="26">
        <v>48</v>
      </c>
      <c r="H87" s="35">
        <v>12</v>
      </c>
      <c r="I87" s="35">
        <v>0</v>
      </c>
      <c r="J87" s="35">
        <v>0</v>
      </c>
      <c r="K87" s="35">
        <v>576</v>
      </c>
    </row>
    <row r="88" spans="2:11" x14ac:dyDescent="0.35">
      <c r="B88" s="31">
        <v>44942</v>
      </c>
      <c r="C88" s="27" t="s">
        <v>117</v>
      </c>
      <c r="D88" s="32">
        <v>876</v>
      </c>
      <c r="E88" s="28" t="s">
        <v>487</v>
      </c>
      <c r="F88" s="28" t="s">
        <v>476</v>
      </c>
      <c r="G88" s="26">
        <v>28</v>
      </c>
      <c r="H88" s="35">
        <v>12</v>
      </c>
      <c r="I88" s="35">
        <v>0</v>
      </c>
      <c r="J88" s="35">
        <v>0</v>
      </c>
      <c r="K88" s="35">
        <v>336</v>
      </c>
    </row>
    <row r="89" spans="2:11" x14ac:dyDescent="0.35">
      <c r="B89" s="31">
        <v>44942</v>
      </c>
      <c r="C89" s="27" t="s">
        <v>118</v>
      </c>
      <c r="D89" s="32">
        <v>166</v>
      </c>
      <c r="E89" s="28" t="s">
        <v>487</v>
      </c>
      <c r="F89" s="28" t="s">
        <v>473</v>
      </c>
      <c r="G89" s="26">
        <v>48</v>
      </c>
      <c r="H89" s="35">
        <v>12</v>
      </c>
      <c r="I89" s="35">
        <v>0</v>
      </c>
      <c r="J89" s="35">
        <v>0</v>
      </c>
      <c r="K89" s="35">
        <v>576</v>
      </c>
    </row>
    <row r="90" spans="2:11" x14ac:dyDescent="0.35">
      <c r="B90" s="31">
        <v>44942</v>
      </c>
      <c r="C90" s="27" t="s">
        <v>119</v>
      </c>
      <c r="D90" s="32">
        <v>862</v>
      </c>
      <c r="E90" s="28" t="s">
        <v>483</v>
      </c>
      <c r="F90" s="28" t="s">
        <v>473</v>
      </c>
      <c r="G90" s="26">
        <v>62</v>
      </c>
      <c r="H90" s="35">
        <v>12</v>
      </c>
      <c r="I90" s="35">
        <v>0</v>
      </c>
      <c r="J90" s="35">
        <v>0</v>
      </c>
      <c r="K90" s="35">
        <v>744</v>
      </c>
    </row>
    <row r="91" spans="2:11" x14ac:dyDescent="0.35">
      <c r="B91" s="31">
        <v>44942</v>
      </c>
      <c r="C91" s="27" t="s">
        <v>120</v>
      </c>
      <c r="D91" s="32">
        <v>486</v>
      </c>
      <c r="E91" s="28" t="s">
        <v>483</v>
      </c>
      <c r="F91" s="28" t="s">
        <v>473</v>
      </c>
      <c r="G91" s="26">
        <v>26</v>
      </c>
      <c r="H91" s="35">
        <v>12</v>
      </c>
      <c r="I91" s="35">
        <v>0</v>
      </c>
      <c r="J91" s="35">
        <v>0</v>
      </c>
      <c r="K91" s="35">
        <v>312</v>
      </c>
    </row>
    <row r="92" spans="2:11" x14ac:dyDescent="0.35">
      <c r="B92" s="31">
        <v>44942</v>
      </c>
      <c r="C92" s="27" t="s">
        <v>121</v>
      </c>
      <c r="D92" s="32">
        <v>4252</v>
      </c>
      <c r="E92" s="28" t="s">
        <v>483</v>
      </c>
      <c r="F92" s="28" t="s">
        <v>473</v>
      </c>
      <c r="G92" s="26">
        <v>36</v>
      </c>
      <c r="H92" s="35">
        <v>12</v>
      </c>
      <c r="I92" s="35">
        <v>0</v>
      </c>
      <c r="J92" s="35">
        <v>0</v>
      </c>
      <c r="K92" s="35">
        <v>432</v>
      </c>
    </row>
    <row r="93" spans="2:11" x14ac:dyDescent="0.35">
      <c r="B93" s="31">
        <v>44942</v>
      </c>
      <c r="C93" s="27" t="s">
        <v>122</v>
      </c>
      <c r="D93" s="32">
        <v>4148</v>
      </c>
      <c r="E93" s="28" t="s">
        <v>483</v>
      </c>
      <c r="F93" s="28" t="s">
        <v>473</v>
      </c>
      <c r="G93" s="26">
        <v>20</v>
      </c>
      <c r="H93" s="35">
        <v>12</v>
      </c>
      <c r="I93" s="35">
        <v>0</v>
      </c>
      <c r="J93" s="35">
        <v>0</v>
      </c>
      <c r="K93" s="35">
        <v>240</v>
      </c>
    </row>
    <row r="94" spans="2:11" x14ac:dyDescent="0.35">
      <c r="B94" s="31">
        <v>44942</v>
      </c>
      <c r="C94" s="27" t="s">
        <v>123</v>
      </c>
      <c r="D94" s="32">
        <v>7441</v>
      </c>
      <c r="E94" s="28" t="s">
        <v>487</v>
      </c>
      <c r="F94" s="28" t="s">
        <v>473</v>
      </c>
      <c r="G94" s="26">
        <v>1</v>
      </c>
      <c r="H94" s="35">
        <v>1</v>
      </c>
      <c r="I94" s="35">
        <v>0</v>
      </c>
      <c r="J94" s="35">
        <v>0</v>
      </c>
      <c r="K94" s="35">
        <v>1</v>
      </c>
    </row>
    <row r="95" spans="2:11" x14ac:dyDescent="0.35">
      <c r="B95" s="31">
        <v>44943</v>
      </c>
      <c r="C95" s="27" t="s">
        <v>124</v>
      </c>
      <c r="D95" s="32">
        <v>8656</v>
      </c>
      <c r="E95" s="28" t="s">
        <v>487</v>
      </c>
      <c r="F95" s="28" t="s">
        <v>476</v>
      </c>
      <c r="G95" s="26">
        <v>1</v>
      </c>
      <c r="H95" s="35">
        <v>50</v>
      </c>
      <c r="I95" s="35">
        <v>0</v>
      </c>
      <c r="J95" s="35">
        <v>3.9</v>
      </c>
      <c r="K95" s="35">
        <v>53.9</v>
      </c>
    </row>
    <row r="96" spans="2:11" x14ac:dyDescent="0.35">
      <c r="B96" s="31">
        <v>44943</v>
      </c>
      <c r="C96" s="27" t="s">
        <v>125</v>
      </c>
      <c r="D96" s="32">
        <v>9736</v>
      </c>
      <c r="E96" s="28" t="s">
        <v>480</v>
      </c>
      <c r="F96" s="28" t="s">
        <v>474</v>
      </c>
      <c r="G96" s="26">
        <v>1</v>
      </c>
      <c r="H96" s="35">
        <v>0</v>
      </c>
      <c r="I96" s="35">
        <v>0</v>
      </c>
      <c r="J96" s="35">
        <v>0</v>
      </c>
      <c r="K96" s="35">
        <v>0</v>
      </c>
    </row>
    <row r="97" spans="2:11" x14ac:dyDescent="0.35">
      <c r="B97" s="31">
        <v>44943</v>
      </c>
      <c r="C97" s="27" t="s">
        <v>126</v>
      </c>
      <c r="D97" s="32">
        <v>4270</v>
      </c>
      <c r="E97" s="28" t="s">
        <v>480</v>
      </c>
      <c r="F97" s="28" t="s">
        <v>474</v>
      </c>
      <c r="G97" s="26">
        <v>1</v>
      </c>
      <c r="H97" s="35">
        <v>0</v>
      </c>
      <c r="I97" s="35">
        <v>0</v>
      </c>
      <c r="J97" s="35">
        <v>0</v>
      </c>
      <c r="K97" s="35">
        <v>0</v>
      </c>
    </row>
    <row r="98" spans="2:11" x14ac:dyDescent="0.35">
      <c r="B98" s="31">
        <v>44943</v>
      </c>
      <c r="C98" s="27" t="s">
        <v>127</v>
      </c>
      <c r="D98" s="32">
        <v>745</v>
      </c>
      <c r="E98" s="28" t="s">
        <v>485</v>
      </c>
      <c r="F98" s="28" t="s">
        <v>474</v>
      </c>
      <c r="G98" s="26">
        <v>2</v>
      </c>
      <c r="H98" s="35">
        <v>168</v>
      </c>
      <c r="I98" s="35">
        <v>168.00210000000001</v>
      </c>
      <c r="J98" s="35">
        <v>13.1</v>
      </c>
      <c r="K98" s="35">
        <v>181.09789999999998</v>
      </c>
    </row>
    <row r="99" spans="2:11" x14ac:dyDescent="0.35">
      <c r="B99" s="31">
        <v>44943</v>
      </c>
      <c r="C99" s="27" t="s">
        <v>127</v>
      </c>
      <c r="D99" s="32">
        <v>745</v>
      </c>
      <c r="E99" s="28" t="s">
        <v>482</v>
      </c>
      <c r="F99" s="28" t="s">
        <v>474</v>
      </c>
      <c r="G99" s="26">
        <v>1</v>
      </c>
      <c r="H99" s="35">
        <v>180</v>
      </c>
      <c r="I99" s="35">
        <v>90</v>
      </c>
      <c r="J99" s="35">
        <v>7.02</v>
      </c>
      <c r="K99" s="35">
        <v>97.02</v>
      </c>
    </row>
    <row r="100" spans="2:11" x14ac:dyDescent="0.35">
      <c r="B100" s="31">
        <v>44943</v>
      </c>
      <c r="C100" s="27" t="s">
        <v>127</v>
      </c>
      <c r="D100" s="32">
        <v>745</v>
      </c>
      <c r="E100" s="28" t="s">
        <v>481</v>
      </c>
      <c r="F100" s="28" t="s">
        <v>474</v>
      </c>
      <c r="G100" s="26">
        <v>3</v>
      </c>
      <c r="H100" s="35">
        <v>148</v>
      </c>
      <c r="I100" s="35">
        <v>222.00280000000001</v>
      </c>
      <c r="J100" s="35">
        <v>17.32</v>
      </c>
      <c r="K100" s="35">
        <v>239.31719999999999</v>
      </c>
    </row>
    <row r="101" spans="2:11" x14ac:dyDescent="0.35">
      <c r="B101" s="31">
        <v>44943</v>
      </c>
      <c r="C101" s="27" t="s">
        <v>127</v>
      </c>
      <c r="D101" s="32">
        <v>745</v>
      </c>
      <c r="E101" s="28" t="s">
        <v>488</v>
      </c>
      <c r="F101" s="28" t="s">
        <v>474</v>
      </c>
      <c r="G101" s="26">
        <v>1</v>
      </c>
      <c r="H101" s="35">
        <v>9.99</v>
      </c>
      <c r="I101" s="35">
        <v>4.9950999999999999</v>
      </c>
      <c r="J101" s="35">
        <v>0.39</v>
      </c>
      <c r="K101" s="35">
        <v>5.3849</v>
      </c>
    </row>
    <row r="102" spans="2:11" x14ac:dyDescent="0.35">
      <c r="B102" s="31">
        <v>44943</v>
      </c>
      <c r="C102" s="27" t="s">
        <v>128</v>
      </c>
      <c r="D102" s="32">
        <v>16661</v>
      </c>
      <c r="E102" s="28" t="s">
        <v>488</v>
      </c>
      <c r="F102" s="28" t="s">
        <v>474</v>
      </c>
      <c r="G102" s="26">
        <v>1</v>
      </c>
      <c r="H102" s="35">
        <v>85</v>
      </c>
      <c r="I102" s="35">
        <v>17</v>
      </c>
      <c r="J102" s="35">
        <v>5.3</v>
      </c>
      <c r="K102" s="35">
        <v>73.3</v>
      </c>
    </row>
    <row r="103" spans="2:11" x14ac:dyDescent="0.35">
      <c r="B103" s="31">
        <v>44943</v>
      </c>
      <c r="C103" s="27" t="s">
        <v>128</v>
      </c>
      <c r="D103" s="32">
        <v>16661</v>
      </c>
      <c r="E103" s="28" t="s">
        <v>488</v>
      </c>
      <c r="F103" s="28" t="s">
        <v>474</v>
      </c>
      <c r="G103" s="26">
        <v>1</v>
      </c>
      <c r="H103" s="35">
        <v>199</v>
      </c>
      <c r="I103" s="35">
        <v>39.799999999999997</v>
      </c>
      <c r="J103" s="35">
        <v>12.42</v>
      </c>
      <c r="K103" s="35">
        <v>171.61999999999998</v>
      </c>
    </row>
    <row r="104" spans="2:11" x14ac:dyDescent="0.35">
      <c r="B104" s="31">
        <v>44943</v>
      </c>
      <c r="C104" s="27" t="s">
        <v>129</v>
      </c>
      <c r="D104" s="32">
        <v>4109</v>
      </c>
      <c r="E104" s="28" t="s">
        <v>481</v>
      </c>
      <c r="F104" s="28" t="s">
        <v>474</v>
      </c>
      <c r="G104" s="26">
        <v>1</v>
      </c>
      <c r="H104" s="35">
        <v>150</v>
      </c>
      <c r="I104" s="35">
        <v>30</v>
      </c>
      <c r="J104" s="35">
        <v>9.36</v>
      </c>
      <c r="K104" s="35">
        <v>129.36000000000001</v>
      </c>
    </row>
    <row r="105" spans="2:11" x14ac:dyDescent="0.35">
      <c r="B105" s="31">
        <v>44943</v>
      </c>
      <c r="C105" s="27" t="s">
        <v>129</v>
      </c>
      <c r="D105" s="32">
        <v>4109</v>
      </c>
      <c r="E105" s="28" t="s">
        <v>488</v>
      </c>
      <c r="F105" s="28" t="s">
        <v>474</v>
      </c>
      <c r="G105" s="26">
        <v>1</v>
      </c>
      <c r="H105" s="35">
        <v>199</v>
      </c>
      <c r="I105" s="35">
        <v>39.799999999999997</v>
      </c>
      <c r="J105" s="35">
        <v>12.42</v>
      </c>
      <c r="K105" s="35">
        <v>171.61999999999998</v>
      </c>
    </row>
    <row r="106" spans="2:11" x14ac:dyDescent="0.35">
      <c r="B106" s="31">
        <v>44943</v>
      </c>
      <c r="C106" s="27" t="s">
        <v>129</v>
      </c>
      <c r="D106" s="32">
        <v>4109</v>
      </c>
      <c r="E106" s="28" t="s">
        <v>481</v>
      </c>
      <c r="F106" s="28" t="s">
        <v>474</v>
      </c>
      <c r="G106" s="26">
        <v>1</v>
      </c>
      <c r="H106" s="35">
        <v>148</v>
      </c>
      <c r="I106" s="35">
        <v>29.6</v>
      </c>
      <c r="J106" s="35">
        <v>9.24</v>
      </c>
      <c r="K106" s="35">
        <v>127.64</v>
      </c>
    </row>
    <row r="107" spans="2:11" x14ac:dyDescent="0.35">
      <c r="B107" s="31">
        <v>44943</v>
      </c>
      <c r="C107" s="27" t="s">
        <v>129</v>
      </c>
      <c r="D107" s="32">
        <v>4109</v>
      </c>
      <c r="E107" s="28" t="s">
        <v>488</v>
      </c>
      <c r="F107" s="28" t="s">
        <v>474</v>
      </c>
      <c r="G107" s="26">
        <v>1</v>
      </c>
      <c r="H107" s="35">
        <v>67</v>
      </c>
      <c r="I107" s="35">
        <v>13.4</v>
      </c>
      <c r="J107" s="35">
        <v>4.18</v>
      </c>
      <c r="K107" s="35">
        <v>57.78</v>
      </c>
    </row>
    <row r="108" spans="2:11" x14ac:dyDescent="0.35">
      <c r="B108" s="31">
        <v>44943</v>
      </c>
      <c r="C108" s="27" t="s">
        <v>130</v>
      </c>
      <c r="D108" s="32">
        <v>16662</v>
      </c>
      <c r="E108" s="28" t="s">
        <v>488</v>
      </c>
      <c r="F108" s="28" t="s">
        <v>474</v>
      </c>
      <c r="G108" s="26">
        <v>2</v>
      </c>
      <c r="H108" s="35">
        <v>19.989999999999998</v>
      </c>
      <c r="I108" s="35">
        <v>8</v>
      </c>
      <c r="J108" s="35">
        <v>2.4900000000000002</v>
      </c>
      <c r="K108" s="35">
        <v>34.47</v>
      </c>
    </row>
    <row r="109" spans="2:11" x14ac:dyDescent="0.35">
      <c r="B109" s="31">
        <v>44943</v>
      </c>
      <c r="C109" s="27" t="s">
        <v>131</v>
      </c>
      <c r="D109" s="32">
        <v>16665</v>
      </c>
      <c r="E109" s="28" t="s">
        <v>488</v>
      </c>
      <c r="F109" s="28" t="s">
        <v>474</v>
      </c>
      <c r="G109" s="26">
        <v>1</v>
      </c>
      <c r="H109" s="35">
        <v>19.989999999999998</v>
      </c>
      <c r="I109" s="35">
        <v>3.9983</v>
      </c>
      <c r="J109" s="35">
        <v>1.25</v>
      </c>
      <c r="K109" s="35">
        <v>17.241699999999998</v>
      </c>
    </row>
    <row r="110" spans="2:11" x14ac:dyDescent="0.35">
      <c r="B110" s="31">
        <v>44943</v>
      </c>
      <c r="C110" s="27" t="s">
        <v>131</v>
      </c>
      <c r="D110" s="32">
        <v>16665</v>
      </c>
      <c r="E110" s="28" t="s">
        <v>489</v>
      </c>
      <c r="F110" s="28" t="s">
        <v>474</v>
      </c>
      <c r="G110" s="26">
        <v>1</v>
      </c>
      <c r="H110" s="35">
        <v>90</v>
      </c>
      <c r="I110" s="35">
        <v>18.001300000000001</v>
      </c>
      <c r="J110" s="35">
        <v>5.62</v>
      </c>
      <c r="K110" s="35">
        <v>77.618700000000004</v>
      </c>
    </row>
    <row r="111" spans="2:11" x14ac:dyDescent="0.35">
      <c r="B111" s="31">
        <v>44943</v>
      </c>
      <c r="C111" s="27" t="s">
        <v>131</v>
      </c>
      <c r="D111" s="32">
        <v>16665</v>
      </c>
      <c r="E111" s="28" t="s">
        <v>486</v>
      </c>
      <c r="F111" s="28" t="s">
        <v>474</v>
      </c>
      <c r="G111" s="26">
        <v>1</v>
      </c>
      <c r="H111" s="35">
        <v>30</v>
      </c>
      <c r="I111" s="35">
        <v>6.0004</v>
      </c>
      <c r="J111" s="35">
        <v>1.87</v>
      </c>
      <c r="K111" s="35">
        <v>25.869600000000002</v>
      </c>
    </row>
    <row r="112" spans="2:11" x14ac:dyDescent="0.35">
      <c r="B112" s="31">
        <v>44944</v>
      </c>
      <c r="C112" s="27" t="s">
        <v>132</v>
      </c>
      <c r="D112" s="32">
        <v>501</v>
      </c>
      <c r="E112" s="28" t="s">
        <v>487</v>
      </c>
      <c r="F112" s="28" t="s">
        <v>473</v>
      </c>
      <c r="G112" s="26">
        <v>1</v>
      </c>
      <c r="H112" s="35">
        <v>12.5</v>
      </c>
      <c r="I112" s="35">
        <v>0</v>
      </c>
      <c r="J112" s="35">
        <v>0.98</v>
      </c>
      <c r="K112" s="35">
        <v>13.48</v>
      </c>
    </row>
    <row r="113" spans="2:11" x14ac:dyDescent="0.35">
      <c r="B113" s="31">
        <v>44944</v>
      </c>
      <c r="C113" s="27" t="s">
        <v>133</v>
      </c>
      <c r="D113" s="32">
        <v>27</v>
      </c>
      <c r="E113" s="28" t="s">
        <v>480</v>
      </c>
      <c r="F113" s="28" t="s">
        <v>473</v>
      </c>
      <c r="G113" s="26">
        <v>52</v>
      </c>
      <c r="H113" s="35">
        <v>15</v>
      </c>
      <c r="I113" s="35">
        <v>0</v>
      </c>
      <c r="J113" s="35">
        <v>0</v>
      </c>
      <c r="K113" s="35">
        <v>780</v>
      </c>
    </row>
    <row r="114" spans="2:11" x14ac:dyDescent="0.35">
      <c r="B114" s="31">
        <v>44944</v>
      </c>
      <c r="C114" s="27" t="s">
        <v>134</v>
      </c>
      <c r="D114" s="32">
        <v>213</v>
      </c>
      <c r="E114" s="28" t="s">
        <v>480</v>
      </c>
      <c r="F114" s="28" t="s">
        <v>473</v>
      </c>
      <c r="G114" s="26">
        <v>36</v>
      </c>
      <c r="H114" s="35">
        <v>15</v>
      </c>
      <c r="I114" s="35">
        <v>0</v>
      </c>
      <c r="J114" s="35">
        <v>0</v>
      </c>
      <c r="K114" s="35">
        <v>540</v>
      </c>
    </row>
    <row r="115" spans="2:11" x14ac:dyDescent="0.35">
      <c r="B115" s="31">
        <v>44944</v>
      </c>
      <c r="C115" s="27" t="s">
        <v>135</v>
      </c>
      <c r="D115" s="32">
        <v>604</v>
      </c>
      <c r="E115" s="28" t="s">
        <v>489</v>
      </c>
      <c r="F115" s="28" t="s">
        <v>473</v>
      </c>
      <c r="G115" s="26">
        <v>1</v>
      </c>
      <c r="H115" s="35">
        <v>425</v>
      </c>
      <c r="I115" s="35">
        <v>35.624499999999998</v>
      </c>
      <c r="J115" s="35">
        <v>0</v>
      </c>
      <c r="K115" s="35">
        <v>389.37549999999999</v>
      </c>
    </row>
    <row r="116" spans="2:11" x14ac:dyDescent="0.35">
      <c r="B116" s="31">
        <v>44944</v>
      </c>
      <c r="C116" s="27" t="s">
        <v>135</v>
      </c>
      <c r="D116" s="32">
        <v>604</v>
      </c>
      <c r="E116" s="28" t="s">
        <v>483</v>
      </c>
      <c r="F116" s="28" t="s">
        <v>473</v>
      </c>
      <c r="G116" s="26">
        <v>64</v>
      </c>
      <c r="H116" s="35">
        <v>12</v>
      </c>
      <c r="I116" s="35">
        <v>64.375500000000002</v>
      </c>
      <c r="J116" s="35">
        <v>0</v>
      </c>
      <c r="K116" s="35">
        <v>703.62450000000001</v>
      </c>
    </row>
    <row r="117" spans="2:11" x14ac:dyDescent="0.35">
      <c r="B117" s="31">
        <v>44944</v>
      </c>
      <c r="C117" s="27" t="s">
        <v>135</v>
      </c>
      <c r="D117" s="32">
        <v>604</v>
      </c>
      <c r="E117" s="28" t="s">
        <v>487</v>
      </c>
      <c r="F117" s="28" t="s">
        <v>473</v>
      </c>
      <c r="G117" s="26">
        <v>1</v>
      </c>
      <c r="H117" s="35">
        <v>12.5</v>
      </c>
      <c r="I117" s="35">
        <v>0</v>
      </c>
      <c r="J117" s="35">
        <v>0.98</v>
      </c>
      <c r="K117" s="35">
        <v>13.48</v>
      </c>
    </row>
    <row r="118" spans="2:11" x14ac:dyDescent="0.35">
      <c r="B118" s="31">
        <v>44944</v>
      </c>
      <c r="C118" s="27" t="s">
        <v>136</v>
      </c>
      <c r="D118" s="32">
        <v>889</v>
      </c>
      <c r="E118" s="28" t="s">
        <v>487</v>
      </c>
      <c r="F118" s="28" t="s">
        <v>473</v>
      </c>
      <c r="G118" s="26">
        <v>1</v>
      </c>
      <c r="H118" s="35">
        <v>12.5</v>
      </c>
      <c r="I118" s="35">
        <v>0</v>
      </c>
      <c r="J118" s="35">
        <v>0.98</v>
      </c>
      <c r="K118" s="35">
        <v>13.48</v>
      </c>
    </row>
    <row r="119" spans="2:11" x14ac:dyDescent="0.35">
      <c r="B119" s="31">
        <v>44944</v>
      </c>
      <c r="C119" s="27" t="s">
        <v>136</v>
      </c>
      <c r="D119" s="32">
        <v>889</v>
      </c>
      <c r="E119" s="28" t="s">
        <v>480</v>
      </c>
      <c r="F119" s="28" t="s">
        <v>473</v>
      </c>
      <c r="G119" s="26">
        <v>52</v>
      </c>
      <c r="H119" s="35">
        <v>15</v>
      </c>
      <c r="I119" s="35">
        <v>0</v>
      </c>
      <c r="J119" s="35">
        <v>0</v>
      </c>
      <c r="K119" s="35">
        <v>780</v>
      </c>
    </row>
    <row r="120" spans="2:11" x14ac:dyDescent="0.35">
      <c r="B120" s="31">
        <v>44944</v>
      </c>
      <c r="C120" s="27" t="s">
        <v>137</v>
      </c>
      <c r="D120" s="32">
        <v>604</v>
      </c>
      <c r="E120" s="28" t="s">
        <v>489</v>
      </c>
      <c r="F120" s="28" t="s">
        <v>473</v>
      </c>
      <c r="G120" s="26">
        <v>1</v>
      </c>
      <c r="H120" s="35">
        <v>425</v>
      </c>
      <c r="I120" s="35">
        <v>0</v>
      </c>
      <c r="J120" s="35">
        <v>0</v>
      </c>
      <c r="K120" s="35">
        <v>425</v>
      </c>
    </row>
    <row r="121" spans="2:11" x14ac:dyDescent="0.35">
      <c r="B121" s="31">
        <v>44944</v>
      </c>
      <c r="C121" s="27" t="s">
        <v>138</v>
      </c>
      <c r="D121" s="32">
        <v>559</v>
      </c>
      <c r="E121" s="28" t="s">
        <v>480</v>
      </c>
      <c r="F121" s="28" t="s">
        <v>474</v>
      </c>
      <c r="G121" s="26">
        <v>1</v>
      </c>
      <c r="H121" s="35">
        <v>75</v>
      </c>
      <c r="I121" s="35">
        <v>0</v>
      </c>
      <c r="J121" s="35">
        <v>0</v>
      </c>
      <c r="K121" s="35">
        <v>75</v>
      </c>
    </row>
    <row r="122" spans="2:11" x14ac:dyDescent="0.35">
      <c r="B122" s="31">
        <v>44945</v>
      </c>
      <c r="C122" s="27" t="s">
        <v>139</v>
      </c>
      <c r="D122" s="32">
        <v>8587</v>
      </c>
      <c r="E122" s="28" t="s">
        <v>489</v>
      </c>
      <c r="F122" s="28" t="s">
        <v>476</v>
      </c>
      <c r="G122" s="26">
        <v>1</v>
      </c>
      <c r="H122" s="35">
        <v>100</v>
      </c>
      <c r="I122" s="35">
        <v>0</v>
      </c>
      <c r="J122" s="35">
        <v>7.8</v>
      </c>
      <c r="K122" s="35">
        <v>107.8</v>
      </c>
    </row>
    <row r="123" spans="2:11" x14ac:dyDescent="0.35">
      <c r="B123" s="31">
        <v>44945</v>
      </c>
      <c r="C123" s="27" t="s">
        <v>139</v>
      </c>
      <c r="D123" s="32">
        <v>8587</v>
      </c>
      <c r="E123" s="28" t="s">
        <v>482</v>
      </c>
      <c r="F123" s="28" t="s">
        <v>476</v>
      </c>
      <c r="G123" s="26">
        <v>1</v>
      </c>
      <c r="H123" s="35">
        <v>180</v>
      </c>
      <c r="I123" s="35">
        <v>0</v>
      </c>
      <c r="J123" s="35">
        <v>14.04</v>
      </c>
      <c r="K123" s="35">
        <v>194.04</v>
      </c>
    </row>
    <row r="124" spans="2:11" x14ac:dyDescent="0.35">
      <c r="B124" s="31">
        <v>44945</v>
      </c>
      <c r="C124" s="27" t="s">
        <v>140</v>
      </c>
      <c r="D124" s="32">
        <v>845</v>
      </c>
      <c r="E124" s="28" t="s">
        <v>489</v>
      </c>
      <c r="F124" s="28" t="s">
        <v>475</v>
      </c>
      <c r="G124" s="26">
        <v>1</v>
      </c>
      <c r="H124" s="35">
        <v>90</v>
      </c>
      <c r="I124" s="35">
        <v>0</v>
      </c>
      <c r="J124" s="35">
        <v>7.02</v>
      </c>
      <c r="K124" s="35">
        <v>97.02</v>
      </c>
    </row>
    <row r="125" spans="2:11" x14ac:dyDescent="0.35">
      <c r="B125" s="31">
        <v>44945</v>
      </c>
      <c r="C125" s="27" t="s">
        <v>140</v>
      </c>
      <c r="D125" s="32">
        <v>845</v>
      </c>
      <c r="E125" s="28" t="s">
        <v>489</v>
      </c>
      <c r="F125" s="28" t="s">
        <v>475</v>
      </c>
      <c r="G125" s="26">
        <v>1</v>
      </c>
      <c r="H125" s="35">
        <v>130</v>
      </c>
      <c r="I125" s="35">
        <v>0</v>
      </c>
      <c r="J125" s="35">
        <v>10.14</v>
      </c>
      <c r="K125" s="35">
        <v>140.13999999999999</v>
      </c>
    </row>
    <row r="126" spans="2:11" x14ac:dyDescent="0.35">
      <c r="B126" s="31">
        <v>44945</v>
      </c>
      <c r="C126" s="27" t="s">
        <v>140</v>
      </c>
      <c r="D126" s="32">
        <v>845</v>
      </c>
      <c r="E126" s="28" t="s">
        <v>490</v>
      </c>
      <c r="F126" s="28" t="s">
        <v>475</v>
      </c>
      <c r="G126" s="26">
        <v>1</v>
      </c>
      <c r="H126" s="35">
        <v>50</v>
      </c>
      <c r="I126" s="35">
        <v>0</v>
      </c>
      <c r="J126" s="35">
        <v>3.5</v>
      </c>
      <c r="K126" s="35">
        <v>53.5</v>
      </c>
    </row>
    <row r="127" spans="2:11" x14ac:dyDescent="0.35">
      <c r="B127" s="31">
        <v>44945</v>
      </c>
      <c r="C127" s="27" t="s">
        <v>141</v>
      </c>
      <c r="D127" s="32">
        <v>5321</v>
      </c>
      <c r="E127" s="28" t="s">
        <v>490</v>
      </c>
      <c r="F127" s="28" t="s">
        <v>476</v>
      </c>
      <c r="G127" s="26">
        <v>1</v>
      </c>
      <c r="H127" s="35">
        <v>100</v>
      </c>
      <c r="I127" s="35">
        <v>0</v>
      </c>
      <c r="J127" s="35">
        <v>0</v>
      </c>
      <c r="K127" s="35">
        <v>100</v>
      </c>
    </row>
    <row r="128" spans="2:11" x14ac:dyDescent="0.35">
      <c r="B128" s="31">
        <v>44945</v>
      </c>
      <c r="C128" s="27" t="s">
        <v>142</v>
      </c>
      <c r="D128" s="32">
        <v>13258</v>
      </c>
      <c r="E128" s="28" t="s">
        <v>490</v>
      </c>
      <c r="F128" s="28" t="s">
        <v>476</v>
      </c>
      <c r="G128" s="26">
        <v>1</v>
      </c>
      <c r="H128" s="35">
        <v>100</v>
      </c>
      <c r="I128" s="35">
        <v>0</v>
      </c>
      <c r="J128" s="35">
        <v>0</v>
      </c>
      <c r="K128" s="35">
        <v>100</v>
      </c>
    </row>
    <row r="129" spans="2:11" x14ac:dyDescent="0.35">
      <c r="B129" s="31">
        <v>44949</v>
      </c>
      <c r="C129" s="27" t="s">
        <v>143</v>
      </c>
      <c r="D129" s="32">
        <v>13089</v>
      </c>
      <c r="E129" s="28" t="s">
        <v>485</v>
      </c>
      <c r="F129" s="28" t="s">
        <v>473</v>
      </c>
      <c r="G129" s="26">
        <v>36</v>
      </c>
      <c r="H129" s="35">
        <v>0</v>
      </c>
      <c r="I129" s="35">
        <v>0</v>
      </c>
      <c r="J129" s="35">
        <v>0</v>
      </c>
      <c r="K129" s="35">
        <v>0</v>
      </c>
    </row>
    <row r="130" spans="2:11" x14ac:dyDescent="0.35">
      <c r="B130" s="31">
        <v>44949</v>
      </c>
      <c r="C130" s="27" t="s">
        <v>144</v>
      </c>
      <c r="D130" s="32">
        <v>850</v>
      </c>
      <c r="E130" s="28" t="s">
        <v>487</v>
      </c>
      <c r="F130" s="28" t="s">
        <v>473</v>
      </c>
      <c r="G130" s="26">
        <v>1</v>
      </c>
      <c r="H130" s="35">
        <v>275</v>
      </c>
      <c r="I130" s="35">
        <v>0</v>
      </c>
      <c r="J130" s="35">
        <v>21.45</v>
      </c>
      <c r="K130" s="35">
        <v>296.45</v>
      </c>
    </row>
    <row r="131" spans="2:11" x14ac:dyDescent="0.35">
      <c r="B131" s="31">
        <v>44949</v>
      </c>
      <c r="C131" s="27" t="s">
        <v>145</v>
      </c>
      <c r="D131" s="32">
        <v>515</v>
      </c>
      <c r="E131" s="28" t="s">
        <v>490</v>
      </c>
      <c r="F131" s="28" t="s">
        <v>475</v>
      </c>
      <c r="G131" s="26">
        <v>1</v>
      </c>
      <c r="H131" s="35">
        <v>0</v>
      </c>
      <c r="I131" s="35">
        <v>0</v>
      </c>
      <c r="J131" s="35">
        <v>0</v>
      </c>
      <c r="K131" s="35">
        <v>0</v>
      </c>
    </row>
    <row r="132" spans="2:11" x14ac:dyDescent="0.35">
      <c r="B132" s="31">
        <v>44949</v>
      </c>
      <c r="C132" s="27" t="s">
        <v>146</v>
      </c>
      <c r="D132" s="32">
        <v>13273</v>
      </c>
      <c r="E132" s="28" t="s">
        <v>490</v>
      </c>
      <c r="F132" s="28" t="s">
        <v>475</v>
      </c>
      <c r="G132" s="26">
        <v>1</v>
      </c>
      <c r="H132" s="35">
        <v>35</v>
      </c>
      <c r="I132" s="35">
        <v>0</v>
      </c>
      <c r="J132" s="35">
        <v>2.4500000000000002</v>
      </c>
      <c r="K132" s="35">
        <v>37.450000000000003</v>
      </c>
    </row>
    <row r="133" spans="2:11" x14ac:dyDescent="0.35">
      <c r="B133" s="31">
        <v>44949</v>
      </c>
      <c r="C133" s="27" t="s">
        <v>147</v>
      </c>
      <c r="D133" s="32">
        <v>16638</v>
      </c>
      <c r="E133" s="28" t="s">
        <v>480</v>
      </c>
      <c r="F133" s="28" t="s">
        <v>473</v>
      </c>
      <c r="G133" s="26">
        <v>48</v>
      </c>
      <c r="H133" s="35">
        <v>15</v>
      </c>
      <c r="I133" s="35">
        <v>0</v>
      </c>
      <c r="J133" s="35">
        <v>0</v>
      </c>
      <c r="K133" s="35">
        <v>720</v>
      </c>
    </row>
    <row r="134" spans="2:11" x14ac:dyDescent="0.35">
      <c r="B134" s="31">
        <v>44949</v>
      </c>
      <c r="C134" s="27" t="s">
        <v>148</v>
      </c>
      <c r="D134" s="32">
        <v>275</v>
      </c>
      <c r="E134" s="28" t="s">
        <v>480</v>
      </c>
      <c r="F134" s="28" t="s">
        <v>473</v>
      </c>
      <c r="G134" s="26">
        <v>6</v>
      </c>
      <c r="H134" s="35">
        <v>15</v>
      </c>
      <c r="I134" s="35">
        <v>0</v>
      </c>
      <c r="J134" s="35">
        <v>0</v>
      </c>
      <c r="K134" s="35">
        <v>90</v>
      </c>
    </row>
    <row r="135" spans="2:11" x14ac:dyDescent="0.35">
      <c r="B135" s="31">
        <v>44949</v>
      </c>
      <c r="C135" s="27" t="s">
        <v>149</v>
      </c>
      <c r="D135" s="32">
        <v>1007</v>
      </c>
      <c r="E135" s="28" t="s">
        <v>480</v>
      </c>
      <c r="F135" s="28" t="s">
        <v>473</v>
      </c>
      <c r="G135" s="26">
        <v>52</v>
      </c>
      <c r="H135" s="35">
        <v>15</v>
      </c>
      <c r="I135" s="35">
        <v>0</v>
      </c>
      <c r="J135" s="35">
        <v>0</v>
      </c>
      <c r="K135" s="35">
        <v>780</v>
      </c>
    </row>
    <row r="136" spans="2:11" x14ac:dyDescent="0.35">
      <c r="B136" s="31">
        <v>44949</v>
      </c>
      <c r="C136" s="27" t="s">
        <v>150</v>
      </c>
      <c r="D136" s="32">
        <v>4270</v>
      </c>
      <c r="E136" s="28" t="s">
        <v>490</v>
      </c>
      <c r="F136" s="28" t="s">
        <v>475</v>
      </c>
      <c r="G136" s="26">
        <v>1</v>
      </c>
      <c r="H136" s="35">
        <v>35</v>
      </c>
      <c r="I136" s="35">
        <v>0</v>
      </c>
      <c r="J136" s="35">
        <v>2.4500000000000002</v>
      </c>
      <c r="K136" s="35">
        <v>37.450000000000003</v>
      </c>
    </row>
    <row r="137" spans="2:11" x14ac:dyDescent="0.35">
      <c r="B137" s="31">
        <v>44949</v>
      </c>
      <c r="C137" s="27" t="s">
        <v>150</v>
      </c>
      <c r="D137" s="32">
        <v>4270</v>
      </c>
      <c r="E137" s="28" t="s">
        <v>482</v>
      </c>
      <c r="F137" s="28" t="s">
        <v>475</v>
      </c>
      <c r="G137" s="26">
        <v>1</v>
      </c>
      <c r="H137" s="35">
        <v>0</v>
      </c>
      <c r="I137" s="35">
        <v>0</v>
      </c>
      <c r="J137" s="35">
        <v>0</v>
      </c>
      <c r="K137" s="35">
        <v>0</v>
      </c>
    </row>
    <row r="138" spans="2:11" x14ac:dyDescent="0.35">
      <c r="B138" s="31">
        <v>44949</v>
      </c>
      <c r="C138" s="27" t="s">
        <v>151</v>
      </c>
      <c r="D138" s="32">
        <v>4158</v>
      </c>
      <c r="E138" s="28" t="s">
        <v>480</v>
      </c>
      <c r="F138" s="28" t="s">
        <v>474</v>
      </c>
      <c r="G138" s="26">
        <v>1</v>
      </c>
      <c r="H138" s="35">
        <v>0</v>
      </c>
      <c r="I138" s="35">
        <v>0</v>
      </c>
      <c r="J138" s="35">
        <v>0</v>
      </c>
      <c r="K138" s="35">
        <v>0</v>
      </c>
    </row>
    <row r="139" spans="2:11" x14ac:dyDescent="0.35">
      <c r="B139" s="31">
        <v>44949</v>
      </c>
      <c r="C139" s="27" t="s">
        <v>152</v>
      </c>
      <c r="D139" s="32">
        <v>16640</v>
      </c>
      <c r="E139" s="28" t="s">
        <v>480</v>
      </c>
      <c r="F139" s="28" t="s">
        <v>473</v>
      </c>
      <c r="G139" s="26">
        <v>48</v>
      </c>
      <c r="H139" s="35">
        <v>15</v>
      </c>
      <c r="I139" s="35">
        <v>0</v>
      </c>
      <c r="J139" s="35">
        <v>0</v>
      </c>
      <c r="K139" s="35">
        <v>720</v>
      </c>
    </row>
    <row r="140" spans="2:11" x14ac:dyDescent="0.35">
      <c r="B140" s="31">
        <v>44950</v>
      </c>
      <c r="C140" s="27" t="s">
        <v>153</v>
      </c>
      <c r="D140" s="32">
        <v>9734</v>
      </c>
      <c r="E140" s="28" t="s">
        <v>491</v>
      </c>
      <c r="F140" s="28" t="s">
        <v>476</v>
      </c>
      <c r="G140" s="26">
        <v>1</v>
      </c>
      <c r="H140" s="35">
        <v>175</v>
      </c>
      <c r="I140" s="35">
        <v>0</v>
      </c>
      <c r="J140" s="35">
        <v>0</v>
      </c>
      <c r="K140" s="35">
        <v>175</v>
      </c>
    </row>
    <row r="141" spans="2:11" x14ac:dyDescent="0.35">
      <c r="B141" s="31">
        <v>44950</v>
      </c>
      <c r="C141" s="27" t="s">
        <v>153</v>
      </c>
      <c r="D141" s="32">
        <v>9734</v>
      </c>
      <c r="E141" s="28" t="s">
        <v>480</v>
      </c>
      <c r="F141" s="28" t="s">
        <v>476</v>
      </c>
      <c r="G141" s="26">
        <v>16</v>
      </c>
      <c r="H141" s="35">
        <v>15</v>
      </c>
      <c r="I141" s="35">
        <v>0</v>
      </c>
      <c r="J141" s="35">
        <v>0</v>
      </c>
      <c r="K141" s="35">
        <v>240</v>
      </c>
    </row>
    <row r="142" spans="2:11" x14ac:dyDescent="0.35">
      <c r="B142" s="31">
        <v>44950</v>
      </c>
      <c r="C142" s="27" t="s">
        <v>154</v>
      </c>
      <c r="D142" s="32">
        <v>13100</v>
      </c>
      <c r="E142" s="28" t="s">
        <v>491</v>
      </c>
      <c r="F142" s="28" t="s">
        <v>475</v>
      </c>
      <c r="G142" s="26">
        <v>1</v>
      </c>
      <c r="H142" s="35">
        <v>350</v>
      </c>
      <c r="I142" s="35">
        <v>0</v>
      </c>
      <c r="J142" s="35">
        <v>24.5</v>
      </c>
      <c r="K142" s="35">
        <v>374.5</v>
      </c>
    </row>
    <row r="143" spans="2:11" x14ac:dyDescent="0.35">
      <c r="B143" s="31">
        <v>44950</v>
      </c>
      <c r="C143" s="27" t="s">
        <v>154</v>
      </c>
      <c r="D143" s="32">
        <v>13100</v>
      </c>
      <c r="E143" s="28" t="s">
        <v>491</v>
      </c>
      <c r="F143" s="28" t="s">
        <v>475</v>
      </c>
      <c r="G143" s="26">
        <v>1</v>
      </c>
      <c r="H143" s="35">
        <v>97</v>
      </c>
      <c r="I143" s="35">
        <v>0</v>
      </c>
      <c r="J143" s="35">
        <v>7.57</v>
      </c>
      <c r="K143" s="35">
        <v>104.57</v>
      </c>
    </row>
    <row r="144" spans="2:11" x14ac:dyDescent="0.35">
      <c r="B144" s="31">
        <v>44950</v>
      </c>
      <c r="C144" s="27" t="s">
        <v>155</v>
      </c>
      <c r="D144" s="32">
        <v>375</v>
      </c>
      <c r="E144" s="28" t="s">
        <v>491</v>
      </c>
      <c r="F144" s="28" t="s">
        <v>475</v>
      </c>
      <c r="G144" s="26">
        <v>1</v>
      </c>
      <c r="H144" s="35">
        <v>15</v>
      </c>
      <c r="I144" s="35">
        <v>0</v>
      </c>
      <c r="J144" s="35">
        <v>1.17</v>
      </c>
      <c r="K144" s="35">
        <v>16.170000000000002</v>
      </c>
    </row>
    <row r="145" spans="2:11" x14ac:dyDescent="0.35">
      <c r="B145" s="31">
        <v>44950</v>
      </c>
      <c r="C145" s="27" t="s">
        <v>155</v>
      </c>
      <c r="D145" s="32">
        <v>375</v>
      </c>
      <c r="E145" s="28" t="s">
        <v>482</v>
      </c>
      <c r="F145" s="28" t="s">
        <v>475</v>
      </c>
      <c r="G145" s="26">
        <v>1</v>
      </c>
      <c r="H145" s="35">
        <v>180</v>
      </c>
      <c r="I145" s="35">
        <v>0</v>
      </c>
      <c r="J145" s="35">
        <v>14.04</v>
      </c>
      <c r="K145" s="35">
        <v>194.04</v>
      </c>
    </row>
    <row r="146" spans="2:11" x14ac:dyDescent="0.35">
      <c r="B146" s="31">
        <v>44950</v>
      </c>
      <c r="C146" s="27" t="s">
        <v>156</v>
      </c>
      <c r="D146" s="32">
        <v>16706</v>
      </c>
      <c r="E146" s="28" t="s">
        <v>482</v>
      </c>
      <c r="F146" s="28" t="s">
        <v>475</v>
      </c>
      <c r="G146" s="26">
        <v>1</v>
      </c>
      <c r="H146" s="35">
        <v>180</v>
      </c>
      <c r="I146" s="35">
        <v>0</v>
      </c>
      <c r="J146" s="35">
        <v>14.04</v>
      </c>
      <c r="K146" s="35">
        <v>194.04</v>
      </c>
    </row>
    <row r="147" spans="2:11" x14ac:dyDescent="0.35">
      <c r="B147" s="31">
        <v>44950</v>
      </c>
      <c r="C147" s="27" t="s">
        <v>156</v>
      </c>
      <c r="D147" s="32">
        <v>16706</v>
      </c>
      <c r="E147" s="28" t="s">
        <v>482</v>
      </c>
      <c r="F147" s="28" t="s">
        <v>475</v>
      </c>
      <c r="G147" s="26">
        <v>1</v>
      </c>
      <c r="H147" s="35">
        <v>145</v>
      </c>
      <c r="I147" s="35">
        <v>0</v>
      </c>
      <c r="J147" s="35">
        <v>11.31</v>
      </c>
      <c r="K147" s="35">
        <v>156.31</v>
      </c>
    </row>
    <row r="148" spans="2:11" x14ac:dyDescent="0.35">
      <c r="B148" s="31">
        <v>44950</v>
      </c>
      <c r="C148" s="27" t="s">
        <v>157</v>
      </c>
      <c r="D148" s="32">
        <v>151</v>
      </c>
      <c r="E148" s="28" t="s">
        <v>481</v>
      </c>
      <c r="F148" s="28" t="s">
        <v>474</v>
      </c>
      <c r="G148" s="26">
        <v>1</v>
      </c>
      <c r="H148" s="35">
        <v>148</v>
      </c>
      <c r="I148" s="35">
        <v>0</v>
      </c>
      <c r="J148" s="35">
        <v>11.54</v>
      </c>
      <c r="K148" s="35">
        <v>159.54</v>
      </c>
    </row>
    <row r="149" spans="2:11" x14ac:dyDescent="0.35">
      <c r="B149" s="31">
        <v>44950</v>
      </c>
      <c r="C149" s="27" t="s">
        <v>157</v>
      </c>
      <c r="D149" s="32">
        <v>151</v>
      </c>
      <c r="E149" s="28" t="s">
        <v>491</v>
      </c>
      <c r="F149" s="28" t="s">
        <v>474</v>
      </c>
      <c r="G149" s="26">
        <v>1</v>
      </c>
      <c r="H149" s="35">
        <v>65</v>
      </c>
      <c r="I149" s="35">
        <v>0</v>
      </c>
      <c r="J149" s="35">
        <v>5.07</v>
      </c>
      <c r="K149" s="35">
        <v>70.069999999999993</v>
      </c>
    </row>
    <row r="150" spans="2:11" x14ac:dyDescent="0.35">
      <c r="B150" s="31">
        <v>44951</v>
      </c>
      <c r="C150" s="27" t="s">
        <v>158</v>
      </c>
      <c r="D150" s="32">
        <v>5369</v>
      </c>
      <c r="E150" s="28" t="s">
        <v>481</v>
      </c>
      <c r="F150" s="28" t="s">
        <v>477</v>
      </c>
      <c r="G150" s="26">
        <v>1</v>
      </c>
      <c r="H150" s="35">
        <v>45</v>
      </c>
      <c r="I150" s="35">
        <v>22.5</v>
      </c>
      <c r="J150" s="35">
        <v>1.76</v>
      </c>
      <c r="K150" s="35">
        <v>24.26</v>
      </c>
    </row>
    <row r="151" spans="2:11" x14ac:dyDescent="0.35">
      <c r="B151" s="31">
        <v>44951</v>
      </c>
      <c r="C151" s="27" t="s">
        <v>158</v>
      </c>
      <c r="D151" s="32">
        <v>5369</v>
      </c>
      <c r="E151" s="28" t="s">
        <v>485</v>
      </c>
      <c r="F151" s="28" t="s">
        <v>477</v>
      </c>
      <c r="G151" s="26">
        <v>1</v>
      </c>
      <c r="H151" s="35">
        <v>168</v>
      </c>
      <c r="I151" s="35">
        <v>84</v>
      </c>
      <c r="J151" s="35">
        <v>6.55</v>
      </c>
      <c r="K151" s="35">
        <v>90.55</v>
      </c>
    </row>
    <row r="152" spans="2:11" x14ac:dyDescent="0.35">
      <c r="B152" s="31">
        <v>44951</v>
      </c>
      <c r="C152" s="27" t="s">
        <v>159</v>
      </c>
      <c r="D152" s="32">
        <v>4278</v>
      </c>
      <c r="E152" s="28" t="s">
        <v>491</v>
      </c>
      <c r="F152" s="28" t="s">
        <v>477</v>
      </c>
      <c r="G152" s="26">
        <v>1</v>
      </c>
      <c r="H152" s="35">
        <v>97</v>
      </c>
      <c r="I152" s="35">
        <v>48.5</v>
      </c>
      <c r="J152" s="35">
        <v>3.78</v>
      </c>
      <c r="K152" s="35">
        <v>52.28</v>
      </c>
    </row>
    <row r="153" spans="2:11" x14ac:dyDescent="0.35">
      <c r="B153" s="31">
        <v>44952</v>
      </c>
      <c r="C153" s="27" t="s">
        <v>160</v>
      </c>
      <c r="D153" s="32">
        <v>5313</v>
      </c>
      <c r="E153" s="28" t="s">
        <v>482</v>
      </c>
      <c r="F153" s="28" t="s">
        <v>475</v>
      </c>
      <c r="G153" s="26">
        <v>1</v>
      </c>
      <c r="H153" s="35">
        <v>180</v>
      </c>
      <c r="I153" s="35">
        <v>0</v>
      </c>
      <c r="J153" s="35">
        <v>14.04</v>
      </c>
      <c r="K153" s="35">
        <v>194.04</v>
      </c>
    </row>
    <row r="154" spans="2:11" x14ac:dyDescent="0.35">
      <c r="B154" s="31">
        <v>44952</v>
      </c>
      <c r="C154" s="27" t="s">
        <v>160</v>
      </c>
      <c r="D154" s="32">
        <v>5313</v>
      </c>
      <c r="E154" s="28" t="s">
        <v>490</v>
      </c>
      <c r="F154" s="28" t="s">
        <v>475</v>
      </c>
      <c r="G154" s="26">
        <v>1</v>
      </c>
      <c r="H154" s="35">
        <v>50</v>
      </c>
      <c r="I154" s="35">
        <v>0</v>
      </c>
      <c r="J154" s="35">
        <v>3.5</v>
      </c>
      <c r="K154" s="35">
        <v>53.5</v>
      </c>
    </row>
    <row r="155" spans="2:11" x14ac:dyDescent="0.35">
      <c r="B155" s="31">
        <v>44952</v>
      </c>
      <c r="C155" s="27" t="s">
        <v>161</v>
      </c>
      <c r="D155" s="32">
        <v>15408</v>
      </c>
      <c r="E155" s="28" t="s">
        <v>480</v>
      </c>
      <c r="F155" s="28" t="s">
        <v>476</v>
      </c>
      <c r="G155" s="26">
        <v>5</v>
      </c>
      <c r="H155" s="35">
        <v>15</v>
      </c>
      <c r="I155" s="35">
        <v>0</v>
      </c>
      <c r="J155" s="35">
        <v>0</v>
      </c>
      <c r="K155" s="35">
        <v>75</v>
      </c>
    </row>
    <row r="156" spans="2:11" x14ac:dyDescent="0.35">
      <c r="B156" s="31">
        <v>44952</v>
      </c>
      <c r="C156" s="27" t="s">
        <v>162</v>
      </c>
      <c r="D156" s="32">
        <v>15417</v>
      </c>
      <c r="E156" s="28" t="s">
        <v>482</v>
      </c>
      <c r="F156" s="28" t="s">
        <v>476</v>
      </c>
      <c r="G156" s="26">
        <v>1</v>
      </c>
      <c r="H156" s="35">
        <v>50</v>
      </c>
      <c r="I156" s="35">
        <v>0</v>
      </c>
      <c r="J156" s="35">
        <v>3.9</v>
      </c>
      <c r="K156" s="35">
        <v>53.9</v>
      </c>
    </row>
    <row r="157" spans="2:11" x14ac:dyDescent="0.35">
      <c r="B157" s="31">
        <v>44952</v>
      </c>
      <c r="C157" s="27" t="s">
        <v>162</v>
      </c>
      <c r="D157" s="32">
        <v>15417</v>
      </c>
      <c r="E157" s="28" t="s">
        <v>491</v>
      </c>
      <c r="F157" s="28" t="s">
        <v>476</v>
      </c>
      <c r="G157" s="26">
        <v>1</v>
      </c>
      <c r="H157" s="35">
        <v>2</v>
      </c>
      <c r="I157" s="35">
        <v>0</v>
      </c>
      <c r="J157" s="35">
        <v>0.16</v>
      </c>
      <c r="K157" s="35">
        <v>2.16</v>
      </c>
    </row>
    <row r="158" spans="2:11" x14ac:dyDescent="0.35">
      <c r="B158" s="31">
        <v>44952</v>
      </c>
      <c r="C158" s="27" t="s">
        <v>163</v>
      </c>
      <c r="D158" s="32">
        <v>13073</v>
      </c>
      <c r="E158" s="28" t="s">
        <v>485</v>
      </c>
      <c r="F158" s="28" t="s">
        <v>475</v>
      </c>
      <c r="G158" s="26">
        <v>1</v>
      </c>
      <c r="H158" s="35">
        <v>168</v>
      </c>
      <c r="I158" s="35">
        <v>84</v>
      </c>
      <c r="J158" s="35">
        <v>6.55</v>
      </c>
      <c r="K158" s="35">
        <v>90.55</v>
      </c>
    </row>
    <row r="159" spans="2:11" x14ac:dyDescent="0.35">
      <c r="B159" s="31">
        <v>44952</v>
      </c>
      <c r="C159" s="27" t="s">
        <v>163</v>
      </c>
      <c r="D159" s="32">
        <v>13073</v>
      </c>
      <c r="E159" s="28" t="s">
        <v>492</v>
      </c>
      <c r="F159" s="28" t="s">
        <v>475</v>
      </c>
      <c r="G159" s="26">
        <v>1</v>
      </c>
      <c r="H159" s="35">
        <v>12</v>
      </c>
      <c r="I159" s="35">
        <v>6</v>
      </c>
      <c r="J159" s="35">
        <v>0.47</v>
      </c>
      <c r="K159" s="35">
        <v>6.47</v>
      </c>
    </row>
    <row r="160" spans="2:11" x14ac:dyDescent="0.35">
      <c r="B160" s="31">
        <v>44952</v>
      </c>
      <c r="C160" s="27" t="s">
        <v>163</v>
      </c>
      <c r="D160" s="32">
        <v>13073</v>
      </c>
      <c r="E160" s="28" t="s">
        <v>490</v>
      </c>
      <c r="F160" s="28" t="s">
        <v>475</v>
      </c>
      <c r="G160" s="26">
        <v>1</v>
      </c>
      <c r="H160" s="35">
        <v>5</v>
      </c>
      <c r="I160" s="35">
        <v>0</v>
      </c>
      <c r="J160" s="35">
        <v>0.35</v>
      </c>
      <c r="K160" s="35">
        <v>5.35</v>
      </c>
    </row>
    <row r="161" spans="2:11" x14ac:dyDescent="0.35">
      <c r="B161" s="31">
        <v>44952</v>
      </c>
      <c r="C161" s="27" t="s">
        <v>164</v>
      </c>
      <c r="D161" s="32">
        <v>16722</v>
      </c>
      <c r="E161" s="28" t="s">
        <v>484</v>
      </c>
      <c r="F161" s="28" t="s">
        <v>474</v>
      </c>
      <c r="G161" s="26">
        <v>1</v>
      </c>
      <c r="H161" s="35">
        <v>94.99</v>
      </c>
      <c r="I161" s="35">
        <v>0</v>
      </c>
      <c r="J161" s="35">
        <v>7.41</v>
      </c>
      <c r="K161" s="35">
        <v>102.39999999999999</v>
      </c>
    </row>
    <row r="162" spans="2:11" x14ac:dyDescent="0.35">
      <c r="B162" s="31">
        <v>44952</v>
      </c>
      <c r="C162" s="27" t="s">
        <v>165</v>
      </c>
      <c r="D162" s="32">
        <v>8577</v>
      </c>
      <c r="E162" s="28" t="s">
        <v>481</v>
      </c>
      <c r="F162" s="28" t="s">
        <v>474</v>
      </c>
      <c r="G162" s="26">
        <v>1</v>
      </c>
      <c r="H162" s="35">
        <v>160</v>
      </c>
      <c r="I162" s="35">
        <v>80</v>
      </c>
      <c r="J162" s="35">
        <v>6.24</v>
      </c>
      <c r="K162" s="35">
        <v>86.24</v>
      </c>
    </row>
    <row r="163" spans="2:11" x14ac:dyDescent="0.35">
      <c r="B163" s="31">
        <v>44952</v>
      </c>
      <c r="C163" s="27" t="s">
        <v>165</v>
      </c>
      <c r="D163" s="32">
        <v>8577</v>
      </c>
      <c r="E163" s="28" t="s">
        <v>489</v>
      </c>
      <c r="F163" s="28" t="s">
        <v>474</v>
      </c>
      <c r="G163" s="26">
        <v>1</v>
      </c>
      <c r="H163" s="35">
        <v>130</v>
      </c>
      <c r="I163" s="35">
        <v>65</v>
      </c>
      <c r="J163" s="35">
        <v>5.07</v>
      </c>
      <c r="K163" s="35">
        <v>70.069999999999993</v>
      </c>
    </row>
    <row r="164" spans="2:11" x14ac:dyDescent="0.35">
      <c r="B164" s="31">
        <v>44952</v>
      </c>
      <c r="C164" s="27" t="s">
        <v>165</v>
      </c>
      <c r="D164" s="32">
        <v>8577</v>
      </c>
      <c r="E164" s="28" t="s">
        <v>481</v>
      </c>
      <c r="F164" s="28" t="s">
        <v>474</v>
      </c>
      <c r="G164" s="26">
        <v>1</v>
      </c>
      <c r="H164" s="35">
        <v>155</v>
      </c>
      <c r="I164" s="35">
        <v>77.5</v>
      </c>
      <c r="J164" s="35">
        <v>6.05</v>
      </c>
      <c r="K164" s="35">
        <v>83.55</v>
      </c>
    </row>
    <row r="165" spans="2:11" x14ac:dyDescent="0.35">
      <c r="B165" s="31">
        <v>44952</v>
      </c>
      <c r="C165" s="27" t="s">
        <v>166</v>
      </c>
      <c r="D165" s="32">
        <v>3071</v>
      </c>
      <c r="E165" s="28" t="s">
        <v>492</v>
      </c>
      <c r="F165" s="28" t="s">
        <v>476</v>
      </c>
      <c r="G165" s="26">
        <v>1</v>
      </c>
      <c r="H165" s="35">
        <v>0</v>
      </c>
      <c r="I165" s="35">
        <v>0</v>
      </c>
      <c r="J165" s="35">
        <v>0</v>
      </c>
      <c r="K165" s="35">
        <v>0</v>
      </c>
    </row>
    <row r="166" spans="2:11" x14ac:dyDescent="0.35">
      <c r="B166" s="31">
        <v>44953</v>
      </c>
      <c r="C166" s="27" t="s">
        <v>167</v>
      </c>
      <c r="D166" s="32">
        <v>15481</v>
      </c>
      <c r="E166" s="28" t="s">
        <v>480</v>
      </c>
      <c r="F166" s="28" t="s">
        <v>476</v>
      </c>
      <c r="G166" s="26">
        <v>20</v>
      </c>
      <c r="H166" s="35">
        <v>15</v>
      </c>
      <c r="I166" s="35">
        <v>0</v>
      </c>
      <c r="J166" s="35">
        <v>0</v>
      </c>
      <c r="K166" s="35">
        <v>300</v>
      </c>
    </row>
    <row r="167" spans="2:11" x14ac:dyDescent="0.35">
      <c r="B167" s="31">
        <v>44953</v>
      </c>
      <c r="C167" s="27" t="s">
        <v>168</v>
      </c>
      <c r="D167" s="32">
        <v>10818</v>
      </c>
      <c r="E167" s="28" t="s">
        <v>490</v>
      </c>
      <c r="F167" s="28" t="s">
        <v>476</v>
      </c>
      <c r="G167" s="26">
        <v>1</v>
      </c>
      <c r="H167" s="35">
        <v>50</v>
      </c>
      <c r="I167" s="35">
        <v>0</v>
      </c>
      <c r="J167" s="35">
        <v>3.5</v>
      </c>
      <c r="K167" s="35">
        <v>53.5</v>
      </c>
    </row>
    <row r="168" spans="2:11" x14ac:dyDescent="0.35">
      <c r="B168" s="31">
        <v>44953</v>
      </c>
      <c r="C168" s="27" t="s">
        <v>168</v>
      </c>
      <c r="D168" s="32">
        <v>10818</v>
      </c>
      <c r="E168" s="28" t="s">
        <v>482</v>
      </c>
      <c r="F168" s="28" t="s">
        <v>476</v>
      </c>
      <c r="G168" s="26">
        <v>1</v>
      </c>
      <c r="H168" s="35">
        <v>180</v>
      </c>
      <c r="I168" s="35">
        <v>0</v>
      </c>
      <c r="J168" s="35">
        <v>14.04</v>
      </c>
      <c r="K168" s="35">
        <v>194.04</v>
      </c>
    </row>
    <row r="169" spans="2:11" x14ac:dyDescent="0.35">
      <c r="B169" s="31">
        <v>44953</v>
      </c>
      <c r="C169" s="27" t="s">
        <v>168</v>
      </c>
      <c r="D169" s="32">
        <v>10818</v>
      </c>
      <c r="E169" s="28" t="s">
        <v>489</v>
      </c>
      <c r="F169" s="28" t="s">
        <v>476</v>
      </c>
      <c r="G169" s="26">
        <v>1</v>
      </c>
      <c r="H169" s="35">
        <v>100</v>
      </c>
      <c r="I169" s="35">
        <v>0</v>
      </c>
      <c r="J169" s="35">
        <v>7.8</v>
      </c>
      <c r="K169" s="35">
        <v>107.8</v>
      </c>
    </row>
    <row r="170" spans="2:11" x14ac:dyDescent="0.35">
      <c r="B170" s="31">
        <v>44953</v>
      </c>
      <c r="C170" s="27" t="s">
        <v>169</v>
      </c>
      <c r="D170" s="32">
        <v>187</v>
      </c>
      <c r="E170" s="28" t="s">
        <v>492</v>
      </c>
      <c r="F170" s="28" t="s">
        <v>476</v>
      </c>
      <c r="G170" s="26">
        <v>1</v>
      </c>
      <c r="H170" s="35">
        <v>34</v>
      </c>
      <c r="I170" s="35">
        <v>0</v>
      </c>
      <c r="J170" s="35">
        <v>2.65</v>
      </c>
      <c r="K170" s="35">
        <v>36.65</v>
      </c>
    </row>
    <row r="171" spans="2:11" x14ac:dyDescent="0.35">
      <c r="B171" s="31">
        <v>44953</v>
      </c>
      <c r="C171" s="27" t="s">
        <v>169</v>
      </c>
      <c r="D171" s="32">
        <v>187</v>
      </c>
      <c r="E171" s="28" t="s">
        <v>492</v>
      </c>
      <c r="F171" s="28" t="s">
        <v>476</v>
      </c>
      <c r="G171" s="26">
        <v>1</v>
      </c>
      <c r="H171" s="35">
        <v>70</v>
      </c>
      <c r="I171" s="35">
        <v>0</v>
      </c>
      <c r="J171" s="35">
        <v>5.46</v>
      </c>
      <c r="K171" s="35">
        <v>75.459999999999994</v>
      </c>
    </row>
    <row r="172" spans="2:11" x14ac:dyDescent="0.35">
      <c r="B172" s="31">
        <v>44956</v>
      </c>
      <c r="C172" s="27" t="s">
        <v>170</v>
      </c>
      <c r="D172" s="32">
        <v>999</v>
      </c>
      <c r="E172" s="28" t="s">
        <v>480</v>
      </c>
      <c r="F172" s="28" t="s">
        <v>473</v>
      </c>
      <c r="G172" s="26">
        <v>36</v>
      </c>
      <c r="H172" s="35">
        <v>15</v>
      </c>
      <c r="I172" s="35">
        <v>0</v>
      </c>
      <c r="J172" s="35">
        <v>0</v>
      </c>
      <c r="K172" s="35">
        <v>540</v>
      </c>
    </row>
    <row r="173" spans="2:11" x14ac:dyDescent="0.35">
      <c r="B173" s="31">
        <v>44956</v>
      </c>
      <c r="C173" s="27" t="s">
        <v>171</v>
      </c>
      <c r="D173" s="32">
        <v>13323</v>
      </c>
      <c r="E173" s="28" t="s">
        <v>482</v>
      </c>
      <c r="F173" s="28" t="s">
        <v>475</v>
      </c>
      <c r="G173" s="26">
        <v>1</v>
      </c>
      <c r="H173" s="35">
        <v>180</v>
      </c>
      <c r="I173" s="35">
        <v>0</v>
      </c>
      <c r="J173" s="35">
        <v>14.04</v>
      </c>
      <c r="K173" s="35">
        <v>194.04</v>
      </c>
    </row>
    <row r="174" spans="2:11" x14ac:dyDescent="0.35">
      <c r="B174" s="31">
        <v>44956</v>
      </c>
      <c r="C174" s="27" t="s">
        <v>171</v>
      </c>
      <c r="D174" s="32">
        <v>13323</v>
      </c>
      <c r="E174" s="28" t="s">
        <v>485</v>
      </c>
      <c r="F174" s="28" t="s">
        <v>475</v>
      </c>
      <c r="G174" s="26">
        <v>1</v>
      </c>
      <c r="H174" s="35">
        <v>169</v>
      </c>
      <c r="I174" s="35">
        <v>0</v>
      </c>
      <c r="J174" s="35">
        <v>13.18</v>
      </c>
      <c r="K174" s="35">
        <v>182.18</v>
      </c>
    </row>
    <row r="175" spans="2:11" x14ac:dyDescent="0.35">
      <c r="B175" s="31">
        <v>44956</v>
      </c>
      <c r="C175" s="27" t="s">
        <v>172</v>
      </c>
      <c r="D175" s="32">
        <v>8590</v>
      </c>
      <c r="E175" s="28" t="s">
        <v>486</v>
      </c>
      <c r="F175" s="28" t="s">
        <v>473</v>
      </c>
      <c r="G175" s="26">
        <v>1</v>
      </c>
      <c r="H175" s="35">
        <v>650</v>
      </c>
      <c r="I175" s="35">
        <v>0</v>
      </c>
      <c r="J175" s="35">
        <v>0</v>
      </c>
      <c r="K175" s="35">
        <v>650</v>
      </c>
    </row>
    <row r="176" spans="2:11" x14ac:dyDescent="0.35">
      <c r="B176" s="31">
        <v>44956</v>
      </c>
      <c r="C176" s="27" t="s">
        <v>173</v>
      </c>
      <c r="D176" s="32">
        <v>13037</v>
      </c>
      <c r="E176" s="28" t="s">
        <v>480</v>
      </c>
      <c r="F176" s="28" t="s">
        <v>473</v>
      </c>
      <c r="G176" s="26">
        <v>48</v>
      </c>
      <c r="H176" s="35">
        <v>15</v>
      </c>
      <c r="I176" s="35">
        <v>0</v>
      </c>
      <c r="J176" s="35">
        <v>0</v>
      </c>
      <c r="K176" s="35">
        <v>720</v>
      </c>
    </row>
    <row r="177" spans="2:11" x14ac:dyDescent="0.35">
      <c r="B177" s="31">
        <v>44956</v>
      </c>
      <c r="C177" s="27" t="s">
        <v>174</v>
      </c>
      <c r="D177" s="32">
        <v>65</v>
      </c>
      <c r="E177" s="28" t="s">
        <v>485</v>
      </c>
      <c r="F177" s="28" t="s">
        <v>473</v>
      </c>
      <c r="G177" s="26">
        <v>38</v>
      </c>
      <c r="H177" s="35">
        <v>15</v>
      </c>
      <c r="I177" s="35">
        <v>0</v>
      </c>
      <c r="J177" s="35">
        <v>0</v>
      </c>
      <c r="K177" s="35">
        <v>570</v>
      </c>
    </row>
    <row r="178" spans="2:11" x14ac:dyDescent="0.35">
      <c r="B178" s="31">
        <v>44956</v>
      </c>
      <c r="C178" s="27" t="s">
        <v>175</v>
      </c>
      <c r="D178" s="32">
        <v>3091</v>
      </c>
      <c r="E178" s="28" t="s">
        <v>485</v>
      </c>
      <c r="F178" s="28" t="s">
        <v>473</v>
      </c>
      <c r="G178" s="26">
        <v>52</v>
      </c>
      <c r="H178" s="35">
        <v>15</v>
      </c>
      <c r="I178" s="35">
        <v>0</v>
      </c>
      <c r="J178" s="35">
        <v>0</v>
      </c>
      <c r="K178" s="35">
        <v>780</v>
      </c>
    </row>
    <row r="179" spans="2:11" x14ac:dyDescent="0.35">
      <c r="B179" s="31">
        <v>44956</v>
      </c>
      <c r="C179" s="27" t="s">
        <v>176</v>
      </c>
      <c r="D179" s="32">
        <v>16688</v>
      </c>
      <c r="E179" s="28" t="s">
        <v>480</v>
      </c>
      <c r="F179" s="28" t="s">
        <v>473</v>
      </c>
      <c r="G179" s="26">
        <v>1</v>
      </c>
      <c r="H179" s="35">
        <v>0</v>
      </c>
      <c r="I179" s="35">
        <v>0</v>
      </c>
      <c r="J179" s="35">
        <v>0</v>
      </c>
      <c r="K179" s="35">
        <v>0</v>
      </c>
    </row>
    <row r="180" spans="2:11" x14ac:dyDescent="0.35">
      <c r="B180" s="31">
        <v>44956</v>
      </c>
      <c r="C180" s="27" t="s">
        <v>177</v>
      </c>
      <c r="D180" s="32">
        <v>10811</v>
      </c>
      <c r="E180" s="28" t="s">
        <v>480</v>
      </c>
      <c r="F180" s="28" t="s">
        <v>473</v>
      </c>
      <c r="G180" s="26">
        <v>48</v>
      </c>
      <c r="H180" s="35">
        <v>15</v>
      </c>
      <c r="I180" s="35">
        <v>0</v>
      </c>
      <c r="J180" s="35">
        <v>0</v>
      </c>
      <c r="K180" s="35">
        <v>720</v>
      </c>
    </row>
    <row r="181" spans="2:11" x14ac:dyDescent="0.35">
      <c r="B181" s="31">
        <v>44956</v>
      </c>
      <c r="C181" s="27" t="s">
        <v>178</v>
      </c>
      <c r="D181" s="32">
        <v>16701</v>
      </c>
      <c r="E181" s="28" t="s">
        <v>492</v>
      </c>
      <c r="F181" s="28" t="s">
        <v>475</v>
      </c>
      <c r="G181" s="26">
        <v>1</v>
      </c>
      <c r="H181" s="35">
        <v>95</v>
      </c>
      <c r="I181" s="35">
        <v>0</v>
      </c>
      <c r="J181" s="35">
        <v>7.41</v>
      </c>
      <c r="K181" s="35">
        <v>102.41</v>
      </c>
    </row>
    <row r="182" spans="2:11" x14ac:dyDescent="0.35">
      <c r="B182" s="31">
        <v>44956</v>
      </c>
      <c r="C182" s="27" t="s">
        <v>179</v>
      </c>
      <c r="D182" s="32">
        <v>10854</v>
      </c>
      <c r="E182" s="28" t="s">
        <v>480</v>
      </c>
      <c r="F182" s="28" t="s">
        <v>473</v>
      </c>
      <c r="G182" s="26">
        <v>6</v>
      </c>
      <c r="H182" s="35">
        <v>15</v>
      </c>
      <c r="I182" s="35">
        <v>0</v>
      </c>
      <c r="J182" s="35">
        <v>0</v>
      </c>
      <c r="K182" s="35">
        <v>90</v>
      </c>
    </row>
    <row r="183" spans="2:11" x14ac:dyDescent="0.35">
      <c r="B183" s="31">
        <v>44956</v>
      </c>
      <c r="C183" s="27" t="s">
        <v>180</v>
      </c>
      <c r="D183" s="32">
        <v>13202</v>
      </c>
      <c r="E183" s="28" t="s">
        <v>493</v>
      </c>
      <c r="F183" s="28" t="s">
        <v>474</v>
      </c>
      <c r="G183" s="26">
        <v>1</v>
      </c>
      <c r="H183" s="35">
        <v>129</v>
      </c>
      <c r="I183" s="35">
        <v>0</v>
      </c>
      <c r="J183" s="35">
        <v>10.06</v>
      </c>
      <c r="K183" s="35">
        <v>139.06</v>
      </c>
    </row>
    <row r="184" spans="2:11" x14ac:dyDescent="0.35">
      <c r="B184" s="31">
        <v>44956</v>
      </c>
      <c r="C184" s="27" t="s">
        <v>180</v>
      </c>
      <c r="D184" s="32">
        <v>13202</v>
      </c>
      <c r="E184" s="28" t="s">
        <v>488</v>
      </c>
      <c r="F184" s="28" t="s">
        <v>474</v>
      </c>
      <c r="G184" s="26">
        <v>1</v>
      </c>
      <c r="H184" s="35">
        <v>68</v>
      </c>
      <c r="I184" s="35">
        <v>0</v>
      </c>
      <c r="J184" s="35">
        <v>5.3</v>
      </c>
      <c r="K184" s="35">
        <v>73.3</v>
      </c>
    </row>
    <row r="185" spans="2:11" x14ac:dyDescent="0.35">
      <c r="B185" s="31">
        <v>44956</v>
      </c>
      <c r="C185" s="27" t="s">
        <v>180</v>
      </c>
      <c r="D185" s="32">
        <v>13202</v>
      </c>
      <c r="E185" s="28" t="s">
        <v>481</v>
      </c>
      <c r="F185" s="28" t="s">
        <v>474</v>
      </c>
      <c r="G185" s="26">
        <v>1</v>
      </c>
      <c r="H185" s="35">
        <v>155</v>
      </c>
      <c r="I185" s="35">
        <v>0</v>
      </c>
      <c r="J185" s="35">
        <v>12.09</v>
      </c>
      <c r="K185" s="35">
        <v>167.09</v>
      </c>
    </row>
    <row r="186" spans="2:11" x14ac:dyDescent="0.35">
      <c r="B186" s="31">
        <v>44956</v>
      </c>
      <c r="C186" s="27" t="s">
        <v>181</v>
      </c>
      <c r="D186" s="32">
        <v>8590</v>
      </c>
      <c r="E186" s="28" t="s">
        <v>487</v>
      </c>
      <c r="F186" s="28" t="s">
        <v>474</v>
      </c>
      <c r="G186" s="26">
        <v>1</v>
      </c>
      <c r="H186" s="35">
        <v>12.5</v>
      </c>
      <c r="I186" s="35">
        <v>0</v>
      </c>
      <c r="J186" s="35">
        <v>0.98</v>
      </c>
      <c r="K186" s="35">
        <v>13.48</v>
      </c>
    </row>
    <row r="187" spans="2:11" x14ac:dyDescent="0.35">
      <c r="B187" s="31">
        <v>44957</v>
      </c>
      <c r="C187" s="27" t="s">
        <v>182</v>
      </c>
      <c r="D187" s="32">
        <v>13190</v>
      </c>
      <c r="E187" s="28" t="s">
        <v>490</v>
      </c>
      <c r="F187" s="28" t="s">
        <v>476</v>
      </c>
      <c r="G187" s="26">
        <v>1</v>
      </c>
      <c r="H187" s="35">
        <v>100</v>
      </c>
      <c r="I187" s="35">
        <v>0</v>
      </c>
      <c r="J187" s="35">
        <v>0</v>
      </c>
      <c r="K187" s="35">
        <v>100</v>
      </c>
    </row>
    <row r="188" spans="2:11" x14ac:dyDescent="0.35">
      <c r="B188" s="31">
        <v>44957</v>
      </c>
      <c r="C188" s="27" t="s">
        <v>183</v>
      </c>
      <c r="D188" s="32">
        <v>876</v>
      </c>
      <c r="E188" s="28" t="s">
        <v>485</v>
      </c>
      <c r="F188" s="28" t="s">
        <v>476</v>
      </c>
      <c r="G188" s="26">
        <v>2</v>
      </c>
      <c r="H188" s="35">
        <v>15</v>
      </c>
      <c r="I188" s="35">
        <v>0</v>
      </c>
      <c r="J188" s="35">
        <v>0</v>
      </c>
      <c r="K188" s="35">
        <v>30</v>
      </c>
    </row>
    <row r="189" spans="2:11" x14ac:dyDescent="0.35">
      <c r="B189" s="31">
        <v>44957</v>
      </c>
      <c r="C189" s="27" t="s">
        <v>184</v>
      </c>
      <c r="D189" s="32">
        <v>173</v>
      </c>
      <c r="E189" s="28" t="s">
        <v>493</v>
      </c>
      <c r="F189" s="28" t="s">
        <v>475</v>
      </c>
      <c r="G189" s="26">
        <v>1</v>
      </c>
      <c r="H189" s="35">
        <v>0</v>
      </c>
      <c r="I189" s="35">
        <v>0</v>
      </c>
      <c r="J189" s="35">
        <v>0</v>
      </c>
      <c r="K189" s="35">
        <v>0</v>
      </c>
    </row>
    <row r="190" spans="2:11" x14ac:dyDescent="0.35">
      <c r="B190" s="31">
        <v>44957</v>
      </c>
      <c r="C190" s="27" t="s">
        <v>184</v>
      </c>
      <c r="D190" s="32">
        <v>173</v>
      </c>
      <c r="E190" s="28" t="s">
        <v>493</v>
      </c>
      <c r="F190" s="28" t="s">
        <v>475</v>
      </c>
      <c r="G190" s="26">
        <v>1</v>
      </c>
      <c r="H190" s="35">
        <v>165</v>
      </c>
      <c r="I190" s="35">
        <v>0</v>
      </c>
      <c r="J190" s="35">
        <v>12.87</v>
      </c>
      <c r="K190" s="35">
        <v>177.87</v>
      </c>
    </row>
    <row r="191" spans="2:11" x14ac:dyDescent="0.35">
      <c r="B191" s="31">
        <v>44957</v>
      </c>
      <c r="C191" s="27" t="s">
        <v>185</v>
      </c>
      <c r="D191" s="32">
        <v>13013</v>
      </c>
      <c r="E191" s="28" t="s">
        <v>493</v>
      </c>
      <c r="F191" s="28" t="s">
        <v>475</v>
      </c>
      <c r="G191" s="26">
        <v>1</v>
      </c>
      <c r="H191" s="35">
        <v>165</v>
      </c>
      <c r="I191" s="35">
        <v>24.75</v>
      </c>
      <c r="J191" s="35">
        <v>10.94</v>
      </c>
      <c r="K191" s="35">
        <v>151.19</v>
      </c>
    </row>
    <row r="192" spans="2:11" x14ac:dyDescent="0.35">
      <c r="B192" s="31">
        <v>44957</v>
      </c>
      <c r="C192" s="27" t="s">
        <v>185</v>
      </c>
      <c r="D192" s="32">
        <v>13013</v>
      </c>
      <c r="E192" s="28" t="s">
        <v>493</v>
      </c>
      <c r="F192" s="28" t="s">
        <v>475</v>
      </c>
      <c r="G192" s="26">
        <v>1</v>
      </c>
      <c r="H192" s="35">
        <v>0</v>
      </c>
      <c r="I192" s="35">
        <v>0</v>
      </c>
      <c r="J192" s="35">
        <v>0</v>
      </c>
      <c r="K192" s="35">
        <v>0</v>
      </c>
    </row>
    <row r="193" spans="2:11" x14ac:dyDescent="0.35">
      <c r="B193" s="31">
        <v>44958</v>
      </c>
      <c r="C193" s="27" t="s">
        <v>186</v>
      </c>
      <c r="D193" s="32">
        <v>4270</v>
      </c>
      <c r="E193" s="28" t="s">
        <v>493</v>
      </c>
      <c r="F193" s="28" t="s">
        <v>473</v>
      </c>
      <c r="G193" s="26">
        <v>1</v>
      </c>
      <c r="H193" s="35">
        <v>1000</v>
      </c>
      <c r="I193" s="35">
        <v>0</v>
      </c>
      <c r="J193" s="35">
        <v>0</v>
      </c>
      <c r="K193" s="35">
        <v>1000</v>
      </c>
    </row>
    <row r="194" spans="2:11" x14ac:dyDescent="0.35">
      <c r="B194" s="31">
        <v>44959</v>
      </c>
      <c r="C194" s="27" t="s">
        <v>187</v>
      </c>
      <c r="D194" s="32">
        <v>13013</v>
      </c>
      <c r="E194" s="28" t="s">
        <v>480</v>
      </c>
      <c r="F194" s="28" t="s">
        <v>474</v>
      </c>
      <c r="G194" s="26">
        <v>1</v>
      </c>
      <c r="H194" s="35">
        <v>0</v>
      </c>
      <c r="I194" s="35">
        <v>0</v>
      </c>
      <c r="J194" s="35">
        <v>0</v>
      </c>
      <c r="K194" s="35">
        <v>0</v>
      </c>
    </row>
    <row r="195" spans="2:11" x14ac:dyDescent="0.35">
      <c r="B195" s="31">
        <v>44959</v>
      </c>
      <c r="C195" s="27" t="s">
        <v>188</v>
      </c>
      <c r="D195" s="32">
        <v>13165</v>
      </c>
      <c r="E195" s="28" t="s">
        <v>485</v>
      </c>
      <c r="F195" s="28" t="s">
        <v>474</v>
      </c>
      <c r="G195" s="26">
        <v>1</v>
      </c>
      <c r="H195" s="35">
        <v>169</v>
      </c>
      <c r="I195" s="35">
        <v>84.5</v>
      </c>
      <c r="J195" s="35">
        <v>6.59</v>
      </c>
      <c r="K195" s="35">
        <v>91.09</v>
      </c>
    </row>
    <row r="196" spans="2:11" x14ac:dyDescent="0.35">
      <c r="B196" s="31">
        <v>44959</v>
      </c>
      <c r="C196" s="27" t="s">
        <v>188</v>
      </c>
      <c r="D196" s="32">
        <v>13165</v>
      </c>
      <c r="E196" s="28" t="s">
        <v>493</v>
      </c>
      <c r="F196" s="28" t="s">
        <v>474</v>
      </c>
      <c r="G196" s="26">
        <v>1</v>
      </c>
      <c r="H196" s="35">
        <v>165</v>
      </c>
      <c r="I196" s="35">
        <v>82.5</v>
      </c>
      <c r="J196" s="35">
        <v>6.44</v>
      </c>
      <c r="K196" s="35">
        <v>88.94</v>
      </c>
    </row>
    <row r="197" spans="2:11" x14ac:dyDescent="0.35">
      <c r="B197" s="31">
        <v>44959</v>
      </c>
      <c r="C197" s="27" t="s">
        <v>188</v>
      </c>
      <c r="D197" s="32">
        <v>13165</v>
      </c>
      <c r="E197" s="28" t="s">
        <v>481</v>
      </c>
      <c r="F197" s="28" t="s">
        <v>474</v>
      </c>
      <c r="G197" s="26">
        <v>1</v>
      </c>
      <c r="H197" s="35">
        <v>155</v>
      </c>
      <c r="I197" s="35">
        <v>77.5</v>
      </c>
      <c r="J197" s="35">
        <v>6.05</v>
      </c>
      <c r="K197" s="35">
        <v>83.55</v>
      </c>
    </row>
    <row r="198" spans="2:11" x14ac:dyDescent="0.35">
      <c r="B198" s="31">
        <v>44959</v>
      </c>
      <c r="C198" s="27" t="s">
        <v>188</v>
      </c>
      <c r="D198" s="32">
        <v>13165</v>
      </c>
      <c r="E198" s="28" t="s">
        <v>482</v>
      </c>
      <c r="F198" s="28" t="s">
        <v>474</v>
      </c>
      <c r="G198" s="26">
        <v>1</v>
      </c>
      <c r="H198" s="35">
        <v>154</v>
      </c>
      <c r="I198" s="35">
        <v>77</v>
      </c>
      <c r="J198" s="35">
        <v>6.01</v>
      </c>
      <c r="K198" s="35">
        <v>83.01</v>
      </c>
    </row>
    <row r="199" spans="2:11" x14ac:dyDescent="0.35">
      <c r="B199" s="31">
        <v>44959</v>
      </c>
      <c r="C199" s="27" t="s">
        <v>188</v>
      </c>
      <c r="D199" s="32">
        <v>13165</v>
      </c>
      <c r="E199" s="28" t="s">
        <v>488</v>
      </c>
      <c r="F199" s="28" t="s">
        <v>474</v>
      </c>
      <c r="G199" s="26">
        <v>1</v>
      </c>
      <c r="H199" s="35">
        <v>68</v>
      </c>
      <c r="I199" s="35">
        <v>34</v>
      </c>
      <c r="J199" s="35">
        <v>2.65</v>
      </c>
      <c r="K199" s="35">
        <v>36.65</v>
      </c>
    </row>
    <row r="200" spans="2:11" x14ac:dyDescent="0.35">
      <c r="B200" s="31">
        <v>44959</v>
      </c>
      <c r="C200" s="27" t="s">
        <v>188</v>
      </c>
      <c r="D200" s="32">
        <v>13165</v>
      </c>
      <c r="E200" s="28" t="s">
        <v>481</v>
      </c>
      <c r="F200" s="28" t="s">
        <v>474</v>
      </c>
      <c r="G200" s="26">
        <v>1</v>
      </c>
      <c r="H200" s="35">
        <v>47</v>
      </c>
      <c r="I200" s="35">
        <v>23.5</v>
      </c>
      <c r="J200" s="35">
        <v>1.83</v>
      </c>
      <c r="K200" s="35">
        <v>25.33</v>
      </c>
    </row>
    <row r="201" spans="2:11" x14ac:dyDescent="0.35">
      <c r="B201" s="31">
        <v>44959</v>
      </c>
      <c r="C201" s="27" t="s">
        <v>188</v>
      </c>
      <c r="D201" s="32">
        <v>13165</v>
      </c>
      <c r="E201" s="28" t="s">
        <v>493</v>
      </c>
      <c r="F201" s="28" t="s">
        <v>474</v>
      </c>
      <c r="G201" s="26">
        <v>1</v>
      </c>
      <c r="H201" s="35">
        <v>150</v>
      </c>
      <c r="I201" s="35">
        <v>75</v>
      </c>
      <c r="J201" s="35">
        <v>5.85</v>
      </c>
      <c r="K201" s="35">
        <v>80.849999999999994</v>
      </c>
    </row>
    <row r="202" spans="2:11" x14ac:dyDescent="0.35">
      <c r="B202" s="31">
        <v>44959</v>
      </c>
      <c r="C202" s="27" t="s">
        <v>188</v>
      </c>
      <c r="D202" s="32">
        <v>13165</v>
      </c>
      <c r="E202" s="28" t="s">
        <v>489</v>
      </c>
      <c r="F202" s="28" t="s">
        <v>474</v>
      </c>
      <c r="G202" s="26">
        <v>1</v>
      </c>
      <c r="H202" s="35">
        <v>106</v>
      </c>
      <c r="I202" s="35">
        <v>53</v>
      </c>
      <c r="J202" s="35">
        <v>4.13</v>
      </c>
      <c r="K202" s="35">
        <v>57.13</v>
      </c>
    </row>
    <row r="203" spans="2:11" x14ac:dyDescent="0.35">
      <c r="B203" s="31">
        <v>44960</v>
      </c>
      <c r="C203" s="27" t="s">
        <v>189</v>
      </c>
      <c r="D203" s="32">
        <v>13089</v>
      </c>
      <c r="E203" s="28" t="s">
        <v>482</v>
      </c>
      <c r="F203" s="28" t="s">
        <v>476</v>
      </c>
      <c r="G203" s="26">
        <v>1</v>
      </c>
      <c r="H203" s="35">
        <v>180</v>
      </c>
      <c r="I203" s="35">
        <v>0</v>
      </c>
      <c r="J203" s="35">
        <v>14.04</v>
      </c>
      <c r="K203" s="35">
        <v>194.04</v>
      </c>
    </row>
    <row r="204" spans="2:11" x14ac:dyDescent="0.35">
      <c r="B204" s="31">
        <v>44960</v>
      </c>
      <c r="C204" s="27" t="s">
        <v>190</v>
      </c>
      <c r="D204" s="32">
        <v>15373</v>
      </c>
      <c r="E204" s="28" t="s">
        <v>482</v>
      </c>
      <c r="F204" s="28" t="s">
        <v>476</v>
      </c>
      <c r="G204" s="26">
        <v>1</v>
      </c>
      <c r="H204" s="35">
        <v>50</v>
      </c>
      <c r="I204" s="35">
        <v>0</v>
      </c>
      <c r="J204" s="35">
        <v>3.9</v>
      </c>
      <c r="K204" s="35">
        <v>53.9</v>
      </c>
    </row>
    <row r="205" spans="2:11" x14ac:dyDescent="0.35">
      <c r="B205" s="31">
        <v>44960</v>
      </c>
      <c r="C205" s="27" t="s">
        <v>190</v>
      </c>
      <c r="D205" s="32">
        <v>15373</v>
      </c>
      <c r="E205" s="28" t="s">
        <v>493</v>
      </c>
      <c r="F205" s="28" t="s">
        <v>476</v>
      </c>
      <c r="G205" s="26">
        <v>1</v>
      </c>
      <c r="H205" s="35">
        <v>50</v>
      </c>
      <c r="I205" s="35">
        <v>0</v>
      </c>
      <c r="J205" s="35">
        <v>0</v>
      </c>
      <c r="K205" s="35">
        <v>50</v>
      </c>
    </row>
    <row r="206" spans="2:11" x14ac:dyDescent="0.35">
      <c r="B206" s="31">
        <v>44960</v>
      </c>
      <c r="C206" s="27" t="s">
        <v>190</v>
      </c>
      <c r="D206" s="32">
        <v>15373</v>
      </c>
      <c r="E206" s="28" t="s">
        <v>490</v>
      </c>
      <c r="F206" s="28" t="s">
        <v>476</v>
      </c>
      <c r="G206" s="26">
        <v>1</v>
      </c>
      <c r="H206" s="35">
        <v>5</v>
      </c>
      <c r="I206" s="35">
        <v>0</v>
      </c>
      <c r="J206" s="35">
        <v>0.35</v>
      </c>
      <c r="K206" s="35">
        <v>5.35</v>
      </c>
    </row>
    <row r="207" spans="2:11" x14ac:dyDescent="0.35">
      <c r="B207" s="31">
        <v>44960</v>
      </c>
      <c r="C207" s="27" t="s">
        <v>190</v>
      </c>
      <c r="D207" s="32">
        <v>15373</v>
      </c>
      <c r="E207" s="28" t="s">
        <v>480</v>
      </c>
      <c r="F207" s="28" t="s">
        <v>476</v>
      </c>
      <c r="G207" s="26">
        <v>56</v>
      </c>
      <c r="H207" s="35">
        <v>6.5</v>
      </c>
      <c r="I207" s="35">
        <v>0</v>
      </c>
      <c r="J207" s="35">
        <v>0</v>
      </c>
      <c r="K207" s="35">
        <v>364</v>
      </c>
    </row>
    <row r="208" spans="2:11" x14ac:dyDescent="0.35">
      <c r="B208" s="31">
        <v>44960</v>
      </c>
      <c r="C208" s="27" t="s">
        <v>191</v>
      </c>
      <c r="D208" s="32">
        <v>173</v>
      </c>
      <c r="E208" s="28" t="s">
        <v>480</v>
      </c>
      <c r="F208" s="28" t="s">
        <v>474</v>
      </c>
      <c r="G208" s="26">
        <v>1</v>
      </c>
      <c r="H208" s="35">
        <v>0</v>
      </c>
      <c r="I208" s="35">
        <v>0</v>
      </c>
      <c r="J208" s="35">
        <v>0</v>
      </c>
      <c r="K208" s="35">
        <v>0</v>
      </c>
    </row>
    <row r="209" spans="2:11" x14ac:dyDescent="0.35">
      <c r="B209" s="31">
        <v>44960</v>
      </c>
      <c r="C209" s="27" t="s">
        <v>192</v>
      </c>
      <c r="D209" s="32">
        <v>16755</v>
      </c>
      <c r="E209" s="28" t="s">
        <v>494</v>
      </c>
      <c r="F209" s="28" t="s">
        <v>474</v>
      </c>
      <c r="G209" s="26">
        <v>1</v>
      </c>
      <c r="H209" s="35">
        <v>36</v>
      </c>
      <c r="I209" s="35">
        <v>0</v>
      </c>
      <c r="J209" s="35">
        <v>2.81</v>
      </c>
      <c r="K209" s="35">
        <v>38.81</v>
      </c>
    </row>
    <row r="210" spans="2:11" x14ac:dyDescent="0.35">
      <c r="B210" s="31">
        <v>44960</v>
      </c>
      <c r="C210" s="27" t="s">
        <v>192</v>
      </c>
      <c r="D210" s="32">
        <v>16755</v>
      </c>
      <c r="E210" s="28" t="s">
        <v>481</v>
      </c>
      <c r="F210" s="28" t="s">
        <v>474</v>
      </c>
      <c r="G210" s="26">
        <v>1</v>
      </c>
      <c r="H210" s="35">
        <v>47</v>
      </c>
      <c r="I210" s="35">
        <v>0</v>
      </c>
      <c r="J210" s="35">
        <v>3.67</v>
      </c>
      <c r="K210" s="35">
        <v>50.67</v>
      </c>
    </row>
    <row r="211" spans="2:11" x14ac:dyDescent="0.35">
      <c r="B211" s="31">
        <v>44960</v>
      </c>
      <c r="C211" s="27" t="s">
        <v>192</v>
      </c>
      <c r="D211" s="32">
        <v>16755</v>
      </c>
      <c r="E211" s="28" t="s">
        <v>482</v>
      </c>
      <c r="F211" s="28" t="s">
        <v>474</v>
      </c>
      <c r="G211" s="26">
        <v>1</v>
      </c>
      <c r="H211" s="35">
        <v>154</v>
      </c>
      <c r="I211" s="35">
        <v>0</v>
      </c>
      <c r="J211" s="35">
        <v>12.01</v>
      </c>
      <c r="K211" s="35">
        <v>166.01</v>
      </c>
    </row>
    <row r="212" spans="2:11" x14ac:dyDescent="0.35">
      <c r="B212" s="31">
        <v>44960</v>
      </c>
      <c r="C212" s="27" t="s">
        <v>193</v>
      </c>
      <c r="D212" s="32">
        <v>15417</v>
      </c>
      <c r="E212" s="28" t="s">
        <v>494</v>
      </c>
      <c r="F212" s="28" t="s">
        <v>476</v>
      </c>
      <c r="G212" s="26">
        <v>1</v>
      </c>
      <c r="H212" s="35">
        <v>0</v>
      </c>
      <c r="I212" s="35">
        <v>0</v>
      </c>
      <c r="J212" s="35">
        <v>0</v>
      </c>
      <c r="K212" s="35">
        <v>0</v>
      </c>
    </row>
    <row r="213" spans="2:11" x14ac:dyDescent="0.35">
      <c r="B213" s="31">
        <v>44963</v>
      </c>
      <c r="C213" s="27" t="s">
        <v>194</v>
      </c>
      <c r="D213" s="32">
        <v>958</v>
      </c>
      <c r="E213" s="28" t="s">
        <v>494</v>
      </c>
      <c r="F213" s="28" t="s">
        <v>473</v>
      </c>
      <c r="G213" s="26">
        <v>1</v>
      </c>
      <c r="H213" s="35">
        <v>200</v>
      </c>
      <c r="I213" s="35">
        <v>0</v>
      </c>
      <c r="J213" s="35">
        <v>0</v>
      </c>
      <c r="K213" s="35">
        <v>200</v>
      </c>
    </row>
    <row r="214" spans="2:11" x14ac:dyDescent="0.35">
      <c r="B214" s="31">
        <v>44963</v>
      </c>
      <c r="C214" s="27" t="s">
        <v>195</v>
      </c>
      <c r="D214" s="32">
        <v>247</v>
      </c>
      <c r="E214" s="28" t="s">
        <v>483</v>
      </c>
      <c r="F214" s="28" t="s">
        <v>473</v>
      </c>
      <c r="G214" s="26">
        <v>34</v>
      </c>
      <c r="H214" s="35">
        <v>12</v>
      </c>
      <c r="I214" s="35">
        <v>0</v>
      </c>
      <c r="J214" s="35">
        <v>0</v>
      </c>
      <c r="K214" s="35">
        <v>408</v>
      </c>
    </row>
    <row r="215" spans="2:11" x14ac:dyDescent="0.35">
      <c r="B215" s="31">
        <v>44963</v>
      </c>
      <c r="C215" s="27" t="s">
        <v>196</v>
      </c>
      <c r="D215" s="32">
        <v>13249</v>
      </c>
      <c r="E215" s="28" t="s">
        <v>489</v>
      </c>
      <c r="F215" s="28" t="s">
        <v>473</v>
      </c>
      <c r="G215" s="26">
        <v>2</v>
      </c>
      <c r="H215" s="35">
        <v>425</v>
      </c>
      <c r="I215" s="35">
        <v>0</v>
      </c>
      <c r="J215" s="35">
        <v>0</v>
      </c>
      <c r="K215" s="35">
        <v>850</v>
      </c>
    </row>
    <row r="216" spans="2:11" x14ac:dyDescent="0.35">
      <c r="B216" s="31">
        <v>44963</v>
      </c>
      <c r="C216" s="27" t="s">
        <v>196</v>
      </c>
      <c r="D216" s="32">
        <v>13249</v>
      </c>
      <c r="E216" s="28" t="s">
        <v>494</v>
      </c>
      <c r="F216" s="28" t="s">
        <v>473</v>
      </c>
      <c r="G216" s="26">
        <v>1</v>
      </c>
      <c r="H216" s="35">
        <v>675</v>
      </c>
      <c r="I216" s="35">
        <v>0</v>
      </c>
      <c r="J216" s="35">
        <v>0</v>
      </c>
      <c r="K216" s="35">
        <v>675</v>
      </c>
    </row>
    <row r="217" spans="2:11" x14ac:dyDescent="0.35">
      <c r="B217" s="31">
        <v>44963</v>
      </c>
      <c r="C217" s="27" t="s">
        <v>196</v>
      </c>
      <c r="D217" s="32">
        <v>13249</v>
      </c>
      <c r="E217" s="28" t="s">
        <v>486</v>
      </c>
      <c r="F217" s="28" t="s">
        <v>473</v>
      </c>
      <c r="G217" s="26">
        <v>2</v>
      </c>
      <c r="H217" s="35">
        <v>750</v>
      </c>
      <c r="I217" s="35">
        <v>0</v>
      </c>
      <c r="J217" s="35">
        <v>0</v>
      </c>
      <c r="K217" s="35">
        <v>1500</v>
      </c>
    </row>
    <row r="218" spans="2:11" x14ac:dyDescent="0.35">
      <c r="B218" s="31">
        <v>44963</v>
      </c>
      <c r="C218" s="27" t="s">
        <v>196</v>
      </c>
      <c r="D218" s="32">
        <v>13249</v>
      </c>
      <c r="E218" s="28" t="s">
        <v>487</v>
      </c>
      <c r="F218" s="28" t="s">
        <v>473</v>
      </c>
      <c r="G218" s="26">
        <v>1</v>
      </c>
      <c r="H218" s="35">
        <v>12.5</v>
      </c>
      <c r="I218" s="35">
        <v>0</v>
      </c>
      <c r="J218" s="35">
        <v>0.98</v>
      </c>
      <c r="K218" s="35">
        <v>13.48</v>
      </c>
    </row>
    <row r="219" spans="2:11" x14ac:dyDescent="0.35">
      <c r="B219" s="31">
        <v>44963</v>
      </c>
      <c r="C219" s="27" t="s">
        <v>197</v>
      </c>
      <c r="D219" s="32">
        <v>9736</v>
      </c>
      <c r="E219" s="28" t="s">
        <v>487</v>
      </c>
      <c r="F219" s="28" t="s">
        <v>473</v>
      </c>
      <c r="G219" s="26">
        <v>1</v>
      </c>
      <c r="H219" s="35">
        <v>12.5</v>
      </c>
      <c r="I219" s="35">
        <v>1.88</v>
      </c>
      <c r="J219" s="35">
        <v>0.83</v>
      </c>
      <c r="K219" s="35">
        <v>11.450000000000001</v>
      </c>
    </row>
    <row r="220" spans="2:11" x14ac:dyDescent="0.35">
      <c r="B220" s="31">
        <v>44963</v>
      </c>
      <c r="C220" s="27" t="s">
        <v>197</v>
      </c>
      <c r="D220" s="32">
        <v>9736</v>
      </c>
      <c r="E220" s="28" t="s">
        <v>484</v>
      </c>
      <c r="F220" s="28" t="s">
        <v>473</v>
      </c>
      <c r="G220" s="26">
        <v>3</v>
      </c>
      <c r="H220" s="35">
        <v>825</v>
      </c>
      <c r="I220" s="35">
        <v>0</v>
      </c>
      <c r="J220" s="35">
        <v>0</v>
      </c>
      <c r="K220" s="35">
        <v>2475</v>
      </c>
    </row>
    <row r="221" spans="2:11" x14ac:dyDescent="0.35">
      <c r="B221" s="31">
        <v>44963</v>
      </c>
      <c r="C221" s="27" t="s">
        <v>197</v>
      </c>
      <c r="D221" s="32">
        <v>9736</v>
      </c>
      <c r="E221" s="28" t="s">
        <v>483</v>
      </c>
      <c r="F221" s="28" t="s">
        <v>473</v>
      </c>
      <c r="G221" s="26">
        <v>1</v>
      </c>
      <c r="H221" s="35">
        <v>825</v>
      </c>
      <c r="I221" s="35">
        <v>0</v>
      </c>
      <c r="J221" s="35">
        <v>0</v>
      </c>
      <c r="K221" s="35">
        <v>825</v>
      </c>
    </row>
    <row r="222" spans="2:11" x14ac:dyDescent="0.35">
      <c r="B222" s="31">
        <v>44963</v>
      </c>
      <c r="C222" s="27" t="s">
        <v>197</v>
      </c>
      <c r="D222" s="32">
        <v>9736</v>
      </c>
      <c r="E222" s="28" t="s">
        <v>483</v>
      </c>
      <c r="F222" s="28" t="s">
        <v>473</v>
      </c>
      <c r="G222" s="26">
        <v>12</v>
      </c>
      <c r="H222" s="35">
        <v>12</v>
      </c>
      <c r="I222" s="35">
        <v>0</v>
      </c>
      <c r="J222" s="35">
        <v>0</v>
      </c>
      <c r="K222" s="35">
        <v>144</v>
      </c>
    </row>
    <row r="223" spans="2:11" x14ac:dyDescent="0.35">
      <c r="B223" s="31">
        <v>44963</v>
      </c>
      <c r="C223" s="27" t="s">
        <v>198</v>
      </c>
      <c r="D223" s="32">
        <v>247</v>
      </c>
      <c r="E223" s="28" t="s">
        <v>480</v>
      </c>
      <c r="F223" s="28" t="s">
        <v>474</v>
      </c>
      <c r="G223" s="26">
        <v>12</v>
      </c>
      <c r="H223" s="35">
        <v>0</v>
      </c>
      <c r="I223" s="35">
        <v>0</v>
      </c>
      <c r="J223" s="35">
        <v>0</v>
      </c>
      <c r="K223" s="35">
        <v>0</v>
      </c>
    </row>
    <row r="224" spans="2:11" x14ac:dyDescent="0.35">
      <c r="B224" s="31">
        <v>44963</v>
      </c>
      <c r="C224" s="27" t="s">
        <v>199</v>
      </c>
      <c r="D224" s="32">
        <v>920</v>
      </c>
      <c r="E224" s="28" t="s">
        <v>480</v>
      </c>
      <c r="F224" s="28" t="s">
        <v>474</v>
      </c>
      <c r="G224" s="26">
        <v>1</v>
      </c>
      <c r="H224" s="35">
        <v>0</v>
      </c>
      <c r="I224" s="35">
        <v>0</v>
      </c>
      <c r="J224" s="35">
        <v>0</v>
      </c>
      <c r="K224" s="35">
        <v>0</v>
      </c>
    </row>
    <row r="225" spans="2:11" x14ac:dyDescent="0.35">
      <c r="B225" s="31">
        <v>44964</v>
      </c>
      <c r="C225" s="27" t="s">
        <v>200</v>
      </c>
      <c r="D225" s="32">
        <v>15445</v>
      </c>
      <c r="E225" s="28" t="s">
        <v>494</v>
      </c>
      <c r="F225" s="28" t="s">
        <v>476</v>
      </c>
      <c r="G225" s="26">
        <v>1</v>
      </c>
      <c r="H225" s="35">
        <v>750</v>
      </c>
      <c r="I225" s="35">
        <v>0</v>
      </c>
      <c r="J225" s="35">
        <v>58.5</v>
      </c>
      <c r="K225" s="35">
        <v>808.5</v>
      </c>
    </row>
    <row r="226" spans="2:11" x14ac:dyDescent="0.35">
      <c r="B226" s="31">
        <v>44964</v>
      </c>
      <c r="C226" s="27" t="s">
        <v>201</v>
      </c>
      <c r="D226" s="32">
        <v>15396</v>
      </c>
      <c r="E226" s="28" t="s">
        <v>482</v>
      </c>
      <c r="F226" s="28" t="s">
        <v>476</v>
      </c>
      <c r="G226" s="26">
        <v>1</v>
      </c>
      <c r="H226" s="35">
        <v>180</v>
      </c>
      <c r="I226" s="35">
        <v>0</v>
      </c>
      <c r="J226" s="35">
        <v>14.04</v>
      </c>
      <c r="K226" s="35">
        <v>194.04</v>
      </c>
    </row>
    <row r="227" spans="2:11" x14ac:dyDescent="0.35">
      <c r="B227" s="31">
        <v>44964</v>
      </c>
      <c r="C227" s="27" t="s">
        <v>201</v>
      </c>
      <c r="D227" s="32">
        <v>15396</v>
      </c>
      <c r="E227" s="28" t="s">
        <v>480</v>
      </c>
      <c r="F227" s="28" t="s">
        <v>476</v>
      </c>
      <c r="G227" s="26">
        <v>14</v>
      </c>
      <c r="H227" s="35">
        <v>15</v>
      </c>
      <c r="I227" s="35">
        <v>0</v>
      </c>
      <c r="J227" s="35">
        <v>0</v>
      </c>
      <c r="K227" s="35">
        <v>210</v>
      </c>
    </row>
    <row r="228" spans="2:11" x14ac:dyDescent="0.35">
      <c r="B228" s="31">
        <v>44964</v>
      </c>
      <c r="C228" s="27" t="s">
        <v>202</v>
      </c>
      <c r="D228" s="32">
        <v>13161</v>
      </c>
      <c r="E228" s="28" t="s">
        <v>495</v>
      </c>
      <c r="F228" s="28" t="s">
        <v>475</v>
      </c>
      <c r="G228" s="26">
        <v>1</v>
      </c>
      <c r="H228" s="35">
        <v>37</v>
      </c>
      <c r="I228" s="35">
        <v>0</v>
      </c>
      <c r="J228" s="35">
        <v>2.89</v>
      </c>
      <c r="K228" s="35">
        <v>39.89</v>
      </c>
    </row>
    <row r="229" spans="2:11" x14ac:dyDescent="0.35">
      <c r="B229" s="31">
        <v>44964</v>
      </c>
      <c r="C229" s="27" t="s">
        <v>203</v>
      </c>
      <c r="D229" s="32">
        <v>15490</v>
      </c>
      <c r="E229" s="28" t="s">
        <v>480</v>
      </c>
      <c r="F229" s="28" t="s">
        <v>474</v>
      </c>
      <c r="G229" s="26">
        <v>1</v>
      </c>
      <c r="H229" s="35">
        <v>75</v>
      </c>
      <c r="I229" s="35">
        <v>0</v>
      </c>
      <c r="J229" s="35">
        <v>0</v>
      </c>
      <c r="K229" s="35">
        <v>75</v>
      </c>
    </row>
    <row r="230" spans="2:11" x14ac:dyDescent="0.35">
      <c r="B230" s="31">
        <v>44965</v>
      </c>
      <c r="C230" s="27" t="s">
        <v>204</v>
      </c>
      <c r="D230" s="32">
        <v>94</v>
      </c>
      <c r="E230" s="28" t="s">
        <v>480</v>
      </c>
      <c r="F230" s="28" t="s">
        <v>473</v>
      </c>
      <c r="G230" s="26">
        <v>32</v>
      </c>
      <c r="H230" s="35">
        <v>15</v>
      </c>
      <c r="I230" s="35">
        <v>0</v>
      </c>
      <c r="J230" s="35">
        <v>0</v>
      </c>
      <c r="K230" s="35">
        <v>480</v>
      </c>
    </row>
    <row r="231" spans="2:11" x14ac:dyDescent="0.35">
      <c r="B231" s="31">
        <v>44965</v>
      </c>
      <c r="C231" s="27" t="s">
        <v>205</v>
      </c>
      <c r="D231" s="32">
        <v>13359</v>
      </c>
      <c r="E231" s="28" t="s">
        <v>480</v>
      </c>
      <c r="F231" s="28" t="s">
        <v>473</v>
      </c>
      <c r="G231" s="26">
        <v>24</v>
      </c>
      <c r="H231" s="35">
        <v>15</v>
      </c>
      <c r="I231" s="35">
        <v>0</v>
      </c>
      <c r="J231" s="35">
        <v>0</v>
      </c>
      <c r="K231" s="35">
        <v>360</v>
      </c>
    </row>
    <row r="232" spans="2:11" x14ac:dyDescent="0.35">
      <c r="B232" s="31">
        <v>44965</v>
      </c>
      <c r="C232" s="27" t="s">
        <v>206</v>
      </c>
      <c r="D232" s="32">
        <v>227</v>
      </c>
      <c r="E232" s="28" t="s">
        <v>480</v>
      </c>
      <c r="F232" s="28" t="s">
        <v>473</v>
      </c>
      <c r="G232" s="26">
        <v>60</v>
      </c>
      <c r="H232" s="35">
        <v>15</v>
      </c>
      <c r="I232" s="35">
        <v>0</v>
      </c>
      <c r="J232" s="35">
        <v>0</v>
      </c>
      <c r="K232" s="35">
        <v>900</v>
      </c>
    </row>
    <row r="233" spans="2:11" x14ac:dyDescent="0.35">
      <c r="B233" s="31">
        <v>44965</v>
      </c>
      <c r="C233" s="27" t="s">
        <v>207</v>
      </c>
      <c r="D233" s="32">
        <v>8548</v>
      </c>
      <c r="E233" s="28" t="s">
        <v>482</v>
      </c>
      <c r="F233" s="28" t="s">
        <v>475</v>
      </c>
      <c r="G233" s="26">
        <v>1</v>
      </c>
      <c r="H233" s="35">
        <v>154</v>
      </c>
      <c r="I233" s="35">
        <v>23.1</v>
      </c>
      <c r="J233" s="35">
        <v>10.210000000000001</v>
      </c>
      <c r="K233" s="35">
        <v>141.11000000000001</v>
      </c>
    </row>
    <row r="234" spans="2:11" x14ac:dyDescent="0.35">
      <c r="B234" s="31">
        <v>44965</v>
      </c>
      <c r="C234" s="27" t="s">
        <v>207</v>
      </c>
      <c r="D234" s="32">
        <v>8548</v>
      </c>
      <c r="E234" s="28" t="s">
        <v>481</v>
      </c>
      <c r="F234" s="28" t="s">
        <v>475</v>
      </c>
      <c r="G234" s="26">
        <v>1</v>
      </c>
      <c r="H234" s="35">
        <v>155</v>
      </c>
      <c r="I234" s="35">
        <v>23.25</v>
      </c>
      <c r="J234" s="35">
        <v>10.28</v>
      </c>
      <c r="K234" s="35">
        <v>142.03</v>
      </c>
    </row>
    <row r="235" spans="2:11" x14ac:dyDescent="0.35">
      <c r="B235" s="31">
        <v>44965</v>
      </c>
      <c r="C235" s="27" t="s">
        <v>207</v>
      </c>
      <c r="D235" s="32">
        <v>8548</v>
      </c>
      <c r="E235" s="28" t="s">
        <v>481</v>
      </c>
      <c r="F235" s="28" t="s">
        <v>475</v>
      </c>
      <c r="G235" s="26">
        <v>1</v>
      </c>
      <c r="H235" s="35">
        <v>47</v>
      </c>
      <c r="I235" s="35">
        <v>7.05</v>
      </c>
      <c r="J235" s="35">
        <v>3.12</v>
      </c>
      <c r="K235" s="35">
        <v>43.07</v>
      </c>
    </row>
    <row r="236" spans="2:11" x14ac:dyDescent="0.35">
      <c r="B236" s="31">
        <v>44965</v>
      </c>
      <c r="C236" s="27" t="s">
        <v>208</v>
      </c>
      <c r="D236" s="32">
        <v>16780</v>
      </c>
      <c r="E236" s="28" t="s">
        <v>482</v>
      </c>
      <c r="F236" s="28" t="s">
        <v>475</v>
      </c>
      <c r="G236" s="26">
        <v>1</v>
      </c>
      <c r="H236" s="35">
        <v>180</v>
      </c>
      <c r="I236" s="35">
        <v>0</v>
      </c>
      <c r="J236" s="35">
        <v>14.04</v>
      </c>
      <c r="K236" s="35">
        <v>194.04</v>
      </c>
    </row>
    <row r="237" spans="2:11" x14ac:dyDescent="0.35">
      <c r="B237" s="31">
        <v>44965</v>
      </c>
      <c r="C237" s="27" t="s">
        <v>209</v>
      </c>
      <c r="D237" s="32">
        <v>559</v>
      </c>
      <c r="E237" s="28" t="s">
        <v>480</v>
      </c>
      <c r="F237" s="28" t="s">
        <v>474</v>
      </c>
      <c r="G237" s="26">
        <v>1</v>
      </c>
      <c r="H237" s="35">
        <v>75</v>
      </c>
      <c r="I237" s="35">
        <v>0</v>
      </c>
      <c r="J237" s="35">
        <v>0</v>
      </c>
      <c r="K237" s="35">
        <v>75</v>
      </c>
    </row>
    <row r="238" spans="2:11" x14ac:dyDescent="0.35">
      <c r="B238" s="31">
        <v>44965</v>
      </c>
      <c r="C238" s="27" t="s">
        <v>210</v>
      </c>
      <c r="D238" s="32">
        <v>234</v>
      </c>
      <c r="E238" s="28" t="s">
        <v>480</v>
      </c>
      <c r="F238" s="28" t="s">
        <v>473</v>
      </c>
      <c r="G238" s="26">
        <v>24</v>
      </c>
      <c r="H238" s="35">
        <v>15</v>
      </c>
      <c r="I238" s="35">
        <v>0</v>
      </c>
      <c r="J238" s="35">
        <v>0</v>
      </c>
      <c r="K238" s="35">
        <v>360</v>
      </c>
    </row>
    <row r="239" spans="2:11" x14ac:dyDescent="0.35">
      <c r="B239" s="31">
        <v>44966</v>
      </c>
      <c r="C239" s="27" t="s">
        <v>211</v>
      </c>
      <c r="D239" s="32">
        <v>16530</v>
      </c>
      <c r="E239" s="28" t="s">
        <v>482</v>
      </c>
      <c r="F239" s="28" t="s">
        <v>475</v>
      </c>
      <c r="G239" s="26">
        <v>1</v>
      </c>
      <c r="H239" s="35">
        <v>180</v>
      </c>
      <c r="I239" s="35">
        <v>45</v>
      </c>
      <c r="J239" s="35">
        <v>10.53</v>
      </c>
      <c r="K239" s="35">
        <v>145.53</v>
      </c>
    </row>
    <row r="240" spans="2:11" x14ac:dyDescent="0.35">
      <c r="B240" s="31">
        <v>44966</v>
      </c>
      <c r="C240" s="27" t="s">
        <v>212</v>
      </c>
      <c r="D240" s="32">
        <v>16716</v>
      </c>
      <c r="E240" s="28" t="s">
        <v>491</v>
      </c>
      <c r="F240" s="28" t="s">
        <v>475</v>
      </c>
      <c r="G240" s="26">
        <v>1</v>
      </c>
      <c r="H240" s="35">
        <v>350</v>
      </c>
      <c r="I240" s="35">
        <v>0</v>
      </c>
      <c r="J240" s="35">
        <v>24.5</v>
      </c>
      <c r="K240" s="35">
        <v>374.5</v>
      </c>
    </row>
    <row r="241" spans="2:11" x14ac:dyDescent="0.35">
      <c r="B241" s="31">
        <v>44966</v>
      </c>
      <c r="C241" s="27" t="s">
        <v>213</v>
      </c>
      <c r="D241" s="32">
        <v>4120</v>
      </c>
      <c r="E241" s="28" t="s">
        <v>486</v>
      </c>
      <c r="F241" s="28" t="s">
        <v>476</v>
      </c>
      <c r="G241" s="26">
        <v>2</v>
      </c>
      <c r="H241" s="35">
        <v>650</v>
      </c>
      <c r="I241" s="35">
        <v>150</v>
      </c>
      <c r="J241" s="35">
        <v>0</v>
      </c>
      <c r="K241" s="35">
        <v>1150</v>
      </c>
    </row>
    <row r="242" spans="2:11" x14ac:dyDescent="0.35">
      <c r="B242" s="31">
        <v>44966</v>
      </c>
      <c r="C242" s="27" t="s">
        <v>214</v>
      </c>
      <c r="D242" s="32">
        <v>13282</v>
      </c>
      <c r="E242" s="28" t="s">
        <v>482</v>
      </c>
      <c r="F242" s="28" t="s">
        <v>475</v>
      </c>
      <c r="G242" s="26">
        <v>1</v>
      </c>
      <c r="H242" s="35">
        <v>50</v>
      </c>
      <c r="I242" s="35">
        <v>0</v>
      </c>
      <c r="J242" s="35">
        <v>3.9</v>
      </c>
      <c r="K242" s="35">
        <v>53.9</v>
      </c>
    </row>
    <row r="243" spans="2:11" x14ac:dyDescent="0.35">
      <c r="B243" s="31">
        <v>44966</v>
      </c>
      <c r="C243" s="27" t="s">
        <v>215</v>
      </c>
      <c r="D243" s="32">
        <v>629</v>
      </c>
      <c r="E243" s="28" t="s">
        <v>482</v>
      </c>
      <c r="F243" s="28" t="s">
        <v>476</v>
      </c>
      <c r="G243" s="26">
        <v>1</v>
      </c>
      <c r="H243" s="35">
        <v>180</v>
      </c>
      <c r="I243" s="35">
        <v>0</v>
      </c>
      <c r="J243" s="35">
        <v>14.04</v>
      </c>
      <c r="K243" s="35">
        <v>194.04</v>
      </c>
    </row>
    <row r="244" spans="2:11" x14ac:dyDescent="0.35">
      <c r="B244" s="31">
        <v>44966</v>
      </c>
      <c r="C244" s="27" t="s">
        <v>216</v>
      </c>
      <c r="D244" s="32">
        <v>201</v>
      </c>
      <c r="E244" s="28" t="s">
        <v>491</v>
      </c>
      <c r="F244" s="28" t="s">
        <v>474</v>
      </c>
      <c r="G244" s="26">
        <v>1</v>
      </c>
      <c r="H244" s="35">
        <v>175</v>
      </c>
      <c r="I244" s="35">
        <v>87.5</v>
      </c>
      <c r="J244" s="35">
        <v>0</v>
      </c>
      <c r="K244" s="35">
        <v>87.5</v>
      </c>
    </row>
    <row r="245" spans="2:11" x14ac:dyDescent="0.35">
      <c r="B245" s="31">
        <v>44966</v>
      </c>
      <c r="C245" s="27" t="s">
        <v>217</v>
      </c>
      <c r="D245" s="32">
        <v>151</v>
      </c>
      <c r="E245" s="28" t="s">
        <v>495</v>
      </c>
      <c r="F245" s="28" t="s">
        <v>474</v>
      </c>
      <c r="G245" s="26">
        <v>1</v>
      </c>
      <c r="H245" s="35">
        <v>130</v>
      </c>
      <c r="I245" s="35">
        <v>0</v>
      </c>
      <c r="J245" s="35">
        <v>10.14</v>
      </c>
      <c r="K245" s="35">
        <v>140.13999999999999</v>
      </c>
    </row>
    <row r="246" spans="2:11" x14ac:dyDescent="0.35">
      <c r="B246" s="31">
        <v>44967</v>
      </c>
      <c r="C246" s="27" t="s">
        <v>218</v>
      </c>
      <c r="D246" s="32">
        <v>15438</v>
      </c>
      <c r="E246" s="28" t="s">
        <v>480</v>
      </c>
      <c r="F246" s="28" t="s">
        <v>476</v>
      </c>
      <c r="G246" s="26">
        <v>22</v>
      </c>
      <c r="H246" s="35">
        <v>15</v>
      </c>
      <c r="I246" s="35">
        <v>0</v>
      </c>
      <c r="J246" s="35">
        <v>0</v>
      </c>
      <c r="K246" s="35">
        <v>330</v>
      </c>
    </row>
    <row r="247" spans="2:11" x14ac:dyDescent="0.35">
      <c r="B247" s="31">
        <v>44967</v>
      </c>
      <c r="C247" s="27" t="s">
        <v>219</v>
      </c>
      <c r="D247" s="32">
        <v>15481</v>
      </c>
      <c r="E247" s="28" t="s">
        <v>482</v>
      </c>
      <c r="F247" s="28" t="s">
        <v>476</v>
      </c>
      <c r="G247" s="26">
        <v>7</v>
      </c>
      <c r="H247" s="35">
        <v>15</v>
      </c>
      <c r="I247" s="35">
        <v>0</v>
      </c>
      <c r="J247" s="35">
        <v>0</v>
      </c>
      <c r="K247" s="35">
        <v>105</v>
      </c>
    </row>
    <row r="248" spans="2:11" x14ac:dyDescent="0.35">
      <c r="B248" s="31">
        <v>44967</v>
      </c>
      <c r="C248" s="27" t="s">
        <v>220</v>
      </c>
      <c r="D248" s="32">
        <v>8577</v>
      </c>
      <c r="E248" s="28" t="s">
        <v>485</v>
      </c>
      <c r="F248" s="28" t="s">
        <v>474</v>
      </c>
      <c r="G248" s="26">
        <v>1</v>
      </c>
      <c r="H248" s="35">
        <v>169</v>
      </c>
      <c r="I248" s="35">
        <v>84.5</v>
      </c>
      <c r="J248" s="35">
        <v>6.59</v>
      </c>
      <c r="K248" s="35">
        <v>91.09</v>
      </c>
    </row>
    <row r="249" spans="2:11" x14ac:dyDescent="0.35">
      <c r="B249" s="31">
        <v>44967</v>
      </c>
      <c r="C249" s="27" t="s">
        <v>221</v>
      </c>
      <c r="D249" s="32">
        <v>12925</v>
      </c>
      <c r="E249" s="28" t="s">
        <v>492</v>
      </c>
      <c r="F249" s="28" t="s">
        <v>476</v>
      </c>
      <c r="G249" s="26">
        <v>1</v>
      </c>
      <c r="H249" s="35">
        <v>50</v>
      </c>
      <c r="I249" s="35">
        <v>0</v>
      </c>
      <c r="J249" s="35">
        <v>3.9</v>
      </c>
      <c r="K249" s="35">
        <v>53.9</v>
      </c>
    </row>
    <row r="250" spans="2:11" x14ac:dyDescent="0.35">
      <c r="B250" s="31">
        <v>44970</v>
      </c>
      <c r="C250" s="27" t="s">
        <v>222</v>
      </c>
      <c r="D250" s="32">
        <v>271</v>
      </c>
      <c r="E250" s="28" t="s">
        <v>480</v>
      </c>
      <c r="F250" s="28" t="s">
        <v>473</v>
      </c>
      <c r="G250" s="26">
        <v>36</v>
      </c>
      <c r="H250" s="35">
        <v>15</v>
      </c>
      <c r="I250" s="35">
        <v>0</v>
      </c>
      <c r="J250" s="35">
        <v>0</v>
      </c>
      <c r="K250" s="35">
        <v>540</v>
      </c>
    </row>
    <row r="251" spans="2:11" x14ac:dyDescent="0.35">
      <c r="B251" s="31">
        <v>44970</v>
      </c>
      <c r="C251" s="27" t="s">
        <v>223</v>
      </c>
      <c r="D251" s="32">
        <v>930</v>
      </c>
      <c r="E251" s="28" t="s">
        <v>495</v>
      </c>
      <c r="F251" s="28" t="s">
        <v>473</v>
      </c>
      <c r="G251" s="26">
        <v>1</v>
      </c>
      <c r="H251" s="35">
        <v>275</v>
      </c>
      <c r="I251" s="35">
        <v>0</v>
      </c>
      <c r="J251" s="35">
        <v>21.45</v>
      </c>
      <c r="K251" s="35">
        <v>296.45</v>
      </c>
    </row>
    <row r="252" spans="2:11" x14ac:dyDescent="0.35">
      <c r="B252" s="31">
        <v>44970</v>
      </c>
      <c r="C252" s="27" t="s">
        <v>224</v>
      </c>
      <c r="D252" s="32">
        <v>345</v>
      </c>
      <c r="E252" s="28" t="s">
        <v>490</v>
      </c>
      <c r="F252" s="28" t="s">
        <v>475</v>
      </c>
      <c r="G252" s="26">
        <v>1</v>
      </c>
      <c r="H252" s="35">
        <v>5</v>
      </c>
      <c r="I252" s="35">
        <v>0</v>
      </c>
      <c r="J252" s="35">
        <v>0.35</v>
      </c>
      <c r="K252" s="35">
        <v>5.35</v>
      </c>
    </row>
    <row r="253" spans="2:11" x14ac:dyDescent="0.35">
      <c r="B253" s="31">
        <v>44970</v>
      </c>
      <c r="C253" s="27" t="s">
        <v>224</v>
      </c>
      <c r="D253" s="32">
        <v>345</v>
      </c>
      <c r="E253" s="28" t="s">
        <v>495</v>
      </c>
      <c r="F253" s="28" t="s">
        <v>475</v>
      </c>
      <c r="G253" s="26">
        <v>1</v>
      </c>
      <c r="H253" s="35">
        <v>5</v>
      </c>
      <c r="I253" s="35">
        <v>0</v>
      </c>
      <c r="J253" s="35">
        <v>0.35</v>
      </c>
      <c r="K253" s="35">
        <v>5.35</v>
      </c>
    </row>
    <row r="254" spans="2:11" x14ac:dyDescent="0.35">
      <c r="B254" s="31">
        <v>44970</v>
      </c>
      <c r="C254" s="27" t="s">
        <v>225</v>
      </c>
      <c r="D254" s="32">
        <v>8590</v>
      </c>
      <c r="E254" s="28" t="s">
        <v>495</v>
      </c>
      <c r="F254" s="28" t="s">
        <v>473</v>
      </c>
      <c r="G254" s="26">
        <v>1</v>
      </c>
      <c r="H254" s="35">
        <v>0</v>
      </c>
      <c r="I254" s="35">
        <v>0</v>
      </c>
      <c r="J254" s="35">
        <v>0</v>
      </c>
      <c r="K254" s="35">
        <v>0</v>
      </c>
    </row>
    <row r="255" spans="2:11" x14ac:dyDescent="0.35">
      <c r="B255" s="31">
        <v>44970</v>
      </c>
      <c r="C255" s="27" t="s">
        <v>226</v>
      </c>
      <c r="D255" s="32">
        <v>13175</v>
      </c>
      <c r="E255" s="28" t="s">
        <v>480</v>
      </c>
      <c r="F255" s="28" t="s">
        <v>473</v>
      </c>
      <c r="G255" s="26">
        <v>66</v>
      </c>
      <c r="H255" s="35">
        <v>15</v>
      </c>
      <c r="I255" s="35">
        <v>0</v>
      </c>
      <c r="J255" s="35">
        <v>0</v>
      </c>
      <c r="K255" s="35">
        <v>990</v>
      </c>
    </row>
    <row r="256" spans="2:11" x14ac:dyDescent="0.35">
      <c r="B256" s="31">
        <v>44970</v>
      </c>
      <c r="C256" s="27" t="s">
        <v>227</v>
      </c>
      <c r="D256" s="32">
        <v>5376</v>
      </c>
      <c r="E256" s="28" t="s">
        <v>480</v>
      </c>
      <c r="F256" s="28" t="s">
        <v>473</v>
      </c>
      <c r="G256" s="26">
        <v>50</v>
      </c>
      <c r="H256" s="35">
        <v>15</v>
      </c>
      <c r="I256" s="35">
        <v>0</v>
      </c>
      <c r="J256" s="35">
        <v>0</v>
      </c>
      <c r="K256" s="35">
        <v>750</v>
      </c>
    </row>
    <row r="257" spans="2:11" x14ac:dyDescent="0.35">
      <c r="B257" s="31">
        <v>44970</v>
      </c>
      <c r="C257" s="27" t="s">
        <v>227</v>
      </c>
      <c r="D257" s="32">
        <v>5376</v>
      </c>
      <c r="E257" s="28" t="s">
        <v>496</v>
      </c>
      <c r="F257" s="28" t="s">
        <v>473</v>
      </c>
      <c r="G257" s="26">
        <v>1</v>
      </c>
      <c r="H257" s="35">
        <v>20</v>
      </c>
      <c r="I257" s="35">
        <v>0</v>
      </c>
      <c r="J257" s="35">
        <v>1.56</v>
      </c>
      <c r="K257" s="35">
        <v>21.56</v>
      </c>
    </row>
    <row r="258" spans="2:11" x14ac:dyDescent="0.35">
      <c r="B258" s="31">
        <v>44970</v>
      </c>
      <c r="C258" s="27" t="s">
        <v>228</v>
      </c>
      <c r="D258" s="32">
        <v>16787</v>
      </c>
      <c r="E258" s="28" t="s">
        <v>496</v>
      </c>
      <c r="F258" s="28" t="s">
        <v>473</v>
      </c>
      <c r="G258" s="26">
        <v>1</v>
      </c>
      <c r="H258" s="35">
        <v>0</v>
      </c>
      <c r="I258" s="35">
        <v>0</v>
      </c>
      <c r="J258" s="35">
        <v>0</v>
      </c>
      <c r="K258" s="35">
        <v>0</v>
      </c>
    </row>
    <row r="259" spans="2:11" x14ac:dyDescent="0.35">
      <c r="B259" s="31">
        <v>44970</v>
      </c>
      <c r="C259" s="27" t="s">
        <v>229</v>
      </c>
      <c r="D259" s="32">
        <v>1007</v>
      </c>
      <c r="E259" s="28" t="s">
        <v>483</v>
      </c>
      <c r="F259" s="28" t="s">
        <v>473</v>
      </c>
      <c r="G259" s="26">
        <v>1</v>
      </c>
      <c r="H259" s="35">
        <v>1000</v>
      </c>
      <c r="I259" s="35">
        <v>0</v>
      </c>
      <c r="J259" s="35">
        <v>0</v>
      </c>
      <c r="K259" s="35">
        <v>1000</v>
      </c>
    </row>
    <row r="260" spans="2:11" x14ac:dyDescent="0.35">
      <c r="B260" s="31">
        <v>44970</v>
      </c>
      <c r="C260" s="27" t="s">
        <v>230</v>
      </c>
      <c r="D260" s="32">
        <v>12898</v>
      </c>
      <c r="E260" s="28" t="s">
        <v>480</v>
      </c>
      <c r="F260" s="28" t="s">
        <v>474</v>
      </c>
      <c r="G260" s="26">
        <v>1</v>
      </c>
      <c r="H260" s="35">
        <v>0</v>
      </c>
      <c r="I260" s="35">
        <v>0</v>
      </c>
      <c r="J260" s="35">
        <v>0</v>
      </c>
      <c r="K260" s="35">
        <v>0</v>
      </c>
    </row>
    <row r="261" spans="2:11" x14ac:dyDescent="0.35">
      <c r="B261" s="31">
        <v>44970</v>
      </c>
      <c r="C261" s="27" t="s">
        <v>231</v>
      </c>
      <c r="D261" s="32">
        <v>13351</v>
      </c>
      <c r="E261" s="28" t="s">
        <v>496</v>
      </c>
      <c r="F261" s="28" t="s">
        <v>475</v>
      </c>
      <c r="G261" s="26">
        <v>1</v>
      </c>
      <c r="H261" s="35">
        <v>95</v>
      </c>
      <c r="I261" s="35">
        <v>0</v>
      </c>
      <c r="J261" s="35">
        <v>7.41</v>
      </c>
      <c r="K261" s="35">
        <v>102.41</v>
      </c>
    </row>
    <row r="262" spans="2:11" x14ac:dyDescent="0.35">
      <c r="B262" s="31">
        <v>44971</v>
      </c>
      <c r="C262" s="27" t="s">
        <v>232</v>
      </c>
      <c r="D262" s="32">
        <v>8656</v>
      </c>
      <c r="E262" s="28" t="s">
        <v>487</v>
      </c>
      <c r="F262" s="28" t="s">
        <v>476</v>
      </c>
      <c r="G262" s="26">
        <v>1</v>
      </c>
      <c r="H262" s="35">
        <v>50</v>
      </c>
      <c r="I262" s="35">
        <v>0</v>
      </c>
      <c r="J262" s="35">
        <v>3.9</v>
      </c>
      <c r="K262" s="35">
        <v>53.9</v>
      </c>
    </row>
    <row r="263" spans="2:11" x14ac:dyDescent="0.35">
      <c r="B263" s="31">
        <v>44971</v>
      </c>
      <c r="C263" s="27" t="s">
        <v>233</v>
      </c>
      <c r="D263" s="32">
        <v>845</v>
      </c>
      <c r="E263" s="28" t="s">
        <v>482</v>
      </c>
      <c r="F263" s="28" t="s">
        <v>475</v>
      </c>
      <c r="G263" s="26">
        <v>1</v>
      </c>
      <c r="H263" s="35">
        <v>180</v>
      </c>
      <c r="I263" s="35">
        <v>0</v>
      </c>
      <c r="J263" s="35">
        <v>14.04</v>
      </c>
      <c r="K263" s="35">
        <v>194.04</v>
      </c>
    </row>
    <row r="264" spans="2:11" x14ac:dyDescent="0.35">
      <c r="B264" s="31">
        <v>44971</v>
      </c>
      <c r="C264" s="27" t="s">
        <v>234</v>
      </c>
      <c r="D264" s="32">
        <v>4270</v>
      </c>
      <c r="E264" s="28" t="s">
        <v>480</v>
      </c>
      <c r="F264" s="28" t="s">
        <v>474</v>
      </c>
      <c r="G264" s="26">
        <v>1</v>
      </c>
      <c r="H264" s="35">
        <v>0</v>
      </c>
      <c r="I264" s="35">
        <v>0</v>
      </c>
      <c r="J264" s="35">
        <v>0</v>
      </c>
      <c r="K264" s="35">
        <v>0</v>
      </c>
    </row>
    <row r="265" spans="2:11" x14ac:dyDescent="0.35">
      <c r="B265" s="31">
        <v>44971</v>
      </c>
      <c r="C265" s="27" t="s">
        <v>235</v>
      </c>
      <c r="D265" s="32">
        <v>10810</v>
      </c>
      <c r="E265" s="28" t="s">
        <v>496</v>
      </c>
      <c r="F265" s="28" t="s">
        <v>476</v>
      </c>
      <c r="G265" s="26">
        <v>1</v>
      </c>
      <c r="H265" s="35">
        <v>0</v>
      </c>
      <c r="I265" s="35">
        <v>0</v>
      </c>
      <c r="J265" s="35">
        <v>0</v>
      </c>
      <c r="K265" s="35">
        <v>0</v>
      </c>
    </row>
    <row r="266" spans="2:11" x14ac:dyDescent="0.35">
      <c r="B266" s="31">
        <v>44971</v>
      </c>
      <c r="C266" s="27" t="s">
        <v>236</v>
      </c>
      <c r="D266" s="32">
        <v>8533</v>
      </c>
      <c r="E266" s="28" t="s">
        <v>481</v>
      </c>
      <c r="F266" s="28" t="s">
        <v>474</v>
      </c>
      <c r="G266" s="26">
        <v>1</v>
      </c>
      <c r="H266" s="35">
        <v>155</v>
      </c>
      <c r="I266" s="35">
        <v>77.5</v>
      </c>
      <c r="J266" s="35">
        <v>6.05</v>
      </c>
      <c r="K266" s="35">
        <v>83.55</v>
      </c>
    </row>
    <row r="267" spans="2:11" x14ac:dyDescent="0.35">
      <c r="B267" s="31">
        <v>44971</v>
      </c>
      <c r="C267" s="27" t="s">
        <v>237</v>
      </c>
      <c r="D267" s="32">
        <v>9736</v>
      </c>
      <c r="E267" s="28" t="s">
        <v>481</v>
      </c>
      <c r="F267" s="28" t="s">
        <v>475</v>
      </c>
      <c r="G267" s="26">
        <v>1</v>
      </c>
      <c r="H267" s="35">
        <v>155</v>
      </c>
      <c r="I267" s="35">
        <v>23.25</v>
      </c>
      <c r="J267" s="35">
        <v>10.28</v>
      </c>
      <c r="K267" s="35">
        <v>142.03</v>
      </c>
    </row>
    <row r="268" spans="2:11" x14ac:dyDescent="0.35">
      <c r="B268" s="31">
        <v>44971</v>
      </c>
      <c r="C268" s="27" t="s">
        <v>237</v>
      </c>
      <c r="D268" s="32">
        <v>9736</v>
      </c>
      <c r="E268" s="28" t="s">
        <v>493</v>
      </c>
      <c r="F268" s="28" t="s">
        <v>475</v>
      </c>
      <c r="G268" s="26">
        <v>1</v>
      </c>
      <c r="H268" s="35">
        <v>150</v>
      </c>
      <c r="I268" s="35">
        <v>22.5</v>
      </c>
      <c r="J268" s="35">
        <v>9.9499999999999993</v>
      </c>
      <c r="K268" s="35">
        <v>137.44999999999999</v>
      </c>
    </row>
    <row r="269" spans="2:11" x14ac:dyDescent="0.35">
      <c r="B269" s="31">
        <v>44971</v>
      </c>
      <c r="C269" s="27" t="s">
        <v>237</v>
      </c>
      <c r="D269" s="32">
        <v>9736</v>
      </c>
      <c r="E269" s="28" t="s">
        <v>496</v>
      </c>
      <c r="F269" s="28" t="s">
        <v>475</v>
      </c>
      <c r="G269" s="26">
        <v>1</v>
      </c>
      <c r="H269" s="35">
        <v>150</v>
      </c>
      <c r="I269" s="35">
        <v>0</v>
      </c>
      <c r="J269" s="35">
        <v>10.5</v>
      </c>
      <c r="K269" s="35">
        <v>160.5</v>
      </c>
    </row>
    <row r="270" spans="2:11" x14ac:dyDescent="0.35">
      <c r="B270" s="31">
        <v>44972</v>
      </c>
      <c r="C270" s="27" t="s">
        <v>238</v>
      </c>
      <c r="D270" s="32">
        <v>2043</v>
      </c>
      <c r="E270" s="28" t="s">
        <v>480</v>
      </c>
      <c r="F270" s="28" t="s">
        <v>474</v>
      </c>
      <c r="G270" s="26">
        <v>-1</v>
      </c>
      <c r="H270" s="35">
        <v>-75</v>
      </c>
      <c r="I270" s="35">
        <v>0</v>
      </c>
      <c r="J270" s="35">
        <v>0</v>
      </c>
      <c r="K270" s="35">
        <v>-75</v>
      </c>
    </row>
    <row r="271" spans="2:11" x14ac:dyDescent="0.35">
      <c r="B271" s="31">
        <v>44972</v>
      </c>
      <c r="C271" s="27" t="s">
        <v>239</v>
      </c>
      <c r="D271" s="32">
        <v>534</v>
      </c>
      <c r="E271" s="28" t="s">
        <v>480</v>
      </c>
      <c r="F271" s="28" t="s">
        <v>473</v>
      </c>
      <c r="G271" s="26">
        <v>24</v>
      </c>
      <c r="H271" s="35">
        <v>15</v>
      </c>
      <c r="I271" s="35">
        <v>0</v>
      </c>
      <c r="J271" s="35">
        <v>0</v>
      </c>
      <c r="K271" s="35">
        <v>360</v>
      </c>
    </row>
    <row r="272" spans="2:11" x14ac:dyDescent="0.35">
      <c r="B272" s="31">
        <v>44972</v>
      </c>
      <c r="C272" s="27" t="s">
        <v>240</v>
      </c>
      <c r="D272" s="32">
        <v>209</v>
      </c>
      <c r="E272" s="28" t="s">
        <v>480</v>
      </c>
      <c r="F272" s="28" t="s">
        <v>473</v>
      </c>
      <c r="G272" s="26">
        <v>20</v>
      </c>
      <c r="H272" s="35">
        <v>15</v>
      </c>
      <c r="I272" s="35">
        <v>0</v>
      </c>
      <c r="J272" s="35">
        <v>0</v>
      </c>
      <c r="K272" s="35">
        <v>300</v>
      </c>
    </row>
    <row r="273" spans="2:11" x14ac:dyDescent="0.35">
      <c r="B273" s="31">
        <v>44972</v>
      </c>
      <c r="C273" s="27" t="s">
        <v>241</v>
      </c>
      <c r="D273" s="32">
        <v>518</v>
      </c>
      <c r="E273" s="28" t="s">
        <v>485</v>
      </c>
      <c r="F273" s="28" t="s">
        <v>473</v>
      </c>
      <c r="G273" s="26">
        <v>36</v>
      </c>
      <c r="H273" s="35">
        <v>15</v>
      </c>
      <c r="I273" s="35">
        <v>0</v>
      </c>
      <c r="J273" s="35">
        <v>0</v>
      </c>
      <c r="K273" s="35">
        <v>540</v>
      </c>
    </row>
    <row r="274" spans="2:11" x14ac:dyDescent="0.35">
      <c r="B274" s="31">
        <v>44972</v>
      </c>
      <c r="C274" s="27" t="s">
        <v>242</v>
      </c>
      <c r="D274" s="32">
        <v>566</v>
      </c>
      <c r="E274" s="28" t="s">
        <v>497</v>
      </c>
      <c r="F274" s="28" t="s">
        <v>473</v>
      </c>
      <c r="G274" s="26">
        <v>1</v>
      </c>
      <c r="H274" s="35">
        <v>1950</v>
      </c>
      <c r="I274" s="35">
        <v>0</v>
      </c>
      <c r="J274" s="35">
        <v>152.1</v>
      </c>
      <c r="K274" s="35">
        <v>2102.1</v>
      </c>
    </row>
    <row r="275" spans="2:11" x14ac:dyDescent="0.35">
      <c r="B275" s="31">
        <v>44972</v>
      </c>
      <c r="C275" s="27" t="s">
        <v>243</v>
      </c>
      <c r="D275" s="32">
        <v>7478</v>
      </c>
      <c r="E275" s="28" t="s">
        <v>495</v>
      </c>
      <c r="F275" s="28" t="s">
        <v>475</v>
      </c>
      <c r="G275" s="26">
        <v>1</v>
      </c>
      <c r="H275" s="35">
        <v>37</v>
      </c>
      <c r="I275" s="35">
        <v>0</v>
      </c>
      <c r="J275" s="35">
        <v>2.89</v>
      </c>
      <c r="K275" s="35">
        <v>39.89</v>
      </c>
    </row>
    <row r="276" spans="2:11" x14ac:dyDescent="0.35">
      <c r="B276" s="31">
        <v>44972</v>
      </c>
      <c r="C276" s="27" t="s">
        <v>243</v>
      </c>
      <c r="D276" s="32">
        <v>7478</v>
      </c>
      <c r="E276" s="28" t="s">
        <v>495</v>
      </c>
      <c r="F276" s="28" t="s">
        <v>475</v>
      </c>
      <c r="G276" s="26">
        <v>1</v>
      </c>
      <c r="H276" s="35">
        <v>80</v>
      </c>
      <c r="I276" s="35">
        <v>0</v>
      </c>
      <c r="J276" s="35">
        <v>5.6</v>
      </c>
      <c r="K276" s="35">
        <v>85.6</v>
      </c>
    </row>
    <row r="277" spans="2:11" x14ac:dyDescent="0.35">
      <c r="B277" s="31">
        <v>44972</v>
      </c>
      <c r="C277" s="27" t="s">
        <v>244</v>
      </c>
      <c r="D277" s="32">
        <v>15523</v>
      </c>
      <c r="E277" s="28" t="s">
        <v>495</v>
      </c>
      <c r="F277" s="28" t="s">
        <v>475</v>
      </c>
      <c r="G277" s="26">
        <v>1</v>
      </c>
      <c r="H277" s="35">
        <v>80</v>
      </c>
      <c r="I277" s="35">
        <v>0</v>
      </c>
      <c r="J277" s="35">
        <v>5.6</v>
      </c>
      <c r="K277" s="35">
        <v>85.6</v>
      </c>
    </row>
    <row r="278" spans="2:11" x14ac:dyDescent="0.35">
      <c r="B278" s="31">
        <v>44972</v>
      </c>
      <c r="C278" s="27" t="s">
        <v>245</v>
      </c>
      <c r="D278" s="32">
        <v>9736</v>
      </c>
      <c r="E278" s="28" t="s">
        <v>480</v>
      </c>
      <c r="F278" s="28" t="s">
        <v>474</v>
      </c>
      <c r="G278" s="26">
        <v>1</v>
      </c>
      <c r="H278" s="35">
        <v>0</v>
      </c>
      <c r="I278" s="35">
        <v>0</v>
      </c>
      <c r="J278" s="35">
        <v>0</v>
      </c>
      <c r="K278" s="35">
        <v>0</v>
      </c>
    </row>
    <row r="279" spans="2:11" x14ac:dyDescent="0.35">
      <c r="B279" s="31">
        <v>44972</v>
      </c>
      <c r="C279" s="27" t="s">
        <v>246</v>
      </c>
      <c r="D279" s="32">
        <v>4158</v>
      </c>
      <c r="E279" s="28" t="s">
        <v>481</v>
      </c>
      <c r="F279" s="28" t="s">
        <v>473</v>
      </c>
      <c r="G279" s="26">
        <v>1</v>
      </c>
      <c r="H279" s="35">
        <v>3250</v>
      </c>
      <c r="I279" s="35">
        <v>0</v>
      </c>
      <c r="J279" s="35">
        <v>0</v>
      </c>
      <c r="K279" s="35">
        <v>3250</v>
      </c>
    </row>
    <row r="280" spans="2:11" x14ac:dyDescent="0.35">
      <c r="B280" s="31">
        <v>44972</v>
      </c>
      <c r="C280" s="27" t="s">
        <v>247</v>
      </c>
      <c r="D280" s="32">
        <v>775</v>
      </c>
      <c r="E280" s="28" t="s">
        <v>497</v>
      </c>
      <c r="F280" s="28" t="s">
        <v>474</v>
      </c>
      <c r="G280" s="26">
        <v>2</v>
      </c>
      <c r="H280" s="35">
        <v>49</v>
      </c>
      <c r="I280" s="35">
        <v>0</v>
      </c>
      <c r="J280" s="35">
        <v>7.64</v>
      </c>
      <c r="K280" s="35">
        <v>105.64</v>
      </c>
    </row>
    <row r="281" spans="2:11" x14ac:dyDescent="0.35">
      <c r="B281" s="31">
        <v>44972</v>
      </c>
      <c r="C281" s="27" t="s">
        <v>248</v>
      </c>
      <c r="D281" s="32">
        <v>5369</v>
      </c>
      <c r="E281" s="28" t="s">
        <v>490</v>
      </c>
      <c r="F281" s="28" t="s">
        <v>475</v>
      </c>
      <c r="G281" s="26">
        <v>1</v>
      </c>
      <c r="H281" s="35">
        <v>5</v>
      </c>
      <c r="I281" s="35">
        <v>0</v>
      </c>
      <c r="J281" s="35">
        <v>0.35</v>
      </c>
      <c r="K281" s="35">
        <v>5.35</v>
      </c>
    </row>
    <row r="282" spans="2:11" x14ac:dyDescent="0.35">
      <c r="B282" s="31">
        <v>44972</v>
      </c>
      <c r="C282" s="27" t="s">
        <v>248</v>
      </c>
      <c r="D282" s="32">
        <v>5369</v>
      </c>
      <c r="E282" s="28" t="s">
        <v>490</v>
      </c>
      <c r="F282" s="28" t="s">
        <v>475</v>
      </c>
      <c r="G282" s="26">
        <v>1</v>
      </c>
      <c r="H282" s="35">
        <v>5</v>
      </c>
      <c r="I282" s="35">
        <v>0</v>
      </c>
      <c r="J282" s="35">
        <v>0.35</v>
      </c>
      <c r="K282" s="35">
        <v>5.35</v>
      </c>
    </row>
    <row r="283" spans="2:11" x14ac:dyDescent="0.35">
      <c r="B283" s="31">
        <v>44972</v>
      </c>
      <c r="C283" s="27" t="s">
        <v>249</v>
      </c>
      <c r="D283" s="32">
        <v>4158</v>
      </c>
      <c r="E283" s="28" t="s">
        <v>497</v>
      </c>
      <c r="F283" s="28" t="s">
        <v>474</v>
      </c>
      <c r="G283" s="26">
        <v>1</v>
      </c>
      <c r="H283" s="35">
        <v>49</v>
      </c>
      <c r="I283" s="35">
        <v>0</v>
      </c>
      <c r="J283" s="35">
        <v>3.82</v>
      </c>
      <c r="K283" s="35">
        <v>52.82</v>
      </c>
    </row>
    <row r="284" spans="2:11" x14ac:dyDescent="0.35">
      <c r="B284" s="31">
        <v>44972</v>
      </c>
      <c r="C284" s="27" t="s">
        <v>249</v>
      </c>
      <c r="D284" s="32">
        <v>4158</v>
      </c>
      <c r="E284" s="28" t="s">
        <v>497</v>
      </c>
      <c r="F284" s="28" t="s">
        <v>473</v>
      </c>
      <c r="G284" s="26">
        <v>1</v>
      </c>
      <c r="H284" s="35">
        <v>600</v>
      </c>
      <c r="I284" s="35">
        <v>0</v>
      </c>
      <c r="J284" s="35">
        <v>0</v>
      </c>
      <c r="K284" s="35">
        <v>600</v>
      </c>
    </row>
    <row r="285" spans="2:11" x14ac:dyDescent="0.35">
      <c r="B285" s="31">
        <v>44973</v>
      </c>
      <c r="C285" s="27" t="s">
        <v>250</v>
      </c>
      <c r="D285" s="32">
        <v>16791</v>
      </c>
      <c r="E285" s="28" t="s">
        <v>490</v>
      </c>
      <c r="F285" s="28" t="s">
        <v>476</v>
      </c>
      <c r="G285" s="26">
        <v>1</v>
      </c>
      <c r="H285" s="35">
        <v>100</v>
      </c>
      <c r="I285" s="35">
        <v>0</v>
      </c>
      <c r="J285" s="35">
        <v>0</v>
      </c>
      <c r="K285" s="35">
        <v>100</v>
      </c>
    </row>
    <row r="286" spans="2:11" x14ac:dyDescent="0.35">
      <c r="B286" s="31">
        <v>44973</v>
      </c>
      <c r="C286" s="27" t="s">
        <v>251</v>
      </c>
      <c r="D286" s="32">
        <v>13073</v>
      </c>
      <c r="E286" s="28" t="s">
        <v>489</v>
      </c>
      <c r="F286" s="28" t="s">
        <v>474</v>
      </c>
      <c r="G286" s="26">
        <v>1</v>
      </c>
      <c r="H286" s="35">
        <v>106</v>
      </c>
      <c r="I286" s="35">
        <v>53</v>
      </c>
      <c r="J286" s="35">
        <v>4.13</v>
      </c>
      <c r="K286" s="35">
        <v>57.13</v>
      </c>
    </row>
    <row r="287" spans="2:11" x14ac:dyDescent="0.35">
      <c r="B287" s="31">
        <v>44973</v>
      </c>
      <c r="C287" s="27" t="s">
        <v>252</v>
      </c>
      <c r="D287" s="32">
        <v>13073</v>
      </c>
      <c r="E287" s="28" t="s">
        <v>481</v>
      </c>
      <c r="F287" s="28" t="s">
        <v>474</v>
      </c>
      <c r="G287" s="26">
        <v>1</v>
      </c>
      <c r="H287" s="35">
        <v>155</v>
      </c>
      <c r="I287" s="35">
        <v>77.5</v>
      </c>
      <c r="J287" s="35">
        <v>6.05</v>
      </c>
      <c r="K287" s="35">
        <v>83.55</v>
      </c>
    </row>
    <row r="288" spans="2:11" x14ac:dyDescent="0.35">
      <c r="B288" s="31">
        <v>44973</v>
      </c>
      <c r="C288" s="27" t="s">
        <v>252</v>
      </c>
      <c r="D288" s="32">
        <v>13073</v>
      </c>
      <c r="E288" s="28" t="s">
        <v>488</v>
      </c>
      <c r="F288" s="28" t="s">
        <v>474</v>
      </c>
      <c r="G288" s="26">
        <v>1</v>
      </c>
      <c r="H288" s="35">
        <v>100</v>
      </c>
      <c r="I288" s="35">
        <v>50</v>
      </c>
      <c r="J288" s="35">
        <v>3.9</v>
      </c>
      <c r="K288" s="35">
        <v>53.9</v>
      </c>
    </row>
    <row r="289" spans="2:11" x14ac:dyDescent="0.35">
      <c r="B289" s="31">
        <v>44973</v>
      </c>
      <c r="C289" s="27" t="s">
        <v>253</v>
      </c>
      <c r="D289" s="32">
        <v>15417</v>
      </c>
      <c r="E289" s="28" t="s">
        <v>480</v>
      </c>
      <c r="F289" s="28" t="s">
        <v>476</v>
      </c>
      <c r="G289" s="26">
        <v>1</v>
      </c>
      <c r="H289" s="35">
        <v>0</v>
      </c>
      <c r="I289" s="35">
        <v>0</v>
      </c>
      <c r="J289" s="35">
        <v>0</v>
      </c>
      <c r="K289" s="35">
        <v>0</v>
      </c>
    </row>
    <row r="290" spans="2:11" x14ac:dyDescent="0.35">
      <c r="B290" s="31">
        <v>44973</v>
      </c>
      <c r="C290" s="27" t="s">
        <v>254</v>
      </c>
      <c r="D290" s="32">
        <v>16552</v>
      </c>
      <c r="E290" s="28" t="s">
        <v>480</v>
      </c>
      <c r="F290" s="28" t="s">
        <v>474</v>
      </c>
      <c r="G290" s="26">
        <v>1</v>
      </c>
      <c r="H290" s="35">
        <v>75</v>
      </c>
      <c r="I290" s="35">
        <v>0</v>
      </c>
      <c r="J290" s="35">
        <v>0</v>
      </c>
      <c r="K290" s="35">
        <v>75</v>
      </c>
    </row>
    <row r="291" spans="2:11" x14ac:dyDescent="0.35">
      <c r="B291" s="31">
        <v>44974</v>
      </c>
      <c r="C291" s="27" t="s">
        <v>255</v>
      </c>
      <c r="D291" s="32">
        <v>12877</v>
      </c>
      <c r="E291" s="28" t="s">
        <v>490</v>
      </c>
      <c r="F291" s="28" t="s">
        <v>475</v>
      </c>
      <c r="G291" s="26">
        <v>1</v>
      </c>
      <c r="H291" s="35">
        <v>50</v>
      </c>
      <c r="I291" s="35">
        <v>0</v>
      </c>
      <c r="J291" s="35">
        <v>3.5</v>
      </c>
      <c r="K291" s="35">
        <v>53.5</v>
      </c>
    </row>
    <row r="292" spans="2:11" x14ac:dyDescent="0.35">
      <c r="B292" s="31">
        <v>44974</v>
      </c>
      <c r="C292" s="27" t="s">
        <v>255</v>
      </c>
      <c r="D292" s="32">
        <v>12877</v>
      </c>
      <c r="E292" s="28" t="s">
        <v>497</v>
      </c>
      <c r="F292" s="28" t="s">
        <v>475</v>
      </c>
      <c r="G292" s="26">
        <v>1</v>
      </c>
      <c r="H292" s="35">
        <v>125</v>
      </c>
      <c r="I292" s="35">
        <v>0</v>
      </c>
      <c r="J292" s="35">
        <v>8.75</v>
      </c>
      <c r="K292" s="35">
        <v>133.75</v>
      </c>
    </row>
    <row r="293" spans="2:11" x14ac:dyDescent="0.35">
      <c r="B293" s="31">
        <v>44977</v>
      </c>
      <c r="C293" s="27" t="s">
        <v>256</v>
      </c>
      <c r="D293" s="32">
        <v>4118</v>
      </c>
      <c r="E293" s="28" t="s">
        <v>483</v>
      </c>
      <c r="F293" s="28" t="s">
        <v>473</v>
      </c>
      <c r="G293" s="26">
        <v>36</v>
      </c>
      <c r="H293" s="35">
        <v>12</v>
      </c>
      <c r="I293" s="35">
        <v>0</v>
      </c>
      <c r="J293" s="35">
        <v>0</v>
      </c>
      <c r="K293" s="35">
        <v>432</v>
      </c>
    </row>
    <row r="294" spans="2:11" x14ac:dyDescent="0.35">
      <c r="B294" s="31">
        <v>44977</v>
      </c>
      <c r="C294" s="27" t="s">
        <v>257</v>
      </c>
      <c r="D294" s="32">
        <v>704</v>
      </c>
      <c r="E294" s="28" t="s">
        <v>483</v>
      </c>
      <c r="F294" s="28" t="s">
        <v>473</v>
      </c>
      <c r="G294" s="26">
        <v>32</v>
      </c>
      <c r="H294" s="35">
        <v>12</v>
      </c>
      <c r="I294" s="35">
        <v>0</v>
      </c>
      <c r="J294" s="35">
        <v>0</v>
      </c>
      <c r="K294" s="35">
        <v>384</v>
      </c>
    </row>
    <row r="295" spans="2:11" x14ac:dyDescent="0.35">
      <c r="B295" s="31">
        <v>44977</v>
      </c>
      <c r="C295" s="27" t="s">
        <v>258</v>
      </c>
      <c r="D295" s="32">
        <v>881</v>
      </c>
      <c r="E295" s="28" t="s">
        <v>483</v>
      </c>
      <c r="F295" s="28" t="s">
        <v>473</v>
      </c>
      <c r="G295" s="26">
        <v>18</v>
      </c>
      <c r="H295" s="35">
        <v>12</v>
      </c>
      <c r="I295" s="35">
        <v>0</v>
      </c>
      <c r="J295" s="35">
        <v>0</v>
      </c>
      <c r="K295" s="35">
        <v>216</v>
      </c>
    </row>
    <row r="296" spans="2:11" x14ac:dyDescent="0.35">
      <c r="B296" s="31">
        <v>44977</v>
      </c>
      <c r="C296" s="27" t="s">
        <v>259</v>
      </c>
      <c r="D296" s="32">
        <v>10857</v>
      </c>
      <c r="E296" s="28" t="s">
        <v>487</v>
      </c>
      <c r="F296" s="28" t="s">
        <v>473</v>
      </c>
      <c r="G296" s="26">
        <v>40</v>
      </c>
      <c r="H296" s="35">
        <v>12</v>
      </c>
      <c r="I296" s="35">
        <v>0</v>
      </c>
      <c r="J296" s="35">
        <v>0</v>
      </c>
      <c r="K296" s="35">
        <v>480</v>
      </c>
    </row>
    <row r="297" spans="2:11" x14ac:dyDescent="0.35">
      <c r="B297" s="31">
        <v>44977</v>
      </c>
      <c r="C297" s="27" t="s">
        <v>260</v>
      </c>
      <c r="D297" s="32">
        <v>98</v>
      </c>
      <c r="E297" s="28" t="s">
        <v>483</v>
      </c>
      <c r="F297" s="28" t="s">
        <v>473</v>
      </c>
      <c r="G297" s="26">
        <v>27</v>
      </c>
      <c r="H297" s="35">
        <v>12</v>
      </c>
      <c r="I297" s="35">
        <v>0</v>
      </c>
      <c r="J297" s="35">
        <v>0</v>
      </c>
      <c r="K297" s="35">
        <v>324</v>
      </c>
    </row>
    <row r="298" spans="2:11" x14ac:dyDescent="0.35">
      <c r="B298" s="31">
        <v>44977</v>
      </c>
      <c r="C298" s="27" t="s">
        <v>261</v>
      </c>
      <c r="D298" s="32">
        <v>289</v>
      </c>
      <c r="E298" s="28" t="s">
        <v>483</v>
      </c>
      <c r="F298" s="28" t="s">
        <v>473</v>
      </c>
      <c r="G298" s="26">
        <v>16</v>
      </c>
      <c r="H298" s="35">
        <v>12</v>
      </c>
      <c r="I298" s="35">
        <v>0</v>
      </c>
      <c r="J298" s="35">
        <v>0</v>
      </c>
      <c r="K298" s="35">
        <v>192</v>
      </c>
    </row>
    <row r="299" spans="2:11" x14ac:dyDescent="0.35">
      <c r="B299" s="31">
        <v>44977</v>
      </c>
      <c r="C299" s="27" t="s">
        <v>262</v>
      </c>
      <c r="D299" s="32">
        <v>4199</v>
      </c>
      <c r="E299" s="28" t="s">
        <v>483</v>
      </c>
      <c r="F299" s="28" t="s">
        <v>473</v>
      </c>
      <c r="G299" s="26">
        <v>42</v>
      </c>
      <c r="H299" s="35">
        <v>12</v>
      </c>
      <c r="I299" s="35">
        <v>0</v>
      </c>
      <c r="J299" s="35">
        <v>0</v>
      </c>
      <c r="K299" s="35">
        <v>504</v>
      </c>
    </row>
    <row r="300" spans="2:11" x14ac:dyDescent="0.35">
      <c r="B300" s="31">
        <v>44977</v>
      </c>
      <c r="C300" s="27" t="s">
        <v>263</v>
      </c>
      <c r="D300" s="32">
        <v>8664</v>
      </c>
      <c r="E300" s="28" t="s">
        <v>483</v>
      </c>
      <c r="F300" s="28" t="s">
        <v>473</v>
      </c>
      <c r="G300" s="26">
        <v>34</v>
      </c>
      <c r="H300" s="35">
        <v>12</v>
      </c>
      <c r="I300" s="35">
        <v>0</v>
      </c>
      <c r="J300" s="35">
        <v>0</v>
      </c>
      <c r="K300" s="35">
        <v>408</v>
      </c>
    </row>
    <row r="301" spans="2:11" x14ac:dyDescent="0.35">
      <c r="B301" s="31">
        <v>44977</v>
      </c>
      <c r="C301" s="27" t="s">
        <v>264</v>
      </c>
      <c r="D301" s="32">
        <v>18088</v>
      </c>
      <c r="E301" s="28" t="s">
        <v>483</v>
      </c>
      <c r="F301" s="28" t="s">
        <v>473</v>
      </c>
      <c r="G301" s="26">
        <v>18</v>
      </c>
      <c r="H301" s="35">
        <v>12</v>
      </c>
      <c r="I301" s="35">
        <v>0</v>
      </c>
      <c r="J301" s="35">
        <v>0</v>
      </c>
      <c r="K301" s="35">
        <v>216</v>
      </c>
    </row>
    <row r="302" spans="2:11" x14ac:dyDescent="0.35">
      <c r="B302" s="31">
        <v>44977</v>
      </c>
      <c r="C302" s="27" t="s">
        <v>265</v>
      </c>
      <c r="D302" s="32">
        <v>6418</v>
      </c>
      <c r="E302" s="28" t="s">
        <v>483</v>
      </c>
      <c r="F302" s="28" t="s">
        <v>473</v>
      </c>
      <c r="G302" s="26">
        <v>40</v>
      </c>
      <c r="H302" s="35">
        <v>12</v>
      </c>
      <c r="I302" s="35">
        <v>0</v>
      </c>
      <c r="J302" s="35">
        <v>0</v>
      </c>
      <c r="K302" s="35">
        <v>480</v>
      </c>
    </row>
    <row r="303" spans="2:11" x14ac:dyDescent="0.35">
      <c r="B303" s="31">
        <v>44977</v>
      </c>
      <c r="C303" s="27" t="s">
        <v>266</v>
      </c>
      <c r="D303" s="32">
        <v>16747</v>
      </c>
      <c r="E303" s="28" t="s">
        <v>483</v>
      </c>
      <c r="F303" s="28" t="s">
        <v>473</v>
      </c>
      <c r="G303" s="26">
        <v>46</v>
      </c>
      <c r="H303" s="35">
        <v>12</v>
      </c>
      <c r="I303" s="35">
        <v>0</v>
      </c>
      <c r="J303" s="35">
        <v>0</v>
      </c>
      <c r="K303" s="35">
        <v>552</v>
      </c>
    </row>
    <row r="304" spans="2:11" x14ac:dyDescent="0.35">
      <c r="B304" s="31">
        <v>44977</v>
      </c>
      <c r="C304" s="27" t="s">
        <v>267</v>
      </c>
      <c r="D304" s="32">
        <v>80</v>
      </c>
      <c r="E304" s="28" t="s">
        <v>487</v>
      </c>
      <c r="F304" s="28" t="s">
        <v>473</v>
      </c>
      <c r="G304" s="26">
        <v>36</v>
      </c>
      <c r="H304" s="35">
        <v>12</v>
      </c>
      <c r="I304" s="35">
        <v>0</v>
      </c>
      <c r="J304" s="35">
        <v>0</v>
      </c>
      <c r="K304" s="35">
        <v>432</v>
      </c>
    </row>
    <row r="305" spans="2:11" x14ac:dyDescent="0.35">
      <c r="B305" s="31">
        <v>44977</v>
      </c>
      <c r="C305" s="27" t="s">
        <v>268</v>
      </c>
      <c r="D305" s="32">
        <v>8618</v>
      </c>
      <c r="E305" s="28" t="s">
        <v>498</v>
      </c>
      <c r="F305" s="28" t="s">
        <v>473</v>
      </c>
      <c r="G305" s="26">
        <v>1</v>
      </c>
      <c r="H305" s="35">
        <v>20</v>
      </c>
      <c r="I305" s="35">
        <v>0</v>
      </c>
      <c r="J305" s="35">
        <v>0</v>
      </c>
      <c r="K305" s="35">
        <v>20</v>
      </c>
    </row>
    <row r="306" spans="2:11" x14ac:dyDescent="0.35">
      <c r="B306" s="31">
        <v>44977</v>
      </c>
      <c r="C306" s="27" t="s">
        <v>268</v>
      </c>
      <c r="D306" s="32">
        <v>8618</v>
      </c>
      <c r="E306" s="28" t="s">
        <v>485</v>
      </c>
      <c r="F306" s="28" t="s">
        <v>473</v>
      </c>
      <c r="G306" s="26">
        <v>30</v>
      </c>
      <c r="H306" s="35">
        <v>15</v>
      </c>
      <c r="I306" s="35">
        <v>0</v>
      </c>
      <c r="J306" s="35">
        <v>0</v>
      </c>
      <c r="K306" s="35">
        <v>450</v>
      </c>
    </row>
    <row r="307" spans="2:11" x14ac:dyDescent="0.35">
      <c r="B307" s="31">
        <v>44978</v>
      </c>
      <c r="C307" s="27" t="s">
        <v>269</v>
      </c>
      <c r="D307" s="32">
        <v>72</v>
      </c>
      <c r="E307" s="28" t="s">
        <v>483</v>
      </c>
      <c r="F307" s="28" t="s">
        <v>476</v>
      </c>
      <c r="G307" s="26">
        <v>12</v>
      </c>
      <c r="H307" s="35">
        <v>12</v>
      </c>
      <c r="I307" s="35">
        <v>0</v>
      </c>
      <c r="J307" s="35">
        <v>0</v>
      </c>
      <c r="K307" s="35">
        <v>144</v>
      </c>
    </row>
    <row r="308" spans="2:11" x14ac:dyDescent="0.35">
      <c r="B308" s="31">
        <v>44978</v>
      </c>
      <c r="C308" s="27" t="s">
        <v>270</v>
      </c>
      <c r="D308" s="32">
        <v>5356</v>
      </c>
      <c r="E308" s="28" t="s">
        <v>483</v>
      </c>
      <c r="F308" s="28" t="s">
        <v>476</v>
      </c>
      <c r="G308" s="26">
        <v>56</v>
      </c>
      <c r="H308" s="35">
        <v>12</v>
      </c>
      <c r="I308" s="35">
        <v>0</v>
      </c>
      <c r="J308" s="35">
        <v>0</v>
      </c>
      <c r="K308" s="35">
        <v>672</v>
      </c>
    </row>
    <row r="309" spans="2:11" x14ac:dyDescent="0.35">
      <c r="B309" s="31">
        <v>44978</v>
      </c>
      <c r="C309" s="27" t="s">
        <v>271</v>
      </c>
      <c r="D309" s="32">
        <v>10826</v>
      </c>
      <c r="E309" s="28" t="s">
        <v>483</v>
      </c>
      <c r="F309" s="28" t="s">
        <v>476</v>
      </c>
      <c r="G309" s="26">
        <v>24</v>
      </c>
      <c r="H309" s="35">
        <v>12</v>
      </c>
      <c r="I309" s="35">
        <v>0</v>
      </c>
      <c r="J309" s="35">
        <v>0</v>
      </c>
      <c r="K309" s="35">
        <v>288</v>
      </c>
    </row>
    <row r="310" spans="2:11" x14ac:dyDescent="0.35">
      <c r="B310" s="31">
        <v>44978</v>
      </c>
      <c r="C310" s="27" t="s">
        <v>272</v>
      </c>
      <c r="D310" s="32">
        <v>4158</v>
      </c>
      <c r="E310" s="28" t="s">
        <v>480</v>
      </c>
      <c r="F310" s="28" t="s">
        <v>474</v>
      </c>
      <c r="G310" s="26">
        <v>1</v>
      </c>
      <c r="H310" s="35">
        <v>0</v>
      </c>
      <c r="I310" s="35">
        <v>0</v>
      </c>
      <c r="J310" s="35">
        <v>0</v>
      </c>
      <c r="K310" s="35">
        <v>0</v>
      </c>
    </row>
    <row r="311" spans="2:11" x14ac:dyDescent="0.35">
      <c r="B311" s="31">
        <v>44978</v>
      </c>
      <c r="C311" s="27" t="s">
        <v>273</v>
      </c>
      <c r="D311" s="32">
        <v>5323</v>
      </c>
      <c r="E311" s="28" t="s">
        <v>481</v>
      </c>
      <c r="F311" s="28" t="s">
        <v>474</v>
      </c>
      <c r="G311" s="26">
        <v>2</v>
      </c>
      <c r="H311" s="35">
        <v>47</v>
      </c>
      <c r="I311" s="35">
        <v>47</v>
      </c>
      <c r="J311" s="35">
        <v>3.67</v>
      </c>
      <c r="K311" s="35">
        <v>50.67</v>
      </c>
    </row>
    <row r="312" spans="2:11" x14ac:dyDescent="0.35">
      <c r="B312" s="31">
        <v>44979</v>
      </c>
      <c r="C312" s="27" t="s">
        <v>274</v>
      </c>
      <c r="D312" s="32">
        <v>10808</v>
      </c>
      <c r="E312" s="28" t="s">
        <v>496</v>
      </c>
      <c r="F312" s="28" t="s">
        <v>473</v>
      </c>
      <c r="G312" s="26">
        <v>1</v>
      </c>
      <c r="H312" s="35">
        <v>150</v>
      </c>
      <c r="I312" s="35">
        <v>0</v>
      </c>
      <c r="J312" s="35">
        <v>11.7</v>
      </c>
      <c r="K312" s="35">
        <v>161.69999999999999</v>
      </c>
    </row>
    <row r="313" spans="2:11" x14ac:dyDescent="0.35">
      <c r="B313" s="31">
        <v>44979</v>
      </c>
      <c r="C313" s="27" t="s">
        <v>275</v>
      </c>
      <c r="D313" s="32">
        <v>3067</v>
      </c>
      <c r="E313" s="28" t="s">
        <v>480</v>
      </c>
      <c r="F313" s="28" t="s">
        <v>473</v>
      </c>
      <c r="G313" s="26">
        <v>30</v>
      </c>
      <c r="H313" s="35">
        <v>12</v>
      </c>
      <c r="I313" s="35">
        <v>0</v>
      </c>
      <c r="J313" s="35">
        <v>0</v>
      </c>
      <c r="K313" s="35">
        <v>360</v>
      </c>
    </row>
    <row r="314" spans="2:11" x14ac:dyDescent="0.35">
      <c r="B314" s="31">
        <v>44979</v>
      </c>
      <c r="C314" s="27" t="s">
        <v>276</v>
      </c>
      <c r="D314" s="32">
        <v>13320</v>
      </c>
      <c r="E314" s="28" t="s">
        <v>491</v>
      </c>
      <c r="F314" s="28" t="s">
        <v>475</v>
      </c>
      <c r="G314" s="26">
        <v>1</v>
      </c>
      <c r="H314" s="35">
        <v>15</v>
      </c>
      <c r="I314" s="35">
        <v>0</v>
      </c>
      <c r="J314" s="35">
        <v>1.17</v>
      </c>
      <c r="K314" s="35">
        <v>16.170000000000002</v>
      </c>
    </row>
    <row r="315" spans="2:11" x14ac:dyDescent="0.35">
      <c r="B315" s="31">
        <v>44979</v>
      </c>
      <c r="C315" s="27" t="s">
        <v>276</v>
      </c>
      <c r="D315" s="32">
        <v>13320</v>
      </c>
      <c r="E315" s="28" t="s">
        <v>482</v>
      </c>
      <c r="F315" s="28" t="s">
        <v>475</v>
      </c>
      <c r="G315" s="26">
        <v>1</v>
      </c>
      <c r="H315" s="35">
        <v>180</v>
      </c>
      <c r="I315" s="35">
        <v>0</v>
      </c>
      <c r="J315" s="35">
        <v>14.04</v>
      </c>
      <c r="K315" s="35">
        <v>194.04</v>
      </c>
    </row>
    <row r="316" spans="2:11" x14ac:dyDescent="0.35">
      <c r="B316" s="31">
        <v>44979</v>
      </c>
      <c r="C316" s="27" t="s">
        <v>276</v>
      </c>
      <c r="D316" s="32">
        <v>13320</v>
      </c>
      <c r="E316" s="28" t="s">
        <v>498</v>
      </c>
      <c r="F316" s="28" t="s">
        <v>475</v>
      </c>
      <c r="G316" s="26">
        <v>1</v>
      </c>
      <c r="H316" s="35">
        <v>64</v>
      </c>
      <c r="I316" s="35">
        <v>0</v>
      </c>
      <c r="J316" s="35">
        <v>4.99</v>
      </c>
      <c r="K316" s="35">
        <v>68.989999999999995</v>
      </c>
    </row>
    <row r="317" spans="2:11" x14ac:dyDescent="0.35">
      <c r="B317" s="31">
        <v>44979</v>
      </c>
      <c r="C317" s="27" t="s">
        <v>277</v>
      </c>
      <c r="D317" s="32">
        <v>16787</v>
      </c>
      <c r="E317" s="28" t="s">
        <v>483</v>
      </c>
      <c r="F317" s="28" t="s">
        <v>473</v>
      </c>
      <c r="G317" s="26">
        <v>1</v>
      </c>
      <c r="H317" s="35">
        <v>1000</v>
      </c>
      <c r="I317" s="35">
        <v>0</v>
      </c>
      <c r="J317" s="35">
        <v>0</v>
      </c>
      <c r="K317" s="35">
        <v>1000</v>
      </c>
    </row>
    <row r="318" spans="2:11" x14ac:dyDescent="0.35">
      <c r="B318" s="31">
        <v>44979</v>
      </c>
      <c r="C318" s="27" t="s">
        <v>278</v>
      </c>
      <c r="D318" s="32">
        <v>4297</v>
      </c>
      <c r="E318" s="28" t="s">
        <v>484</v>
      </c>
      <c r="F318" s="28" t="s">
        <v>475</v>
      </c>
      <c r="G318" s="26">
        <v>1</v>
      </c>
      <c r="H318" s="35">
        <v>1750</v>
      </c>
      <c r="I318" s="35">
        <v>0</v>
      </c>
      <c r="J318" s="35">
        <v>122.5</v>
      </c>
      <c r="K318" s="35">
        <v>1872.5</v>
      </c>
    </row>
    <row r="319" spans="2:11" x14ac:dyDescent="0.35">
      <c r="B319" s="31">
        <v>44979</v>
      </c>
      <c r="C319" s="27" t="s">
        <v>279</v>
      </c>
      <c r="D319" s="32">
        <v>4270</v>
      </c>
      <c r="E319" s="28" t="s">
        <v>490</v>
      </c>
      <c r="F319" s="28" t="s">
        <v>475</v>
      </c>
      <c r="G319" s="26">
        <v>1</v>
      </c>
      <c r="H319" s="35">
        <v>50</v>
      </c>
      <c r="I319" s="35">
        <v>0</v>
      </c>
      <c r="J319" s="35">
        <v>3.5</v>
      </c>
      <c r="K319" s="35">
        <v>53.5</v>
      </c>
    </row>
    <row r="320" spans="2:11" x14ac:dyDescent="0.35">
      <c r="B320" s="31">
        <v>44979</v>
      </c>
      <c r="C320" s="27" t="s">
        <v>279</v>
      </c>
      <c r="D320" s="32">
        <v>4270</v>
      </c>
      <c r="E320" s="28" t="s">
        <v>490</v>
      </c>
      <c r="F320" s="28" t="s">
        <v>475</v>
      </c>
      <c r="G320" s="26">
        <v>1</v>
      </c>
      <c r="H320" s="35">
        <v>35</v>
      </c>
      <c r="I320" s="35">
        <v>0</v>
      </c>
      <c r="J320" s="35">
        <v>2.4500000000000002</v>
      </c>
      <c r="K320" s="35">
        <v>37.450000000000003</v>
      </c>
    </row>
    <row r="321" spans="2:11" x14ac:dyDescent="0.35">
      <c r="B321" s="31">
        <v>44979</v>
      </c>
      <c r="C321" s="27" t="s">
        <v>279</v>
      </c>
      <c r="D321" s="32">
        <v>4270</v>
      </c>
      <c r="E321" s="28" t="s">
        <v>485</v>
      </c>
      <c r="F321" s="28" t="s">
        <v>475</v>
      </c>
      <c r="G321" s="26">
        <v>1</v>
      </c>
      <c r="H321" s="35">
        <v>169</v>
      </c>
      <c r="I321" s="35">
        <v>0</v>
      </c>
      <c r="J321" s="35">
        <v>13.18</v>
      </c>
      <c r="K321" s="35">
        <v>182.18</v>
      </c>
    </row>
    <row r="322" spans="2:11" x14ac:dyDescent="0.35">
      <c r="B322" s="31">
        <v>44979</v>
      </c>
      <c r="C322" s="27" t="s">
        <v>279</v>
      </c>
      <c r="D322" s="32">
        <v>4270</v>
      </c>
      <c r="E322" s="28" t="s">
        <v>489</v>
      </c>
      <c r="F322" s="28" t="s">
        <v>475</v>
      </c>
      <c r="G322" s="26">
        <v>1</v>
      </c>
      <c r="H322" s="35">
        <v>106</v>
      </c>
      <c r="I322" s="35">
        <v>0</v>
      </c>
      <c r="J322" s="35">
        <v>8.27</v>
      </c>
      <c r="K322" s="35">
        <v>114.27</v>
      </c>
    </row>
    <row r="323" spans="2:11" x14ac:dyDescent="0.35">
      <c r="B323" s="31">
        <v>44979</v>
      </c>
      <c r="C323" s="27" t="s">
        <v>280</v>
      </c>
      <c r="D323" s="32">
        <v>16787</v>
      </c>
      <c r="E323" s="28" t="s">
        <v>493</v>
      </c>
      <c r="F323" s="28" t="s">
        <v>473</v>
      </c>
      <c r="G323" s="26">
        <v>1</v>
      </c>
      <c r="H323" s="35">
        <v>150</v>
      </c>
      <c r="I323" s="35">
        <v>0</v>
      </c>
      <c r="J323" s="35">
        <v>11.7</v>
      </c>
      <c r="K323" s="35">
        <v>161.69999999999999</v>
      </c>
    </row>
    <row r="324" spans="2:11" x14ac:dyDescent="0.35">
      <c r="B324" s="31">
        <v>44979</v>
      </c>
      <c r="C324" s="27" t="s">
        <v>281</v>
      </c>
      <c r="D324" s="32">
        <v>16832</v>
      </c>
      <c r="E324" s="28" t="s">
        <v>498</v>
      </c>
      <c r="F324" s="28" t="s">
        <v>474</v>
      </c>
      <c r="G324" s="26">
        <v>1</v>
      </c>
      <c r="H324" s="35">
        <v>135</v>
      </c>
      <c r="I324" s="35">
        <v>0</v>
      </c>
      <c r="J324" s="35">
        <v>10.53</v>
      </c>
      <c r="K324" s="35">
        <v>145.53</v>
      </c>
    </row>
    <row r="325" spans="2:11" x14ac:dyDescent="0.35">
      <c r="B325" s="31">
        <v>44980</v>
      </c>
      <c r="C325" s="27" t="s">
        <v>282</v>
      </c>
      <c r="D325" s="32">
        <v>8715</v>
      </c>
      <c r="E325" s="28" t="s">
        <v>485</v>
      </c>
      <c r="F325" s="28" t="s">
        <v>475</v>
      </c>
      <c r="G325" s="26">
        <v>1</v>
      </c>
      <c r="H325" s="35">
        <v>169</v>
      </c>
      <c r="I325" s="35">
        <v>0</v>
      </c>
      <c r="J325" s="35">
        <v>13.18</v>
      </c>
      <c r="K325" s="35">
        <v>182.18</v>
      </c>
    </row>
    <row r="326" spans="2:11" x14ac:dyDescent="0.35">
      <c r="B326" s="31">
        <v>44980</v>
      </c>
      <c r="C326" s="27" t="s">
        <v>282</v>
      </c>
      <c r="D326" s="32">
        <v>8715</v>
      </c>
      <c r="E326" s="28" t="s">
        <v>491</v>
      </c>
      <c r="F326" s="28" t="s">
        <v>475</v>
      </c>
      <c r="G326" s="26">
        <v>1</v>
      </c>
      <c r="H326" s="35">
        <v>350</v>
      </c>
      <c r="I326" s="35">
        <v>0</v>
      </c>
      <c r="J326" s="35">
        <v>24.5</v>
      </c>
      <c r="K326" s="35">
        <v>374.5</v>
      </c>
    </row>
    <row r="327" spans="2:11" x14ac:dyDescent="0.35">
      <c r="B327" s="31">
        <v>44980</v>
      </c>
      <c r="C327" s="27" t="s">
        <v>283</v>
      </c>
      <c r="D327" s="32">
        <v>15446</v>
      </c>
      <c r="E327" s="28" t="s">
        <v>493</v>
      </c>
      <c r="F327" s="28" t="s">
        <v>476</v>
      </c>
      <c r="G327" s="26">
        <v>1</v>
      </c>
      <c r="H327" s="35">
        <v>350</v>
      </c>
      <c r="I327" s="35">
        <v>0</v>
      </c>
      <c r="J327" s="35">
        <v>0</v>
      </c>
      <c r="K327" s="35">
        <v>350</v>
      </c>
    </row>
    <row r="328" spans="2:11" x14ac:dyDescent="0.35">
      <c r="B328" s="31">
        <v>44980</v>
      </c>
      <c r="C328" s="27" t="s">
        <v>283</v>
      </c>
      <c r="D328" s="32">
        <v>15446</v>
      </c>
      <c r="E328" s="28" t="s">
        <v>498</v>
      </c>
      <c r="F328" s="28" t="s">
        <v>476</v>
      </c>
      <c r="G328" s="26">
        <v>1</v>
      </c>
      <c r="H328" s="35">
        <v>70</v>
      </c>
      <c r="I328" s="35">
        <v>0</v>
      </c>
      <c r="J328" s="35">
        <v>5.46</v>
      </c>
      <c r="K328" s="35">
        <v>75.459999999999994</v>
      </c>
    </row>
    <row r="329" spans="2:11" x14ac:dyDescent="0.35">
      <c r="B329" s="31">
        <v>44980</v>
      </c>
      <c r="C329" s="27" t="s">
        <v>284</v>
      </c>
      <c r="D329" s="32">
        <v>7486</v>
      </c>
      <c r="E329" s="28" t="s">
        <v>480</v>
      </c>
      <c r="F329" s="28" t="s">
        <v>476</v>
      </c>
      <c r="G329" s="26">
        <v>24</v>
      </c>
      <c r="H329" s="35">
        <v>15</v>
      </c>
      <c r="I329" s="35">
        <v>0</v>
      </c>
      <c r="J329" s="35">
        <v>0</v>
      </c>
      <c r="K329" s="35">
        <v>360</v>
      </c>
    </row>
    <row r="330" spans="2:11" x14ac:dyDescent="0.35">
      <c r="B330" s="31">
        <v>44980</v>
      </c>
      <c r="C330" s="27" t="s">
        <v>285</v>
      </c>
      <c r="D330" s="32">
        <v>173</v>
      </c>
      <c r="E330" s="28" t="s">
        <v>480</v>
      </c>
      <c r="F330" s="28" t="s">
        <v>475</v>
      </c>
      <c r="G330" s="26">
        <v>1</v>
      </c>
      <c r="H330" s="35">
        <v>0</v>
      </c>
      <c r="I330" s="35">
        <v>0</v>
      </c>
      <c r="J330" s="35">
        <v>0</v>
      </c>
      <c r="K330" s="35">
        <v>0</v>
      </c>
    </row>
    <row r="331" spans="2:11" x14ac:dyDescent="0.35">
      <c r="B331" s="31">
        <v>44980</v>
      </c>
      <c r="C331" s="27" t="s">
        <v>285</v>
      </c>
      <c r="D331" s="32">
        <v>173</v>
      </c>
      <c r="E331" s="28" t="s">
        <v>491</v>
      </c>
      <c r="F331" s="28" t="s">
        <v>475</v>
      </c>
      <c r="G331" s="26">
        <v>1</v>
      </c>
      <c r="H331" s="35">
        <v>110</v>
      </c>
      <c r="I331" s="35">
        <v>0</v>
      </c>
      <c r="J331" s="35">
        <v>8.58</v>
      </c>
      <c r="K331" s="35">
        <v>118.58</v>
      </c>
    </row>
    <row r="332" spans="2:11" x14ac:dyDescent="0.35">
      <c r="B332" s="31">
        <v>44980</v>
      </c>
      <c r="C332" s="27" t="s">
        <v>285</v>
      </c>
      <c r="D332" s="32">
        <v>173</v>
      </c>
      <c r="E332" s="28" t="s">
        <v>493</v>
      </c>
      <c r="F332" s="28" t="s">
        <v>475</v>
      </c>
      <c r="G332" s="26">
        <v>1</v>
      </c>
      <c r="H332" s="35">
        <v>0</v>
      </c>
      <c r="I332" s="35">
        <v>0</v>
      </c>
      <c r="J332" s="35">
        <v>0</v>
      </c>
      <c r="K332" s="35">
        <v>0</v>
      </c>
    </row>
    <row r="333" spans="2:11" x14ac:dyDescent="0.35">
      <c r="B333" s="31">
        <v>44980</v>
      </c>
      <c r="C333" s="27" t="s">
        <v>286</v>
      </c>
      <c r="D333" s="32">
        <v>16808</v>
      </c>
      <c r="E333" s="28" t="s">
        <v>496</v>
      </c>
      <c r="F333" s="28" t="s">
        <v>476</v>
      </c>
      <c r="G333" s="26">
        <v>1</v>
      </c>
      <c r="H333" s="35">
        <v>0</v>
      </c>
      <c r="I333" s="35">
        <v>0</v>
      </c>
      <c r="J333" s="35">
        <v>0</v>
      </c>
      <c r="K333" s="35">
        <v>0</v>
      </c>
    </row>
    <row r="334" spans="2:11" x14ac:dyDescent="0.35">
      <c r="B334" s="31">
        <v>44980</v>
      </c>
      <c r="C334" s="27" t="s">
        <v>287</v>
      </c>
      <c r="D334" s="32">
        <v>16818</v>
      </c>
      <c r="E334" s="28" t="s">
        <v>496</v>
      </c>
      <c r="F334" s="28" t="s">
        <v>475</v>
      </c>
      <c r="G334" s="26">
        <v>1</v>
      </c>
      <c r="H334" s="35">
        <v>0</v>
      </c>
      <c r="I334" s="35">
        <v>0</v>
      </c>
      <c r="J334" s="35">
        <v>0</v>
      </c>
      <c r="K334" s="35">
        <v>0</v>
      </c>
    </row>
    <row r="335" spans="2:11" x14ac:dyDescent="0.35">
      <c r="B335" s="31">
        <v>44980</v>
      </c>
      <c r="C335" s="27" t="s">
        <v>288</v>
      </c>
      <c r="D335" s="32">
        <v>4274</v>
      </c>
      <c r="E335" s="28" t="s">
        <v>480</v>
      </c>
      <c r="F335" s="28" t="s">
        <v>476</v>
      </c>
      <c r="G335" s="26">
        <v>26</v>
      </c>
      <c r="H335" s="35">
        <v>15</v>
      </c>
      <c r="I335" s="35">
        <v>0</v>
      </c>
      <c r="J335" s="35">
        <v>0</v>
      </c>
      <c r="K335" s="35">
        <v>390</v>
      </c>
    </row>
    <row r="336" spans="2:11" x14ac:dyDescent="0.35">
      <c r="B336" s="31">
        <v>44980</v>
      </c>
      <c r="C336" s="27" t="s">
        <v>289</v>
      </c>
      <c r="D336" s="32">
        <v>16834</v>
      </c>
      <c r="E336" s="28" t="s">
        <v>498</v>
      </c>
      <c r="F336" s="28" t="s">
        <v>477</v>
      </c>
      <c r="G336" s="26">
        <v>1</v>
      </c>
      <c r="H336" s="35">
        <v>36</v>
      </c>
      <c r="I336" s="35">
        <v>0</v>
      </c>
      <c r="J336" s="35">
        <v>2.81</v>
      </c>
      <c r="K336" s="35">
        <v>38.81</v>
      </c>
    </row>
    <row r="337" spans="2:11" x14ac:dyDescent="0.35">
      <c r="B337" s="31">
        <v>44980</v>
      </c>
      <c r="C337" s="27" t="s">
        <v>290</v>
      </c>
      <c r="D337" s="32">
        <v>5369</v>
      </c>
      <c r="E337" s="28" t="s">
        <v>481</v>
      </c>
      <c r="F337" s="28" t="s">
        <v>474</v>
      </c>
      <c r="G337" s="26">
        <v>1</v>
      </c>
      <c r="H337" s="35">
        <v>160</v>
      </c>
      <c r="I337" s="35">
        <v>80</v>
      </c>
      <c r="J337" s="35">
        <v>6.24</v>
      </c>
      <c r="K337" s="35">
        <v>86.24</v>
      </c>
    </row>
    <row r="338" spans="2:11" x14ac:dyDescent="0.35">
      <c r="B338" s="31">
        <v>44980</v>
      </c>
      <c r="C338" s="27" t="s">
        <v>291</v>
      </c>
      <c r="D338" s="32">
        <v>4278</v>
      </c>
      <c r="E338" s="28" t="s">
        <v>485</v>
      </c>
      <c r="F338" s="28" t="s">
        <v>474</v>
      </c>
      <c r="G338" s="26">
        <v>1</v>
      </c>
      <c r="H338" s="35">
        <v>169</v>
      </c>
      <c r="I338" s="35">
        <v>84.5</v>
      </c>
      <c r="J338" s="35">
        <v>6.59</v>
      </c>
      <c r="K338" s="35">
        <v>91.09</v>
      </c>
    </row>
    <row r="339" spans="2:11" x14ac:dyDescent="0.35">
      <c r="B339" s="31">
        <v>44981</v>
      </c>
      <c r="C339" s="27" t="s">
        <v>292</v>
      </c>
      <c r="D339" s="32">
        <v>13338</v>
      </c>
      <c r="E339" s="28" t="s">
        <v>499</v>
      </c>
      <c r="F339" s="28" t="s">
        <v>476</v>
      </c>
      <c r="G339" s="26">
        <v>1</v>
      </c>
      <c r="H339" s="35">
        <v>0</v>
      </c>
      <c r="I339" s="35">
        <v>0</v>
      </c>
      <c r="J339" s="35">
        <v>0</v>
      </c>
      <c r="K339" s="35">
        <v>0</v>
      </c>
    </row>
    <row r="340" spans="2:11" x14ac:dyDescent="0.35">
      <c r="B340" s="31">
        <v>44981</v>
      </c>
      <c r="C340" s="27" t="s">
        <v>293</v>
      </c>
      <c r="D340" s="32">
        <v>16736</v>
      </c>
      <c r="E340" s="28" t="s">
        <v>499</v>
      </c>
      <c r="F340" s="28" t="s">
        <v>476</v>
      </c>
      <c r="G340" s="26">
        <v>1</v>
      </c>
      <c r="H340" s="35">
        <v>100</v>
      </c>
      <c r="I340" s="35">
        <v>0</v>
      </c>
      <c r="J340" s="35">
        <v>0</v>
      </c>
      <c r="K340" s="35">
        <v>100</v>
      </c>
    </row>
    <row r="341" spans="2:11" x14ac:dyDescent="0.35">
      <c r="B341" s="31">
        <v>44981</v>
      </c>
      <c r="C341" s="27" t="s">
        <v>294</v>
      </c>
      <c r="D341" s="32">
        <v>16779</v>
      </c>
      <c r="E341" s="28" t="s">
        <v>482</v>
      </c>
      <c r="F341" s="28" t="s">
        <v>476</v>
      </c>
      <c r="G341" s="26">
        <v>1</v>
      </c>
      <c r="H341" s="35">
        <v>180</v>
      </c>
      <c r="I341" s="35">
        <v>0</v>
      </c>
      <c r="J341" s="35">
        <v>14.04</v>
      </c>
      <c r="K341" s="35">
        <v>194.04</v>
      </c>
    </row>
    <row r="342" spans="2:11" x14ac:dyDescent="0.35">
      <c r="B342" s="31">
        <v>44981</v>
      </c>
      <c r="C342" s="27" t="s">
        <v>294</v>
      </c>
      <c r="D342" s="32">
        <v>16779</v>
      </c>
      <c r="E342" s="28" t="s">
        <v>490</v>
      </c>
      <c r="F342" s="28" t="s">
        <v>476</v>
      </c>
      <c r="G342" s="26">
        <v>1</v>
      </c>
      <c r="H342" s="35">
        <v>50</v>
      </c>
      <c r="I342" s="35">
        <v>0</v>
      </c>
      <c r="J342" s="35">
        <v>3.5</v>
      </c>
      <c r="K342" s="35">
        <v>53.5</v>
      </c>
    </row>
    <row r="343" spans="2:11" x14ac:dyDescent="0.35">
      <c r="B343" s="31">
        <v>44981</v>
      </c>
      <c r="C343" s="27" t="s">
        <v>295</v>
      </c>
      <c r="D343" s="32">
        <v>8704</v>
      </c>
      <c r="E343" s="28" t="s">
        <v>493</v>
      </c>
      <c r="F343" s="28" t="s">
        <v>476</v>
      </c>
      <c r="G343" s="26">
        <v>1</v>
      </c>
      <c r="H343" s="35">
        <v>50</v>
      </c>
      <c r="I343" s="35">
        <v>0</v>
      </c>
      <c r="J343" s="35">
        <v>0</v>
      </c>
      <c r="K343" s="35">
        <v>50</v>
      </c>
    </row>
    <row r="344" spans="2:11" x14ac:dyDescent="0.35">
      <c r="B344" s="31">
        <v>44981</v>
      </c>
      <c r="C344" s="27" t="s">
        <v>296</v>
      </c>
      <c r="D344" s="32">
        <v>913</v>
      </c>
      <c r="E344" s="28" t="s">
        <v>485</v>
      </c>
      <c r="F344" s="28" t="s">
        <v>476</v>
      </c>
      <c r="G344" s="26">
        <v>20</v>
      </c>
      <c r="H344" s="35">
        <v>15</v>
      </c>
      <c r="I344" s="35">
        <v>0</v>
      </c>
      <c r="J344" s="35">
        <v>0</v>
      </c>
      <c r="K344" s="35">
        <v>300</v>
      </c>
    </row>
    <row r="345" spans="2:11" x14ac:dyDescent="0.35">
      <c r="B345" s="31">
        <v>44981</v>
      </c>
      <c r="C345" s="27" t="s">
        <v>297</v>
      </c>
      <c r="D345" s="32">
        <v>13194</v>
      </c>
      <c r="E345" s="28" t="s">
        <v>485</v>
      </c>
      <c r="F345" s="28" t="s">
        <v>476</v>
      </c>
      <c r="G345" s="26">
        <v>28</v>
      </c>
      <c r="H345" s="35">
        <v>15</v>
      </c>
      <c r="I345" s="35">
        <v>0</v>
      </c>
      <c r="J345" s="35">
        <v>0</v>
      </c>
      <c r="K345" s="35">
        <v>420</v>
      </c>
    </row>
    <row r="346" spans="2:11" x14ac:dyDescent="0.35">
      <c r="B346" s="31">
        <v>44981</v>
      </c>
      <c r="C346" s="27" t="s">
        <v>298</v>
      </c>
      <c r="D346" s="32">
        <v>4148</v>
      </c>
      <c r="E346" s="28" t="s">
        <v>487</v>
      </c>
      <c r="F346" s="28" t="s">
        <v>474</v>
      </c>
      <c r="G346" s="26">
        <v>1</v>
      </c>
      <c r="H346" s="35">
        <v>400</v>
      </c>
      <c r="I346" s="35">
        <v>0</v>
      </c>
      <c r="J346" s="35">
        <v>0</v>
      </c>
      <c r="K346" s="35">
        <v>400</v>
      </c>
    </row>
    <row r="347" spans="2:11" x14ac:dyDescent="0.35">
      <c r="B347" s="31">
        <v>44981</v>
      </c>
      <c r="C347" s="27" t="s">
        <v>299</v>
      </c>
      <c r="D347" s="32">
        <v>151</v>
      </c>
      <c r="E347" s="28" t="s">
        <v>491</v>
      </c>
      <c r="F347" s="28" t="s">
        <v>476</v>
      </c>
      <c r="G347" s="26">
        <v>1</v>
      </c>
      <c r="H347" s="35">
        <v>110</v>
      </c>
      <c r="I347" s="35">
        <v>0</v>
      </c>
      <c r="J347" s="35">
        <v>8.58</v>
      </c>
      <c r="K347" s="35">
        <v>118.58</v>
      </c>
    </row>
    <row r="348" spans="2:11" x14ac:dyDescent="0.35">
      <c r="B348" s="31">
        <v>44984</v>
      </c>
      <c r="C348" s="27" t="s">
        <v>300</v>
      </c>
      <c r="D348" s="32">
        <v>8647</v>
      </c>
      <c r="E348" s="28" t="s">
        <v>485</v>
      </c>
      <c r="F348" s="28" t="s">
        <v>473</v>
      </c>
      <c r="G348" s="26">
        <v>27</v>
      </c>
      <c r="H348" s="35">
        <v>15</v>
      </c>
      <c r="I348" s="35">
        <v>0</v>
      </c>
      <c r="J348" s="35">
        <v>0</v>
      </c>
      <c r="K348" s="35">
        <v>405</v>
      </c>
    </row>
    <row r="349" spans="2:11" x14ac:dyDescent="0.35">
      <c r="B349" s="31">
        <v>44984</v>
      </c>
      <c r="C349" s="27" t="s">
        <v>301</v>
      </c>
      <c r="D349" s="32">
        <v>16644</v>
      </c>
      <c r="E349" s="28" t="s">
        <v>489</v>
      </c>
      <c r="F349" s="28" t="s">
        <v>475</v>
      </c>
      <c r="G349" s="26">
        <v>1</v>
      </c>
      <c r="H349" s="35">
        <v>90</v>
      </c>
      <c r="I349" s="35">
        <v>0</v>
      </c>
      <c r="J349" s="35">
        <v>7.02</v>
      </c>
      <c r="K349" s="35">
        <v>97.02</v>
      </c>
    </row>
    <row r="350" spans="2:11" x14ac:dyDescent="0.35">
      <c r="B350" s="31">
        <v>44984</v>
      </c>
      <c r="C350" s="27" t="s">
        <v>302</v>
      </c>
      <c r="D350" s="32">
        <v>87</v>
      </c>
      <c r="E350" s="28" t="s">
        <v>499</v>
      </c>
      <c r="F350" s="28" t="s">
        <v>473</v>
      </c>
      <c r="G350" s="26">
        <v>36</v>
      </c>
      <c r="H350" s="35">
        <v>15</v>
      </c>
      <c r="I350" s="35">
        <v>0</v>
      </c>
      <c r="J350" s="35">
        <v>0</v>
      </c>
      <c r="K350" s="35">
        <v>540</v>
      </c>
    </row>
    <row r="351" spans="2:11" x14ac:dyDescent="0.35">
      <c r="B351" s="31">
        <v>44984</v>
      </c>
      <c r="C351" s="27" t="s">
        <v>302</v>
      </c>
      <c r="D351" s="32">
        <v>87</v>
      </c>
      <c r="E351" s="28" t="s">
        <v>495</v>
      </c>
      <c r="F351" s="28" t="s">
        <v>473</v>
      </c>
      <c r="G351" s="26">
        <v>1</v>
      </c>
      <c r="H351" s="35">
        <v>395</v>
      </c>
      <c r="I351" s="35">
        <v>0</v>
      </c>
      <c r="J351" s="35">
        <v>30.81</v>
      </c>
      <c r="K351" s="35">
        <v>425.81</v>
      </c>
    </row>
    <row r="352" spans="2:11" x14ac:dyDescent="0.35">
      <c r="B352" s="31">
        <v>44984</v>
      </c>
      <c r="C352" s="27" t="s">
        <v>303</v>
      </c>
      <c r="D352" s="32">
        <v>84</v>
      </c>
      <c r="E352" s="28" t="s">
        <v>480</v>
      </c>
      <c r="F352" s="28" t="s">
        <v>473</v>
      </c>
      <c r="G352" s="26">
        <v>28</v>
      </c>
      <c r="H352" s="35">
        <v>15</v>
      </c>
      <c r="I352" s="35">
        <v>0</v>
      </c>
      <c r="J352" s="35">
        <v>0</v>
      </c>
      <c r="K352" s="35">
        <v>420</v>
      </c>
    </row>
    <row r="353" spans="2:11" x14ac:dyDescent="0.35">
      <c r="B353" s="31">
        <v>44984</v>
      </c>
      <c r="C353" s="27" t="s">
        <v>304</v>
      </c>
      <c r="D353" s="32">
        <v>4199</v>
      </c>
      <c r="E353" s="28" t="s">
        <v>483</v>
      </c>
      <c r="F353" s="28" t="s">
        <v>473</v>
      </c>
      <c r="G353" s="26">
        <v>1</v>
      </c>
      <c r="H353" s="35">
        <v>750</v>
      </c>
      <c r="I353" s="35">
        <v>0</v>
      </c>
      <c r="J353" s="35">
        <v>0</v>
      </c>
      <c r="K353" s="35">
        <v>750</v>
      </c>
    </row>
    <row r="354" spans="2:11" x14ac:dyDescent="0.35">
      <c r="B354" s="31">
        <v>44984</v>
      </c>
      <c r="C354" s="27" t="s">
        <v>305</v>
      </c>
      <c r="D354" s="32">
        <v>584</v>
      </c>
      <c r="E354" s="28" t="s">
        <v>483</v>
      </c>
      <c r="F354" s="28" t="s">
        <v>473</v>
      </c>
      <c r="G354" s="26">
        <v>1</v>
      </c>
      <c r="H354" s="35">
        <v>825</v>
      </c>
      <c r="I354" s="35">
        <v>0</v>
      </c>
      <c r="J354" s="35">
        <v>0</v>
      </c>
      <c r="K354" s="35">
        <v>825</v>
      </c>
    </row>
    <row r="355" spans="2:11" x14ac:dyDescent="0.35">
      <c r="B355" s="31">
        <v>44984</v>
      </c>
      <c r="C355" s="27" t="s">
        <v>306</v>
      </c>
      <c r="D355" s="32">
        <v>17849</v>
      </c>
      <c r="E355" s="28" t="s">
        <v>484</v>
      </c>
      <c r="F355" s="28" t="s">
        <v>474</v>
      </c>
      <c r="G355" s="26">
        <v>1</v>
      </c>
      <c r="H355" s="35">
        <v>94.99</v>
      </c>
      <c r="I355" s="35">
        <v>0</v>
      </c>
      <c r="J355" s="35">
        <v>7.41</v>
      </c>
      <c r="K355" s="35">
        <v>102.39999999999999</v>
      </c>
    </row>
    <row r="356" spans="2:11" x14ac:dyDescent="0.35">
      <c r="B356" s="31">
        <v>44984</v>
      </c>
      <c r="C356" s="27" t="s">
        <v>307</v>
      </c>
      <c r="D356" s="32">
        <v>13176</v>
      </c>
      <c r="E356" s="28" t="s">
        <v>497</v>
      </c>
      <c r="F356" s="28" t="s">
        <v>473</v>
      </c>
      <c r="G356" s="26">
        <v>1</v>
      </c>
      <c r="H356" s="35">
        <v>500</v>
      </c>
      <c r="I356" s="35">
        <v>0</v>
      </c>
      <c r="J356" s="35">
        <v>0</v>
      </c>
      <c r="K356" s="35">
        <v>500</v>
      </c>
    </row>
    <row r="357" spans="2:11" x14ac:dyDescent="0.35">
      <c r="B357" s="31">
        <v>44984</v>
      </c>
      <c r="C357" s="27" t="s">
        <v>308</v>
      </c>
      <c r="D357" s="32">
        <v>17850</v>
      </c>
      <c r="E357" s="28" t="s">
        <v>499</v>
      </c>
      <c r="F357" s="28" t="s">
        <v>475</v>
      </c>
      <c r="G357" s="26">
        <v>1</v>
      </c>
      <c r="H357" s="35">
        <v>50</v>
      </c>
      <c r="I357" s="35">
        <v>0</v>
      </c>
      <c r="J357" s="35">
        <v>3.9</v>
      </c>
      <c r="K357" s="35">
        <v>53.9</v>
      </c>
    </row>
    <row r="358" spans="2:11" x14ac:dyDescent="0.35">
      <c r="B358" s="31">
        <v>44984</v>
      </c>
      <c r="C358" s="27" t="s">
        <v>309</v>
      </c>
      <c r="D358" s="32">
        <v>584</v>
      </c>
      <c r="E358" s="28" t="s">
        <v>496</v>
      </c>
      <c r="F358" s="28" t="s">
        <v>473</v>
      </c>
      <c r="G358" s="26">
        <v>1</v>
      </c>
      <c r="H358" s="35">
        <v>20</v>
      </c>
      <c r="I358" s="35">
        <v>0</v>
      </c>
      <c r="J358" s="35">
        <v>1.56</v>
      </c>
      <c r="K358" s="35">
        <v>21.56</v>
      </c>
    </row>
    <row r="359" spans="2:11" x14ac:dyDescent="0.35">
      <c r="B359" s="31">
        <v>44984</v>
      </c>
      <c r="C359" s="27" t="s">
        <v>309</v>
      </c>
      <c r="D359" s="32">
        <v>584</v>
      </c>
      <c r="E359" s="28" t="s">
        <v>487</v>
      </c>
      <c r="F359" s="28" t="s">
        <v>473</v>
      </c>
      <c r="G359" s="26">
        <v>1</v>
      </c>
      <c r="H359" s="35">
        <v>12.5</v>
      </c>
      <c r="I359" s="35">
        <v>0</v>
      </c>
      <c r="J359" s="35">
        <v>0.98</v>
      </c>
      <c r="K359" s="35">
        <v>13.48</v>
      </c>
    </row>
    <row r="360" spans="2:11" x14ac:dyDescent="0.35">
      <c r="B360" s="31">
        <v>44984</v>
      </c>
      <c r="C360" s="27" t="s">
        <v>310</v>
      </c>
      <c r="D360" s="32">
        <v>17854</v>
      </c>
      <c r="E360" s="28" t="s">
        <v>489</v>
      </c>
      <c r="F360" s="28" t="s">
        <v>474</v>
      </c>
      <c r="G360" s="26">
        <v>1</v>
      </c>
      <c r="H360" s="35">
        <v>90</v>
      </c>
      <c r="I360" s="35">
        <v>0</v>
      </c>
      <c r="J360" s="35">
        <v>7.02</v>
      </c>
      <c r="K360" s="35">
        <v>97.02</v>
      </c>
    </row>
    <row r="361" spans="2:11" x14ac:dyDescent="0.35">
      <c r="B361" s="31">
        <v>44984</v>
      </c>
      <c r="C361" s="27" t="s">
        <v>311</v>
      </c>
      <c r="D361" s="32">
        <v>17855</v>
      </c>
      <c r="E361" s="28" t="s">
        <v>499</v>
      </c>
      <c r="F361" s="28" t="s">
        <v>474</v>
      </c>
      <c r="G361" s="26">
        <v>1</v>
      </c>
      <c r="H361" s="35">
        <v>65</v>
      </c>
      <c r="I361" s="35">
        <v>0</v>
      </c>
      <c r="J361" s="35">
        <v>5.07</v>
      </c>
      <c r="K361" s="35">
        <v>70.069999999999993</v>
      </c>
    </row>
    <row r="362" spans="2:11" x14ac:dyDescent="0.35">
      <c r="B362" s="31">
        <v>44985</v>
      </c>
      <c r="C362" s="27" t="s">
        <v>312</v>
      </c>
      <c r="D362" s="32">
        <v>13084</v>
      </c>
      <c r="E362" s="28" t="s">
        <v>482</v>
      </c>
      <c r="F362" s="28" t="s">
        <v>475</v>
      </c>
      <c r="G362" s="26">
        <v>1</v>
      </c>
      <c r="H362" s="35">
        <v>180</v>
      </c>
      <c r="I362" s="35">
        <v>0</v>
      </c>
      <c r="J362" s="35">
        <v>14.04</v>
      </c>
      <c r="K362" s="35">
        <v>194.04</v>
      </c>
    </row>
    <row r="363" spans="2:11" x14ac:dyDescent="0.35">
      <c r="B363" s="31">
        <v>44985</v>
      </c>
      <c r="C363" s="27" t="s">
        <v>313</v>
      </c>
      <c r="D363" s="32">
        <v>13112</v>
      </c>
      <c r="E363" s="28" t="s">
        <v>485</v>
      </c>
      <c r="F363" s="28" t="s">
        <v>476</v>
      </c>
      <c r="G363" s="26">
        <v>36</v>
      </c>
      <c r="H363" s="35">
        <v>15</v>
      </c>
      <c r="I363" s="35">
        <v>0</v>
      </c>
      <c r="J363" s="35">
        <v>0</v>
      </c>
      <c r="K363" s="35">
        <v>540</v>
      </c>
    </row>
    <row r="364" spans="2:11" x14ac:dyDescent="0.35">
      <c r="B364" s="31">
        <v>44985</v>
      </c>
      <c r="C364" s="27" t="s">
        <v>314</v>
      </c>
      <c r="D364" s="32">
        <v>15431</v>
      </c>
      <c r="E364" s="28" t="s">
        <v>500</v>
      </c>
      <c r="F364" s="28" t="s">
        <v>476</v>
      </c>
      <c r="G364" s="26">
        <v>1</v>
      </c>
      <c r="H364" s="35">
        <v>0</v>
      </c>
      <c r="I364" s="35">
        <v>0</v>
      </c>
      <c r="J364" s="35">
        <v>0</v>
      </c>
      <c r="K364" s="35">
        <v>0</v>
      </c>
    </row>
    <row r="365" spans="2:11" x14ac:dyDescent="0.35">
      <c r="B365" s="31">
        <v>44985</v>
      </c>
      <c r="C365" s="27" t="s">
        <v>315</v>
      </c>
      <c r="D365" s="32">
        <v>13100</v>
      </c>
      <c r="E365" s="28" t="s">
        <v>482</v>
      </c>
      <c r="F365" s="28" t="s">
        <v>475</v>
      </c>
      <c r="G365" s="26">
        <v>1</v>
      </c>
      <c r="H365" s="35">
        <v>180</v>
      </c>
      <c r="I365" s="35">
        <v>0</v>
      </c>
      <c r="J365" s="35">
        <v>14.04</v>
      </c>
      <c r="K365" s="35">
        <v>194.04</v>
      </c>
    </row>
    <row r="366" spans="2:11" x14ac:dyDescent="0.35">
      <c r="B366" s="31">
        <v>44985</v>
      </c>
      <c r="C366" s="27" t="s">
        <v>316</v>
      </c>
      <c r="D366" s="32">
        <v>375</v>
      </c>
      <c r="E366" s="28" t="s">
        <v>482</v>
      </c>
      <c r="F366" s="28" t="s">
        <v>475</v>
      </c>
      <c r="G366" s="26">
        <v>1</v>
      </c>
      <c r="H366" s="35">
        <v>180</v>
      </c>
      <c r="I366" s="35">
        <v>0</v>
      </c>
      <c r="J366" s="35">
        <v>14.04</v>
      </c>
      <c r="K366" s="35">
        <v>194.04</v>
      </c>
    </row>
    <row r="367" spans="2:11" x14ac:dyDescent="0.35">
      <c r="B367" s="31">
        <v>44985</v>
      </c>
      <c r="C367" s="27" t="s">
        <v>317</v>
      </c>
      <c r="D367" s="32">
        <v>8656</v>
      </c>
      <c r="E367" s="28" t="s">
        <v>490</v>
      </c>
      <c r="F367" s="28" t="s">
        <v>476</v>
      </c>
      <c r="G367" s="26">
        <v>1</v>
      </c>
      <c r="H367" s="35">
        <v>5</v>
      </c>
      <c r="I367" s="35">
        <v>0</v>
      </c>
      <c r="J367" s="35">
        <v>0.35</v>
      </c>
      <c r="K367" s="35">
        <v>5.35</v>
      </c>
    </row>
    <row r="368" spans="2:11" x14ac:dyDescent="0.35">
      <c r="B368" s="31">
        <v>44985</v>
      </c>
      <c r="C368" s="27" t="s">
        <v>317</v>
      </c>
      <c r="D368" s="32">
        <v>8656</v>
      </c>
      <c r="E368" s="28" t="s">
        <v>482</v>
      </c>
      <c r="F368" s="28" t="s">
        <v>476</v>
      </c>
      <c r="G368" s="26">
        <v>1</v>
      </c>
      <c r="H368" s="35">
        <v>50</v>
      </c>
      <c r="I368" s="35">
        <v>0</v>
      </c>
      <c r="J368" s="35">
        <v>3.9</v>
      </c>
      <c r="K368" s="35">
        <v>53.9</v>
      </c>
    </row>
    <row r="369" spans="2:11" x14ac:dyDescent="0.35">
      <c r="B369" s="31">
        <v>44985</v>
      </c>
      <c r="C369" s="27" t="s">
        <v>318</v>
      </c>
      <c r="D369" s="32">
        <v>556</v>
      </c>
      <c r="E369" s="28" t="s">
        <v>490</v>
      </c>
      <c r="F369" s="28" t="s">
        <v>475</v>
      </c>
      <c r="G369" s="26">
        <v>1</v>
      </c>
      <c r="H369" s="35">
        <v>50</v>
      </c>
      <c r="I369" s="35">
        <v>0</v>
      </c>
      <c r="J369" s="35">
        <v>3.5</v>
      </c>
      <c r="K369" s="35">
        <v>53.5</v>
      </c>
    </row>
    <row r="370" spans="2:11" x14ac:dyDescent="0.35">
      <c r="B370" s="31">
        <v>44985</v>
      </c>
      <c r="C370" s="27" t="s">
        <v>318</v>
      </c>
      <c r="D370" s="32">
        <v>556</v>
      </c>
      <c r="E370" s="28" t="s">
        <v>500</v>
      </c>
      <c r="F370" s="28" t="s">
        <v>475</v>
      </c>
      <c r="G370" s="26">
        <v>1</v>
      </c>
      <c r="H370" s="35">
        <v>100</v>
      </c>
      <c r="I370" s="35">
        <v>0</v>
      </c>
      <c r="J370" s="35">
        <v>7</v>
      </c>
      <c r="K370" s="35">
        <v>107</v>
      </c>
    </row>
    <row r="371" spans="2:11" x14ac:dyDescent="0.35">
      <c r="B371" s="31">
        <v>44985</v>
      </c>
      <c r="C371" s="27" t="s">
        <v>319</v>
      </c>
      <c r="D371" s="32">
        <v>5369</v>
      </c>
      <c r="E371" s="28" t="s">
        <v>488</v>
      </c>
      <c r="F371" s="28" t="s">
        <v>475</v>
      </c>
      <c r="G371" s="26">
        <v>1</v>
      </c>
      <c r="H371" s="35">
        <v>100</v>
      </c>
      <c r="I371" s="35">
        <v>50</v>
      </c>
      <c r="J371" s="35">
        <v>3.9</v>
      </c>
      <c r="K371" s="35">
        <v>53.9</v>
      </c>
    </row>
    <row r="372" spans="2:11" x14ac:dyDescent="0.35">
      <c r="B372" s="31">
        <v>44985</v>
      </c>
      <c r="C372" s="27" t="s">
        <v>319</v>
      </c>
      <c r="D372" s="32">
        <v>5369</v>
      </c>
      <c r="E372" s="28" t="s">
        <v>491</v>
      </c>
      <c r="F372" s="28" t="s">
        <v>475</v>
      </c>
      <c r="G372" s="26">
        <v>1</v>
      </c>
      <c r="H372" s="35">
        <v>110</v>
      </c>
      <c r="I372" s="35">
        <v>55</v>
      </c>
      <c r="J372" s="35">
        <v>4.29</v>
      </c>
      <c r="K372" s="35">
        <v>59.29</v>
      </c>
    </row>
    <row r="373" spans="2:11" x14ac:dyDescent="0.35">
      <c r="B373" s="31">
        <v>44985</v>
      </c>
      <c r="C373" s="27" t="s">
        <v>319</v>
      </c>
      <c r="D373" s="32">
        <v>5369</v>
      </c>
      <c r="E373" s="28" t="s">
        <v>489</v>
      </c>
      <c r="F373" s="28" t="s">
        <v>475</v>
      </c>
      <c r="G373" s="26">
        <v>1</v>
      </c>
      <c r="H373" s="35">
        <v>130</v>
      </c>
      <c r="I373" s="35">
        <v>65</v>
      </c>
      <c r="J373" s="35">
        <v>5.07</v>
      </c>
      <c r="K373" s="35">
        <v>70.069999999999993</v>
      </c>
    </row>
    <row r="374" spans="2:11" x14ac:dyDescent="0.35">
      <c r="B374" s="31">
        <v>44986</v>
      </c>
      <c r="C374" s="27" t="s">
        <v>320</v>
      </c>
      <c r="D374" s="32">
        <v>850</v>
      </c>
      <c r="E374" s="28" t="s">
        <v>487</v>
      </c>
      <c r="F374" s="28" t="s">
        <v>473</v>
      </c>
      <c r="G374" s="26">
        <v>1</v>
      </c>
      <c r="H374" s="35">
        <v>275</v>
      </c>
      <c r="I374" s="35">
        <v>0</v>
      </c>
      <c r="J374" s="35">
        <v>21.45</v>
      </c>
      <c r="K374" s="35">
        <v>296.45</v>
      </c>
    </row>
    <row r="375" spans="2:11" x14ac:dyDescent="0.35">
      <c r="B375" s="31">
        <v>44986</v>
      </c>
      <c r="C375" s="27" t="s">
        <v>321</v>
      </c>
      <c r="D375" s="32">
        <v>498</v>
      </c>
      <c r="E375" s="28" t="s">
        <v>494</v>
      </c>
      <c r="F375" s="28" t="s">
        <v>473</v>
      </c>
      <c r="G375" s="26">
        <v>1</v>
      </c>
      <c r="H375" s="35">
        <v>200</v>
      </c>
      <c r="I375" s="35">
        <v>0</v>
      </c>
      <c r="J375" s="35">
        <v>0</v>
      </c>
      <c r="K375" s="35">
        <v>200</v>
      </c>
    </row>
    <row r="376" spans="2:11" x14ac:dyDescent="0.35">
      <c r="B376" s="31">
        <v>44986</v>
      </c>
      <c r="C376" s="27" t="s">
        <v>321</v>
      </c>
      <c r="D376" s="32">
        <v>498</v>
      </c>
      <c r="E376" s="28" t="s">
        <v>496</v>
      </c>
      <c r="F376" s="28" t="s">
        <v>473</v>
      </c>
      <c r="G376" s="26">
        <v>1</v>
      </c>
      <c r="H376" s="35">
        <v>20</v>
      </c>
      <c r="I376" s="35">
        <v>0</v>
      </c>
      <c r="J376" s="35">
        <v>1.56</v>
      </c>
      <c r="K376" s="35">
        <v>21.56</v>
      </c>
    </row>
    <row r="377" spans="2:11" x14ac:dyDescent="0.35">
      <c r="B377" s="31">
        <v>44986</v>
      </c>
      <c r="C377" s="27" t="s">
        <v>322</v>
      </c>
      <c r="D377" s="32">
        <v>845</v>
      </c>
      <c r="E377" s="28" t="s">
        <v>489</v>
      </c>
      <c r="F377" s="28" t="s">
        <v>475</v>
      </c>
      <c r="G377" s="26">
        <v>1</v>
      </c>
      <c r="H377" s="35">
        <v>90</v>
      </c>
      <c r="I377" s="35">
        <v>0</v>
      </c>
      <c r="J377" s="35">
        <v>7.02</v>
      </c>
      <c r="K377" s="35">
        <v>97.02</v>
      </c>
    </row>
    <row r="378" spans="2:11" x14ac:dyDescent="0.35">
      <c r="B378" s="31">
        <v>44986</v>
      </c>
      <c r="C378" s="27" t="s">
        <v>323</v>
      </c>
      <c r="D378" s="32">
        <v>16828</v>
      </c>
      <c r="E378" s="28" t="s">
        <v>487</v>
      </c>
      <c r="F378" s="28" t="s">
        <v>473</v>
      </c>
      <c r="G378" s="26">
        <v>1</v>
      </c>
      <c r="H378" s="35">
        <v>12.5</v>
      </c>
      <c r="I378" s="35">
        <v>0</v>
      </c>
      <c r="J378" s="35">
        <v>0.98</v>
      </c>
      <c r="K378" s="35">
        <v>13.48</v>
      </c>
    </row>
    <row r="379" spans="2:11" x14ac:dyDescent="0.35">
      <c r="B379" s="31">
        <v>44986</v>
      </c>
      <c r="C379" s="27" t="s">
        <v>323</v>
      </c>
      <c r="D379" s="32">
        <v>16828</v>
      </c>
      <c r="E379" s="28" t="s">
        <v>480</v>
      </c>
      <c r="F379" s="28" t="s">
        <v>473</v>
      </c>
      <c r="G379" s="26">
        <v>1</v>
      </c>
      <c r="H379" s="35">
        <v>750</v>
      </c>
      <c r="I379" s="35">
        <v>0</v>
      </c>
      <c r="J379" s="35">
        <v>0</v>
      </c>
      <c r="K379" s="35">
        <v>750</v>
      </c>
    </row>
    <row r="380" spans="2:11" x14ac:dyDescent="0.35">
      <c r="B380" s="31">
        <v>44986</v>
      </c>
      <c r="C380" s="27" t="s">
        <v>324</v>
      </c>
      <c r="D380" s="32">
        <v>248</v>
      </c>
      <c r="E380" s="28" t="s">
        <v>491</v>
      </c>
      <c r="F380" s="28" t="s">
        <v>475</v>
      </c>
      <c r="G380" s="26">
        <v>1</v>
      </c>
      <c r="H380" s="35">
        <v>0</v>
      </c>
      <c r="I380" s="35">
        <v>0</v>
      </c>
      <c r="J380" s="35">
        <v>0</v>
      </c>
      <c r="K380" s="35">
        <v>0</v>
      </c>
    </row>
    <row r="381" spans="2:11" x14ac:dyDescent="0.35">
      <c r="B381" s="31">
        <v>44986</v>
      </c>
      <c r="C381" s="27" t="s">
        <v>324</v>
      </c>
      <c r="D381" s="32">
        <v>248</v>
      </c>
      <c r="E381" s="28" t="s">
        <v>489</v>
      </c>
      <c r="F381" s="28" t="s">
        <v>475</v>
      </c>
      <c r="G381" s="26">
        <v>1</v>
      </c>
      <c r="H381" s="35">
        <v>106</v>
      </c>
      <c r="I381" s="35">
        <v>0</v>
      </c>
      <c r="J381" s="35">
        <v>8.27</v>
      </c>
      <c r="K381" s="35">
        <v>114.27</v>
      </c>
    </row>
    <row r="382" spans="2:11" x14ac:dyDescent="0.35">
      <c r="B382" s="31">
        <v>44986</v>
      </c>
      <c r="C382" s="27" t="s">
        <v>325</v>
      </c>
      <c r="D382" s="32">
        <v>8514</v>
      </c>
      <c r="E382" s="28" t="s">
        <v>480</v>
      </c>
      <c r="F382" s="28" t="s">
        <v>473</v>
      </c>
      <c r="G382" s="26">
        <v>24</v>
      </c>
      <c r="H382" s="35">
        <v>15</v>
      </c>
      <c r="I382" s="35">
        <v>0</v>
      </c>
      <c r="J382" s="35">
        <v>0</v>
      </c>
      <c r="K382" s="35">
        <v>360</v>
      </c>
    </row>
    <row r="383" spans="2:11" x14ac:dyDescent="0.35">
      <c r="B383" s="31">
        <v>44986</v>
      </c>
      <c r="C383" s="27" t="s">
        <v>326</v>
      </c>
      <c r="D383" s="32">
        <v>16842</v>
      </c>
      <c r="E383" s="28" t="s">
        <v>480</v>
      </c>
      <c r="F383" s="28" t="s">
        <v>473</v>
      </c>
      <c r="G383" s="26">
        <v>50</v>
      </c>
      <c r="H383" s="35">
        <v>15</v>
      </c>
      <c r="I383" s="35">
        <v>0</v>
      </c>
      <c r="J383" s="35">
        <v>0</v>
      </c>
      <c r="K383" s="35">
        <v>750</v>
      </c>
    </row>
    <row r="384" spans="2:11" x14ac:dyDescent="0.35">
      <c r="B384" s="31">
        <v>44986</v>
      </c>
      <c r="C384" s="27" t="s">
        <v>327</v>
      </c>
      <c r="D384" s="32">
        <v>15436</v>
      </c>
      <c r="E384" s="28" t="s">
        <v>480</v>
      </c>
      <c r="F384" s="28" t="s">
        <v>473</v>
      </c>
      <c r="G384" s="26">
        <v>28</v>
      </c>
      <c r="H384" s="35">
        <v>15</v>
      </c>
      <c r="I384" s="35">
        <v>0</v>
      </c>
      <c r="J384" s="35">
        <v>0</v>
      </c>
      <c r="K384" s="35">
        <v>420</v>
      </c>
    </row>
    <row r="385" spans="2:11" x14ac:dyDescent="0.35">
      <c r="B385" s="31">
        <v>44986</v>
      </c>
      <c r="C385" s="27" t="s">
        <v>327</v>
      </c>
      <c r="D385" s="32">
        <v>15436</v>
      </c>
      <c r="E385" s="28" t="s">
        <v>496</v>
      </c>
      <c r="F385" s="28" t="s">
        <v>473</v>
      </c>
      <c r="G385" s="26">
        <v>1</v>
      </c>
      <c r="H385" s="35">
        <v>0</v>
      </c>
      <c r="I385" s="35">
        <v>0</v>
      </c>
      <c r="J385" s="35">
        <v>0</v>
      </c>
      <c r="K385" s="35">
        <v>0</v>
      </c>
    </row>
    <row r="386" spans="2:11" x14ac:dyDescent="0.35">
      <c r="B386" s="31">
        <v>44986</v>
      </c>
      <c r="C386" s="27" t="s">
        <v>328</v>
      </c>
      <c r="D386" s="32">
        <v>4233</v>
      </c>
      <c r="E386" s="28" t="s">
        <v>489</v>
      </c>
      <c r="F386" s="28" t="s">
        <v>475</v>
      </c>
      <c r="G386" s="26">
        <v>1</v>
      </c>
      <c r="H386" s="35">
        <v>106</v>
      </c>
      <c r="I386" s="35">
        <v>0</v>
      </c>
      <c r="J386" s="35">
        <v>8.27</v>
      </c>
      <c r="K386" s="35">
        <v>114.27</v>
      </c>
    </row>
    <row r="387" spans="2:11" x14ac:dyDescent="0.35">
      <c r="B387" s="31">
        <v>44986</v>
      </c>
      <c r="C387" s="27" t="s">
        <v>328</v>
      </c>
      <c r="D387" s="32">
        <v>4233</v>
      </c>
      <c r="E387" s="28" t="s">
        <v>482</v>
      </c>
      <c r="F387" s="28" t="s">
        <v>475</v>
      </c>
      <c r="G387" s="26">
        <v>1</v>
      </c>
      <c r="H387" s="35">
        <v>180</v>
      </c>
      <c r="I387" s="35">
        <v>0</v>
      </c>
      <c r="J387" s="35">
        <v>14.04</v>
      </c>
      <c r="K387" s="35">
        <v>194.04</v>
      </c>
    </row>
    <row r="388" spans="2:11" x14ac:dyDescent="0.35">
      <c r="B388" s="31">
        <v>44987</v>
      </c>
      <c r="C388" s="27" t="s">
        <v>329</v>
      </c>
      <c r="D388" s="32">
        <v>16843</v>
      </c>
      <c r="E388" s="28" t="s">
        <v>482</v>
      </c>
      <c r="F388" s="28" t="s">
        <v>476</v>
      </c>
      <c r="G388" s="26">
        <v>1</v>
      </c>
      <c r="H388" s="35">
        <v>3000</v>
      </c>
      <c r="I388" s="35">
        <v>0</v>
      </c>
      <c r="J388" s="35">
        <v>234</v>
      </c>
      <c r="K388" s="35">
        <v>3234</v>
      </c>
    </row>
    <row r="389" spans="2:11" x14ac:dyDescent="0.35">
      <c r="B389" s="31">
        <v>44987</v>
      </c>
      <c r="C389" s="27" t="s">
        <v>330</v>
      </c>
      <c r="D389" s="32">
        <v>13013</v>
      </c>
      <c r="E389" s="28" t="s">
        <v>480</v>
      </c>
      <c r="F389" s="28" t="s">
        <v>474</v>
      </c>
      <c r="G389" s="26">
        <v>1</v>
      </c>
      <c r="H389" s="35">
        <v>0</v>
      </c>
      <c r="I389" s="35">
        <v>0</v>
      </c>
      <c r="J389" s="35">
        <v>0</v>
      </c>
      <c r="K389" s="35">
        <v>0</v>
      </c>
    </row>
    <row r="390" spans="2:11" x14ac:dyDescent="0.35">
      <c r="B390" s="31">
        <v>44987</v>
      </c>
      <c r="C390" s="27" t="s">
        <v>331</v>
      </c>
      <c r="D390" s="32">
        <v>173</v>
      </c>
      <c r="E390" s="28" t="s">
        <v>480</v>
      </c>
      <c r="F390" s="28" t="s">
        <v>474</v>
      </c>
      <c r="G390" s="26">
        <v>1</v>
      </c>
      <c r="H390" s="35">
        <v>0</v>
      </c>
      <c r="I390" s="35">
        <v>0</v>
      </c>
      <c r="J390" s="35">
        <v>0</v>
      </c>
      <c r="K390" s="35">
        <v>0</v>
      </c>
    </row>
    <row r="391" spans="2:11" x14ac:dyDescent="0.35">
      <c r="B391" s="31">
        <v>44987</v>
      </c>
      <c r="C391" s="27" t="s">
        <v>332</v>
      </c>
      <c r="D391" s="32">
        <v>13073</v>
      </c>
      <c r="E391" s="28" t="s">
        <v>494</v>
      </c>
      <c r="F391" s="28" t="s">
        <v>474</v>
      </c>
      <c r="G391" s="26">
        <v>1</v>
      </c>
      <c r="H391" s="35">
        <v>36</v>
      </c>
      <c r="I391" s="35">
        <v>18</v>
      </c>
      <c r="J391" s="35">
        <v>1.4</v>
      </c>
      <c r="K391" s="35">
        <v>19.399999999999999</v>
      </c>
    </row>
    <row r="392" spans="2:11" x14ac:dyDescent="0.35">
      <c r="B392" s="31">
        <v>44988</v>
      </c>
      <c r="C392" s="27" t="s">
        <v>333</v>
      </c>
      <c r="D392" s="32">
        <v>13189</v>
      </c>
      <c r="E392" s="28" t="s">
        <v>495</v>
      </c>
      <c r="F392" s="28" t="s">
        <v>476</v>
      </c>
      <c r="G392" s="26">
        <v>1</v>
      </c>
      <c r="H392" s="35">
        <v>80</v>
      </c>
      <c r="I392" s="35">
        <v>0</v>
      </c>
      <c r="J392" s="35">
        <v>5.6</v>
      </c>
      <c r="K392" s="35">
        <v>85.6</v>
      </c>
    </row>
    <row r="393" spans="2:11" x14ac:dyDescent="0.35">
      <c r="B393" s="31">
        <v>44988</v>
      </c>
      <c r="C393" s="27" t="s">
        <v>334</v>
      </c>
      <c r="D393" s="32">
        <v>940</v>
      </c>
      <c r="E393" s="28" t="s">
        <v>487</v>
      </c>
      <c r="F393" s="28" t="s">
        <v>476</v>
      </c>
      <c r="G393" s="26">
        <v>1</v>
      </c>
      <c r="H393" s="35">
        <v>275</v>
      </c>
      <c r="I393" s="35">
        <v>0</v>
      </c>
      <c r="J393" s="35">
        <v>21.45</v>
      </c>
      <c r="K393" s="35">
        <v>296.45</v>
      </c>
    </row>
    <row r="394" spans="2:11" x14ac:dyDescent="0.35">
      <c r="B394" s="31">
        <v>44988</v>
      </c>
      <c r="C394" s="27" t="s">
        <v>335</v>
      </c>
      <c r="D394" s="32">
        <v>8577</v>
      </c>
      <c r="E394" s="28" t="s">
        <v>481</v>
      </c>
      <c r="F394" s="28" t="s">
        <v>474</v>
      </c>
      <c r="G394" s="26">
        <v>1</v>
      </c>
      <c r="H394" s="35">
        <v>173</v>
      </c>
      <c r="I394" s="35">
        <v>86.5</v>
      </c>
      <c r="J394" s="35">
        <v>6.75</v>
      </c>
      <c r="K394" s="35">
        <v>93.25</v>
      </c>
    </row>
    <row r="395" spans="2:11" x14ac:dyDescent="0.35">
      <c r="B395" s="31">
        <v>44988</v>
      </c>
      <c r="C395" s="27" t="s">
        <v>336</v>
      </c>
      <c r="D395" s="32">
        <v>413</v>
      </c>
      <c r="E395" s="28" t="s">
        <v>482</v>
      </c>
      <c r="F395" s="28" t="s">
        <v>476</v>
      </c>
      <c r="G395" s="26">
        <v>1</v>
      </c>
      <c r="H395" s="35">
        <v>50</v>
      </c>
      <c r="I395" s="35">
        <v>0</v>
      </c>
      <c r="J395" s="35">
        <v>3.9</v>
      </c>
      <c r="K395" s="35">
        <v>53.9</v>
      </c>
    </row>
    <row r="396" spans="2:11" x14ac:dyDescent="0.35">
      <c r="B396" s="31">
        <v>44988</v>
      </c>
      <c r="C396" s="27" t="s">
        <v>337</v>
      </c>
      <c r="D396" s="32">
        <v>15417</v>
      </c>
      <c r="E396" s="28" t="s">
        <v>481</v>
      </c>
      <c r="F396" s="28" t="s">
        <v>476</v>
      </c>
      <c r="G396" s="26">
        <v>1</v>
      </c>
      <c r="H396" s="35">
        <v>10</v>
      </c>
      <c r="I396" s="35">
        <v>0</v>
      </c>
      <c r="J396" s="35">
        <v>0.78</v>
      </c>
      <c r="K396" s="35">
        <v>10.78</v>
      </c>
    </row>
    <row r="397" spans="2:11" x14ac:dyDescent="0.35">
      <c r="B397" s="31">
        <v>44988</v>
      </c>
      <c r="C397" s="27" t="s">
        <v>338</v>
      </c>
      <c r="D397" s="32">
        <v>13073</v>
      </c>
      <c r="E397" s="28" t="s">
        <v>482</v>
      </c>
      <c r="F397" s="28" t="s">
        <v>474</v>
      </c>
      <c r="G397" s="26">
        <v>1</v>
      </c>
      <c r="H397" s="35">
        <v>50</v>
      </c>
      <c r="I397" s="35">
        <v>0</v>
      </c>
      <c r="J397" s="35">
        <v>3.9</v>
      </c>
      <c r="K397" s="35">
        <v>53.9</v>
      </c>
    </row>
    <row r="398" spans="2:11" x14ac:dyDescent="0.35">
      <c r="B398" s="31">
        <v>44988</v>
      </c>
      <c r="C398" s="27" t="s">
        <v>339</v>
      </c>
      <c r="D398" s="32">
        <v>17880</v>
      </c>
      <c r="E398" s="28" t="s">
        <v>488</v>
      </c>
      <c r="F398" s="28" t="s">
        <v>474</v>
      </c>
      <c r="G398" s="26">
        <v>1</v>
      </c>
      <c r="H398" s="35">
        <v>19.989999999999998</v>
      </c>
      <c r="I398" s="35">
        <v>0</v>
      </c>
      <c r="J398" s="35">
        <v>1.56</v>
      </c>
      <c r="K398" s="35">
        <v>21.549999999999997</v>
      </c>
    </row>
    <row r="399" spans="2:11" x14ac:dyDescent="0.35">
      <c r="B399" s="31">
        <v>44988</v>
      </c>
      <c r="C399" s="27" t="s">
        <v>339</v>
      </c>
      <c r="D399" s="32">
        <v>17880</v>
      </c>
      <c r="E399" s="28" t="s">
        <v>486</v>
      </c>
      <c r="F399" s="28" t="s">
        <v>474</v>
      </c>
      <c r="G399" s="26">
        <v>1</v>
      </c>
      <c r="H399" s="35">
        <v>17.5</v>
      </c>
      <c r="I399" s="35">
        <v>0</v>
      </c>
      <c r="J399" s="35">
        <v>1.37</v>
      </c>
      <c r="K399" s="35">
        <v>18.87</v>
      </c>
    </row>
    <row r="400" spans="2:11" x14ac:dyDescent="0.35">
      <c r="B400" s="31">
        <v>44991</v>
      </c>
      <c r="C400" s="27" t="s">
        <v>340</v>
      </c>
      <c r="D400" s="32">
        <v>4207</v>
      </c>
      <c r="E400" s="28" t="s">
        <v>480</v>
      </c>
      <c r="F400" s="28" t="s">
        <v>473</v>
      </c>
      <c r="G400" s="26">
        <v>44</v>
      </c>
      <c r="H400" s="35">
        <v>15</v>
      </c>
      <c r="I400" s="35">
        <v>0</v>
      </c>
      <c r="J400" s="35">
        <v>0</v>
      </c>
      <c r="K400" s="35">
        <v>660</v>
      </c>
    </row>
    <row r="401" spans="2:11" x14ac:dyDescent="0.35">
      <c r="B401" s="31">
        <v>44991</v>
      </c>
      <c r="C401" s="27" t="s">
        <v>341</v>
      </c>
      <c r="D401" s="32">
        <v>13323</v>
      </c>
      <c r="E401" s="28" t="s">
        <v>490</v>
      </c>
      <c r="F401" s="28" t="s">
        <v>475</v>
      </c>
      <c r="G401" s="26">
        <v>1</v>
      </c>
      <c r="H401" s="35">
        <v>0</v>
      </c>
      <c r="I401" s="35">
        <v>0</v>
      </c>
      <c r="J401" s="35">
        <v>0</v>
      </c>
      <c r="K401" s="35">
        <v>0</v>
      </c>
    </row>
    <row r="402" spans="2:11" x14ac:dyDescent="0.35">
      <c r="B402" s="31">
        <v>44991</v>
      </c>
      <c r="C402" s="27" t="s">
        <v>341</v>
      </c>
      <c r="D402" s="32">
        <v>13323</v>
      </c>
      <c r="E402" s="28" t="s">
        <v>482</v>
      </c>
      <c r="F402" s="28" t="s">
        <v>475</v>
      </c>
      <c r="G402" s="26">
        <v>1</v>
      </c>
      <c r="H402" s="35">
        <v>180</v>
      </c>
      <c r="I402" s="35">
        <v>0</v>
      </c>
      <c r="J402" s="35">
        <v>14.04</v>
      </c>
      <c r="K402" s="35">
        <v>194.04</v>
      </c>
    </row>
    <row r="403" spans="2:11" x14ac:dyDescent="0.35">
      <c r="B403" s="31">
        <v>44991</v>
      </c>
      <c r="C403" s="27" t="s">
        <v>342</v>
      </c>
      <c r="D403" s="32">
        <v>10830</v>
      </c>
      <c r="E403" s="28" t="s">
        <v>493</v>
      </c>
      <c r="F403" s="28" t="s">
        <v>473</v>
      </c>
      <c r="G403" s="26">
        <v>1</v>
      </c>
      <c r="H403" s="35">
        <v>0</v>
      </c>
      <c r="I403" s="35">
        <v>0</v>
      </c>
      <c r="J403" s="35">
        <v>0</v>
      </c>
      <c r="K403" s="35">
        <v>0</v>
      </c>
    </row>
    <row r="404" spans="2:11" x14ac:dyDescent="0.35">
      <c r="B404" s="31">
        <v>44992</v>
      </c>
      <c r="C404" s="27" t="s">
        <v>343</v>
      </c>
      <c r="D404" s="32">
        <v>935</v>
      </c>
      <c r="E404" s="28" t="s">
        <v>500</v>
      </c>
      <c r="F404" s="28" t="s">
        <v>476</v>
      </c>
      <c r="G404" s="26">
        <v>1</v>
      </c>
      <c r="H404" s="35">
        <v>0</v>
      </c>
      <c r="I404" s="35">
        <v>0</v>
      </c>
      <c r="J404" s="35">
        <v>0</v>
      </c>
      <c r="K404" s="35">
        <v>0</v>
      </c>
    </row>
    <row r="405" spans="2:11" x14ac:dyDescent="0.35">
      <c r="B405" s="31">
        <v>44992</v>
      </c>
      <c r="C405" s="27" t="s">
        <v>344</v>
      </c>
      <c r="D405" s="32">
        <v>935</v>
      </c>
      <c r="E405" s="28" t="s">
        <v>500</v>
      </c>
      <c r="F405" s="28" t="s">
        <v>476</v>
      </c>
      <c r="G405" s="26">
        <v>1</v>
      </c>
      <c r="H405" s="35">
        <v>950</v>
      </c>
      <c r="I405" s="35">
        <v>0</v>
      </c>
      <c r="J405" s="35">
        <v>0</v>
      </c>
      <c r="K405" s="35">
        <v>950</v>
      </c>
    </row>
    <row r="406" spans="2:11" x14ac:dyDescent="0.35">
      <c r="B406" s="31">
        <v>44992</v>
      </c>
      <c r="C406" s="27" t="s">
        <v>345</v>
      </c>
      <c r="D406" s="32">
        <v>17900</v>
      </c>
      <c r="E406" s="28" t="s">
        <v>482</v>
      </c>
      <c r="F406" s="28" t="s">
        <v>475</v>
      </c>
      <c r="G406" s="26">
        <v>1</v>
      </c>
      <c r="H406" s="35">
        <v>180</v>
      </c>
      <c r="I406" s="35">
        <v>0</v>
      </c>
      <c r="J406" s="35">
        <v>14.04</v>
      </c>
      <c r="K406" s="35">
        <v>194.04</v>
      </c>
    </row>
    <row r="407" spans="2:11" x14ac:dyDescent="0.35">
      <c r="B407" s="31">
        <v>44992</v>
      </c>
      <c r="C407" s="27" t="s">
        <v>345</v>
      </c>
      <c r="D407" s="32">
        <v>17900</v>
      </c>
      <c r="E407" s="28" t="s">
        <v>490</v>
      </c>
      <c r="F407" s="28" t="s">
        <v>475</v>
      </c>
      <c r="G407" s="26">
        <v>1</v>
      </c>
      <c r="H407" s="35">
        <v>0</v>
      </c>
      <c r="I407" s="35">
        <v>0</v>
      </c>
      <c r="J407" s="35">
        <v>0</v>
      </c>
      <c r="K407" s="35">
        <v>0</v>
      </c>
    </row>
    <row r="408" spans="2:11" x14ac:dyDescent="0.35">
      <c r="B408" s="31">
        <v>44992</v>
      </c>
      <c r="C408" s="27" t="s">
        <v>346</v>
      </c>
      <c r="D408" s="32">
        <v>17908</v>
      </c>
      <c r="E408" s="28" t="s">
        <v>482</v>
      </c>
      <c r="F408" s="28" t="s">
        <v>476</v>
      </c>
      <c r="G408" s="26">
        <v>1</v>
      </c>
      <c r="H408" s="35">
        <v>3000</v>
      </c>
      <c r="I408" s="35">
        <v>0</v>
      </c>
      <c r="J408" s="35">
        <v>234</v>
      </c>
      <c r="K408" s="35">
        <v>3234</v>
      </c>
    </row>
    <row r="409" spans="2:11" x14ac:dyDescent="0.35">
      <c r="B409" s="31">
        <v>44992</v>
      </c>
      <c r="C409" s="27" t="s">
        <v>347</v>
      </c>
      <c r="D409" s="32">
        <v>748</v>
      </c>
      <c r="E409" s="28" t="s">
        <v>491</v>
      </c>
      <c r="F409" s="28" t="s">
        <v>475</v>
      </c>
      <c r="G409" s="26">
        <v>1</v>
      </c>
      <c r="H409" s="35">
        <v>67</v>
      </c>
      <c r="I409" s="35">
        <v>0</v>
      </c>
      <c r="J409" s="35">
        <v>5.23</v>
      </c>
      <c r="K409" s="35">
        <v>72.23</v>
      </c>
    </row>
    <row r="410" spans="2:11" x14ac:dyDescent="0.35">
      <c r="B410" s="31">
        <v>44992</v>
      </c>
      <c r="C410" s="27" t="s">
        <v>348</v>
      </c>
      <c r="D410" s="32">
        <v>5360</v>
      </c>
      <c r="E410" s="28" t="s">
        <v>492</v>
      </c>
      <c r="F410" s="28" t="s">
        <v>476</v>
      </c>
      <c r="G410" s="26">
        <v>1</v>
      </c>
      <c r="H410" s="35">
        <v>0</v>
      </c>
      <c r="I410" s="35">
        <v>0</v>
      </c>
      <c r="J410" s="35">
        <v>0</v>
      </c>
      <c r="K410" s="35">
        <v>0</v>
      </c>
    </row>
    <row r="411" spans="2:11" x14ac:dyDescent="0.35">
      <c r="B411" s="31">
        <v>44992</v>
      </c>
      <c r="C411" s="27" t="s">
        <v>348</v>
      </c>
      <c r="D411" s="32">
        <v>5360</v>
      </c>
      <c r="E411" s="28" t="s">
        <v>490</v>
      </c>
      <c r="F411" s="28" t="s">
        <v>475</v>
      </c>
      <c r="G411" s="26">
        <v>1</v>
      </c>
      <c r="H411" s="35">
        <v>5</v>
      </c>
      <c r="I411" s="35">
        <v>0</v>
      </c>
      <c r="J411" s="35">
        <v>0.35</v>
      </c>
      <c r="K411" s="35">
        <v>5.35</v>
      </c>
    </row>
    <row r="412" spans="2:11" x14ac:dyDescent="0.35">
      <c r="B412" s="31">
        <v>44992</v>
      </c>
      <c r="C412" s="27" t="s">
        <v>348</v>
      </c>
      <c r="D412" s="32">
        <v>5360</v>
      </c>
      <c r="E412" s="28" t="s">
        <v>495</v>
      </c>
      <c r="F412" s="28" t="s">
        <v>476</v>
      </c>
      <c r="G412" s="26">
        <v>1</v>
      </c>
      <c r="H412" s="35">
        <v>5</v>
      </c>
      <c r="I412" s="35">
        <v>0</v>
      </c>
      <c r="J412" s="35">
        <v>0.35</v>
      </c>
      <c r="K412" s="35">
        <v>5.35</v>
      </c>
    </row>
    <row r="413" spans="2:11" x14ac:dyDescent="0.35">
      <c r="B413" s="31">
        <v>44992</v>
      </c>
      <c r="C413" s="27" t="s">
        <v>349</v>
      </c>
      <c r="D413" s="32">
        <v>8533</v>
      </c>
      <c r="E413" s="28" t="s">
        <v>485</v>
      </c>
      <c r="F413" s="28" t="s">
        <v>474</v>
      </c>
      <c r="G413" s="26">
        <v>1</v>
      </c>
      <c r="H413" s="35">
        <v>169</v>
      </c>
      <c r="I413" s="35">
        <v>84.5</v>
      </c>
      <c r="J413" s="35">
        <v>6.59</v>
      </c>
      <c r="K413" s="35">
        <v>91.09</v>
      </c>
    </row>
    <row r="414" spans="2:11" x14ac:dyDescent="0.35">
      <c r="B414" s="31">
        <v>44993</v>
      </c>
      <c r="C414" s="27" t="s">
        <v>350</v>
      </c>
      <c r="D414" s="32">
        <v>584</v>
      </c>
      <c r="E414" s="28" t="s">
        <v>493</v>
      </c>
      <c r="F414" s="28" t="s">
        <v>473</v>
      </c>
      <c r="G414" s="26">
        <v>1</v>
      </c>
      <c r="H414" s="35">
        <v>350</v>
      </c>
      <c r="I414" s="35">
        <v>0</v>
      </c>
      <c r="J414" s="35">
        <v>0</v>
      </c>
      <c r="K414" s="35">
        <v>350</v>
      </c>
    </row>
    <row r="415" spans="2:11" x14ac:dyDescent="0.35">
      <c r="B415" s="31">
        <v>44993</v>
      </c>
      <c r="C415" s="27" t="s">
        <v>351</v>
      </c>
      <c r="D415" s="32">
        <v>110</v>
      </c>
      <c r="E415" s="28" t="s">
        <v>480</v>
      </c>
      <c r="F415" s="28" t="s">
        <v>473</v>
      </c>
      <c r="G415" s="26">
        <v>24</v>
      </c>
      <c r="H415" s="35">
        <v>15</v>
      </c>
      <c r="I415" s="35">
        <v>0</v>
      </c>
      <c r="J415" s="35">
        <v>0</v>
      </c>
      <c r="K415" s="35">
        <v>360</v>
      </c>
    </row>
    <row r="416" spans="2:11" x14ac:dyDescent="0.35">
      <c r="B416" s="31">
        <v>44993</v>
      </c>
      <c r="C416" s="27" t="s">
        <v>352</v>
      </c>
      <c r="D416" s="32">
        <v>4175</v>
      </c>
      <c r="E416" s="28" t="s">
        <v>486</v>
      </c>
      <c r="F416" s="28" t="s">
        <v>473</v>
      </c>
      <c r="G416" s="26">
        <v>1</v>
      </c>
      <c r="H416" s="35">
        <v>650</v>
      </c>
      <c r="I416" s="35">
        <v>73.584900000000005</v>
      </c>
      <c r="J416" s="35">
        <v>0</v>
      </c>
      <c r="K416" s="35">
        <v>576.41509999999994</v>
      </c>
    </row>
    <row r="417" spans="2:11" x14ac:dyDescent="0.35">
      <c r="B417" s="31">
        <v>44993</v>
      </c>
      <c r="C417" s="27" t="s">
        <v>352</v>
      </c>
      <c r="D417" s="32">
        <v>4175</v>
      </c>
      <c r="E417" s="28" t="s">
        <v>500</v>
      </c>
      <c r="F417" s="28" t="s">
        <v>473</v>
      </c>
      <c r="G417" s="26">
        <v>1</v>
      </c>
      <c r="H417" s="35">
        <v>675</v>
      </c>
      <c r="I417" s="35">
        <v>76.415099999999995</v>
      </c>
      <c r="J417" s="35">
        <v>0</v>
      </c>
      <c r="K417" s="35">
        <v>598.58490000000006</v>
      </c>
    </row>
    <row r="418" spans="2:11" x14ac:dyDescent="0.35">
      <c r="B418" s="31">
        <v>44993</v>
      </c>
      <c r="C418" s="27" t="s">
        <v>353</v>
      </c>
      <c r="D418" s="32">
        <v>16818</v>
      </c>
      <c r="E418" s="28" t="s">
        <v>482</v>
      </c>
      <c r="F418" s="28" t="s">
        <v>475</v>
      </c>
      <c r="G418" s="26">
        <v>1</v>
      </c>
      <c r="H418" s="35">
        <v>180</v>
      </c>
      <c r="I418" s="35">
        <v>0</v>
      </c>
      <c r="J418" s="35">
        <v>14.04</v>
      </c>
      <c r="K418" s="35">
        <v>194.04</v>
      </c>
    </row>
    <row r="419" spans="2:11" x14ac:dyDescent="0.35">
      <c r="B419" s="31">
        <v>44993</v>
      </c>
      <c r="C419" s="27" t="s">
        <v>354</v>
      </c>
      <c r="D419" s="32">
        <v>968</v>
      </c>
      <c r="E419" s="28" t="s">
        <v>480</v>
      </c>
      <c r="F419" s="28" t="s">
        <v>473</v>
      </c>
      <c r="G419" s="26">
        <v>48</v>
      </c>
      <c r="H419" s="35">
        <v>15</v>
      </c>
      <c r="I419" s="35">
        <v>0</v>
      </c>
      <c r="J419" s="35">
        <v>0</v>
      </c>
      <c r="K419" s="35">
        <v>720</v>
      </c>
    </row>
    <row r="420" spans="2:11" x14ac:dyDescent="0.35">
      <c r="B420" s="31">
        <v>44993</v>
      </c>
      <c r="C420" s="27" t="s">
        <v>355</v>
      </c>
      <c r="D420" s="32">
        <v>559</v>
      </c>
      <c r="E420" s="28" t="s">
        <v>494</v>
      </c>
      <c r="F420" s="28" t="s">
        <v>473</v>
      </c>
      <c r="G420" s="26">
        <v>1</v>
      </c>
      <c r="H420" s="35">
        <v>200</v>
      </c>
      <c r="I420" s="35">
        <v>0</v>
      </c>
      <c r="J420" s="35">
        <v>0</v>
      </c>
      <c r="K420" s="35">
        <v>200</v>
      </c>
    </row>
    <row r="421" spans="2:11" x14ac:dyDescent="0.35">
      <c r="B421" s="31">
        <v>44993</v>
      </c>
      <c r="C421" s="27" t="s">
        <v>356</v>
      </c>
      <c r="D421" s="32">
        <v>13205</v>
      </c>
      <c r="E421" s="28" t="s">
        <v>480</v>
      </c>
      <c r="F421" s="28" t="s">
        <v>473</v>
      </c>
      <c r="G421" s="26">
        <v>1</v>
      </c>
      <c r="H421" s="35">
        <v>0</v>
      </c>
      <c r="I421" s="35">
        <v>0</v>
      </c>
      <c r="J421" s="35">
        <v>0</v>
      </c>
      <c r="K421" s="35">
        <v>0</v>
      </c>
    </row>
    <row r="422" spans="2:11" x14ac:dyDescent="0.35">
      <c r="B422" s="31">
        <v>44993</v>
      </c>
      <c r="C422" s="27" t="s">
        <v>357</v>
      </c>
      <c r="D422" s="32">
        <v>515</v>
      </c>
      <c r="E422" s="28" t="s">
        <v>490</v>
      </c>
      <c r="F422" s="28" t="s">
        <v>475</v>
      </c>
      <c r="G422" s="26">
        <v>1</v>
      </c>
      <c r="H422" s="35">
        <v>0</v>
      </c>
      <c r="I422" s="35">
        <v>0</v>
      </c>
      <c r="J422" s="35">
        <v>0</v>
      </c>
      <c r="K422" s="35">
        <v>0</v>
      </c>
    </row>
    <row r="423" spans="2:11" x14ac:dyDescent="0.35">
      <c r="B423" s="31">
        <v>44993</v>
      </c>
      <c r="C423" s="27" t="s">
        <v>357</v>
      </c>
      <c r="D423" s="32">
        <v>515</v>
      </c>
      <c r="E423" s="28" t="s">
        <v>482</v>
      </c>
      <c r="F423" s="28" t="s">
        <v>475</v>
      </c>
      <c r="G423" s="26">
        <v>1</v>
      </c>
      <c r="H423" s="35">
        <v>180</v>
      </c>
      <c r="I423" s="35">
        <v>0</v>
      </c>
      <c r="J423" s="35">
        <v>14.04</v>
      </c>
      <c r="K423" s="35">
        <v>194.04</v>
      </c>
    </row>
    <row r="424" spans="2:11" x14ac:dyDescent="0.35">
      <c r="B424" s="31">
        <v>44993</v>
      </c>
      <c r="C424" s="27" t="s">
        <v>357</v>
      </c>
      <c r="D424" s="32">
        <v>515</v>
      </c>
      <c r="E424" s="28" t="s">
        <v>489</v>
      </c>
      <c r="F424" s="28" t="s">
        <v>475</v>
      </c>
      <c r="G424" s="26">
        <v>1</v>
      </c>
      <c r="H424" s="35">
        <v>130</v>
      </c>
      <c r="I424" s="35">
        <v>0</v>
      </c>
      <c r="J424" s="35">
        <v>10.14</v>
      </c>
      <c r="K424" s="35">
        <v>140.13999999999999</v>
      </c>
    </row>
    <row r="425" spans="2:11" x14ac:dyDescent="0.35">
      <c r="B425" s="31">
        <v>44993</v>
      </c>
      <c r="C425" s="27" t="s">
        <v>358</v>
      </c>
      <c r="D425" s="32">
        <v>123</v>
      </c>
      <c r="E425" s="28" t="s">
        <v>495</v>
      </c>
      <c r="F425" s="28" t="s">
        <v>477</v>
      </c>
      <c r="G425" s="26">
        <v>1</v>
      </c>
      <c r="H425" s="35">
        <v>40</v>
      </c>
      <c r="I425" s="35">
        <v>0</v>
      </c>
      <c r="J425" s="35">
        <v>3.12</v>
      </c>
      <c r="K425" s="35">
        <v>43.12</v>
      </c>
    </row>
    <row r="426" spans="2:11" x14ac:dyDescent="0.35">
      <c r="B426" s="31">
        <v>44994</v>
      </c>
      <c r="C426" s="27" t="s">
        <v>359</v>
      </c>
      <c r="D426" s="32">
        <v>10799</v>
      </c>
      <c r="E426" s="28" t="s">
        <v>497</v>
      </c>
      <c r="F426" s="28" t="s">
        <v>475</v>
      </c>
      <c r="G426" s="26">
        <v>1</v>
      </c>
      <c r="H426" s="35">
        <v>125</v>
      </c>
      <c r="I426" s="35">
        <v>0</v>
      </c>
      <c r="J426" s="35">
        <v>8.75</v>
      </c>
      <c r="K426" s="35">
        <v>133.75</v>
      </c>
    </row>
    <row r="427" spans="2:11" x14ac:dyDescent="0.35">
      <c r="B427" s="31">
        <v>44994</v>
      </c>
      <c r="C427" s="27" t="s">
        <v>360</v>
      </c>
      <c r="D427" s="32">
        <v>16791</v>
      </c>
      <c r="E427" s="28" t="s">
        <v>495</v>
      </c>
      <c r="F427" s="28" t="s">
        <v>476</v>
      </c>
      <c r="G427" s="26">
        <v>1</v>
      </c>
      <c r="H427" s="35">
        <v>0</v>
      </c>
      <c r="I427" s="35">
        <v>0</v>
      </c>
      <c r="J427" s="35">
        <v>0</v>
      </c>
      <c r="K427" s="35">
        <v>0</v>
      </c>
    </row>
    <row r="428" spans="2:11" x14ac:dyDescent="0.35">
      <c r="B428" s="31">
        <v>44994</v>
      </c>
      <c r="C428" s="27" t="s">
        <v>361</v>
      </c>
      <c r="D428" s="32">
        <v>17857</v>
      </c>
      <c r="E428" s="28" t="s">
        <v>482</v>
      </c>
      <c r="F428" s="28" t="s">
        <v>475</v>
      </c>
      <c r="G428" s="26">
        <v>1</v>
      </c>
      <c r="H428" s="35">
        <v>180</v>
      </c>
      <c r="I428" s="35">
        <v>0</v>
      </c>
      <c r="J428" s="35">
        <v>14.04</v>
      </c>
      <c r="K428" s="35">
        <v>194.04</v>
      </c>
    </row>
    <row r="429" spans="2:11" x14ac:dyDescent="0.35">
      <c r="B429" s="31">
        <v>44994</v>
      </c>
      <c r="C429" s="27" t="s">
        <v>361</v>
      </c>
      <c r="D429" s="32">
        <v>17857</v>
      </c>
      <c r="E429" s="28" t="s">
        <v>482</v>
      </c>
      <c r="F429" s="28" t="s">
        <v>475</v>
      </c>
      <c r="G429" s="26">
        <v>1</v>
      </c>
      <c r="H429" s="35">
        <v>159</v>
      </c>
      <c r="I429" s="35">
        <v>0</v>
      </c>
      <c r="J429" s="35">
        <v>12.4</v>
      </c>
      <c r="K429" s="35">
        <v>171.4</v>
      </c>
    </row>
    <row r="430" spans="2:11" x14ac:dyDescent="0.35">
      <c r="B430" s="31">
        <v>44994</v>
      </c>
      <c r="C430" s="27" t="s">
        <v>362</v>
      </c>
      <c r="D430" s="32">
        <v>748</v>
      </c>
      <c r="E430" s="28" t="s">
        <v>481</v>
      </c>
      <c r="F430" s="28" t="s">
        <v>475</v>
      </c>
      <c r="G430" s="26">
        <v>1</v>
      </c>
      <c r="H430" s="35">
        <v>49</v>
      </c>
      <c r="I430" s="35">
        <v>0</v>
      </c>
      <c r="J430" s="35">
        <v>3.82</v>
      </c>
      <c r="K430" s="35">
        <v>52.82</v>
      </c>
    </row>
    <row r="431" spans="2:11" x14ac:dyDescent="0.35">
      <c r="B431" s="31">
        <v>44994</v>
      </c>
      <c r="C431" s="27" t="s">
        <v>362</v>
      </c>
      <c r="D431" s="32">
        <v>748</v>
      </c>
      <c r="E431" s="28" t="s">
        <v>482</v>
      </c>
      <c r="F431" s="28" t="s">
        <v>475</v>
      </c>
      <c r="G431" s="26">
        <v>1</v>
      </c>
      <c r="H431" s="35">
        <v>180</v>
      </c>
      <c r="I431" s="35">
        <v>0</v>
      </c>
      <c r="J431" s="35">
        <v>14.04</v>
      </c>
      <c r="K431" s="35">
        <v>194.04</v>
      </c>
    </row>
    <row r="432" spans="2:11" x14ac:dyDescent="0.35">
      <c r="B432" s="31">
        <v>44994</v>
      </c>
      <c r="C432" s="27" t="s">
        <v>363</v>
      </c>
      <c r="D432" s="32">
        <v>13073</v>
      </c>
      <c r="E432" s="28" t="s">
        <v>490</v>
      </c>
      <c r="F432" s="28" t="s">
        <v>475</v>
      </c>
      <c r="G432" s="26">
        <v>1</v>
      </c>
      <c r="H432" s="35">
        <v>5</v>
      </c>
      <c r="I432" s="35">
        <v>0</v>
      </c>
      <c r="J432" s="35">
        <v>0.35</v>
      </c>
      <c r="K432" s="35">
        <v>5.35</v>
      </c>
    </row>
    <row r="433" spans="2:11" x14ac:dyDescent="0.35">
      <c r="B433" s="31">
        <v>44994</v>
      </c>
      <c r="C433" s="27" t="s">
        <v>364</v>
      </c>
      <c r="D433" s="32">
        <v>17919</v>
      </c>
      <c r="E433" s="28" t="s">
        <v>486</v>
      </c>
      <c r="F433" s="28" t="s">
        <v>474</v>
      </c>
      <c r="G433" s="26">
        <v>1</v>
      </c>
      <c r="H433" s="35">
        <v>17.5</v>
      </c>
      <c r="I433" s="35">
        <v>0</v>
      </c>
      <c r="J433" s="35">
        <v>1.37</v>
      </c>
      <c r="K433" s="35">
        <v>18.87</v>
      </c>
    </row>
    <row r="434" spans="2:11" x14ac:dyDescent="0.35">
      <c r="B434" s="31">
        <v>44994</v>
      </c>
      <c r="C434" s="27" t="s">
        <v>365</v>
      </c>
      <c r="D434" s="32">
        <v>704</v>
      </c>
      <c r="E434" s="28" t="s">
        <v>500</v>
      </c>
      <c r="F434" s="28" t="s">
        <v>474</v>
      </c>
      <c r="G434" s="26">
        <v>1</v>
      </c>
      <c r="H434" s="35">
        <v>95</v>
      </c>
      <c r="I434" s="35">
        <v>0</v>
      </c>
      <c r="J434" s="35">
        <v>7.41</v>
      </c>
      <c r="K434" s="35">
        <v>102.41</v>
      </c>
    </row>
    <row r="435" spans="2:11" x14ac:dyDescent="0.35">
      <c r="B435" s="31">
        <v>44994</v>
      </c>
      <c r="C435" s="27" t="s">
        <v>365</v>
      </c>
      <c r="D435" s="32">
        <v>704</v>
      </c>
      <c r="E435" s="28" t="s">
        <v>486</v>
      </c>
      <c r="F435" s="28" t="s">
        <v>474</v>
      </c>
      <c r="G435" s="26">
        <v>1</v>
      </c>
      <c r="H435" s="35">
        <v>17.5</v>
      </c>
      <c r="I435" s="35">
        <v>0</v>
      </c>
      <c r="J435" s="35">
        <v>1.37</v>
      </c>
      <c r="K435" s="35">
        <v>18.87</v>
      </c>
    </row>
    <row r="436" spans="2:11" x14ac:dyDescent="0.35">
      <c r="B436" s="31">
        <v>44994</v>
      </c>
      <c r="C436" s="27" t="s">
        <v>365</v>
      </c>
      <c r="D436" s="32">
        <v>704</v>
      </c>
      <c r="E436" s="28" t="s">
        <v>488</v>
      </c>
      <c r="F436" s="28" t="s">
        <v>474</v>
      </c>
      <c r="G436" s="26">
        <v>1</v>
      </c>
      <c r="H436" s="35">
        <v>19.989999999999998</v>
      </c>
      <c r="I436" s="35">
        <v>0</v>
      </c>
      <c r="J436" s="35">
        <v>1.56</v>
      </c>
      <c r="K436" s="35">
        <v>21.549999999999997</v>
      </c>
    </row>
    <row r="437" spans="2:11" x14ac:dyDescent="0.35">
      <c r="B437" s="31">
        <v>44994</v>
      </c>
      <c r="C437" s="27" t="s">
        <v>366</v>
      </c>
      <c r="D437" s="32">
        <v>5323</v>
      </c>
      <c r="E437" s="28" t="s">
        <v>498</v>
      </c>
      <c r="F437" s="28" t="s">
        <v>474</v>
      </c>
      <c r="G437" s="26">
        <v>1</v>
      </c>
      <c r="H437" s="35">
        <v>70</v>
      </c>
      <c r="I437" s="35">
        <v>35</v>
      </c>
      <c r="J437" s="35">
        <v>2.73</v>
      </c>
      <c r="K437" s="35">
        <v>37.729999999999997</v>
      </c>
    </row>
    <row r="438" spans="2:11" x14ac:dyDescent="0.35">
      <c r="B438" s="31">
        <v>44995</v>
      </c>
      <c r="C438" s="27" t="s">
        <v>367</v>
      </c>
      <c r="D438" s="32">
        <v>4274</v>
      </c>
      <c r="E438" s="28" t="s">
        <v>480</v>
      </c>
      <c r="F438" s="28" t="s">
        <v>476</v>
      </c>
      <c r="G438" s="26">
        <v>3</v>
      </c>
      <c r="H438" s="35">
        <v>15</v>
      </c>
      <c r="I438" s="35">
        <v>0</v>
      </c>
      <c r="J438" s="35">
        <v>0</v>
      </c>
      <c r="K438" s="35">
        <v>45</v>
      </c>
    </row>
    <row r="439" spans="2:11" x14ac:dyDescent="0.35">
      <c r="B439" s="31">
        <v>44995</v>
      </c>
      <c r="C439" s="27" t="s">
        <v>368</v>
      </c>
      <c r="D439" s="32">
        <v>17866</v>
      </c>
      <c r="E439" s="28" t="s">
        <v>501</v>
      </c>
      <c r="F439" s="28" t="s">
        <v>476</v>
      </c>
      <c r="G439" s="26">
        <v>1</v>
      </c>
      <c r="H439" s="35">
        <v>0</v>
      </c>
      <c r="I439" s="35">
        <v>0</v>
      </c>
      <c r="J439" s="35">
        <v>0</v>
      </c>
      <c r="K439" s="35">
        <v>0</v>
      </c>
    </row>
    <row r="440" spans="2:11" x14ac:dyDescent="0.35">
      <c r="B440" s="31">
        <v>44995</v>
      </c>
      <c r="C440" s="27" t="s">
        <v>369</v>
      </c>
      <c r="D440" s="32">
        <v>8714</v>
      </c>
      <c r="E440" s="28" t="s">
        <v>482</v>
      </c>
      <c r="F440" s="28" t="s">
        <v>476</v>
      </c>
      <c r="G440" s="26">
        <v>1</v>
      </c>
      <c r="H440" s="35">
        <v>50</v>
      </c>
      <c r="I440" s="35">
        <v>0</v>
      </c>
      <c r="J440" s="35">
        <v>3.9</v>
      </c>
      <c r="K440" s="35">
        <v>53.9</v>
      </c>
    </row>
    <row r="441" spans="2:11" x14ac:dyDescent="0.35">
      <c r="B441" s="31">
        <v>44995</v>
      </c>
      <c r="C441" s="27" t="s">
        <v>369</v>
      </c>
      <c r="D441" s="32">
        <v>8714</v>
      </c>
      <c r="E441" s="28" t="s">
        <v>490</v>
      </c>
      <c r="F441" s="28" t="s">
        <v>476</v>
      </c>
      <c r="G441" s="26">
        <v>1</v>
      </c>
      <c r="H441" s="35">
        <v>0</v>
      </c>
      <c r="I441" s="35">
        <v>0</v>
      </c>
      <c r="J441" s="35">
        <v>0</v>
      </c>
      <c r="K441" s="35">
        <v>0</v>
      </c>
    </row>
    <row r="442" spans="2:11" x14ac:dyDescent="0.35">
      <c r="B442" s="31">
        <v>44995</v>
      </c>
      <c r="C442" s="27" t="s">
        <v>369</v>
      </c>
      <c r="D442" s="32">
        <v>8714</v>
      </c>
      <c r="E442" s="28" t="s">
        <v>485</v>
      </c>
      <c r="F442" s="28" t="s">
        <v>476</v>
      </c>
      <c r="G442" s="26">
        <v>36</v>
      </c>
      <c r="H442" s="35">
        <v>6.5</v>
      </c>
      <c r="I442" s="35">
        <v>0</v>
      </c>
      <c r="J442" s="35">
        <v>0</v>
      </c>
      <c r="K442" s="35">
        <v>234</v>
      </c>
    </row>
    <row r="443" spans="2:11" x14ac:dyDescent="0.35">
      <c r="B443" s="31">
        <v>44995</v>
      </c>
      <c r="C443" s="27" t="s">
        <v>370</v>
      </c>
      <c r="D443" s="32">
        <v>16791</v>
      </c>
      <c r="E443" s="28" t="s">
        <v>486</v>
      </c>
      <c r="F443" s="28" t="s">
        <v>476</v>
      </c>
      <c r="G443" s="26">
        <v>1</v>
      </c>
      <c r="H443" s="35">
        <v>650</v>
      </c>
      <c r="I443" s="35">
        <v>0</v>
      </c>
      <c r="J443" s="35">
        <v>0</v>
      </c>
      <c r="K443" s="35">
        <v>650</v>
      </c>
    </row>
    <row r="444" spans="2:11" x14ac:dyDescent="0.35">
      <c r="B444" s="31">
        <v>44995</v>
      </c>
      <c r="C444" s="27" t="s">
        <v>371</v>
      </c>
      <c r="D444" s="32">
        <v>641</v>
      </c>
      <c r="E444" s="28" t="s">
        <v>482</v>
      </c>
      <c r="F444" s="28" t="s">
        <v>476</v>
      </c>
      <c r="G444" s="26">
        <v>1</v>
      </c>
      <c r="H444" s="35">
        <v>3000</v>
      </c>
      <c r="I444" s="35">
        <v>0</v>
      </c>
      <c r="J444" s="35">
        <v>234</v>
      </c>
      <c r="K444" s="35">
        <v>3234</v>
      </c>
    </row>
    <row r="445" spans="2:11" x14ac:dyDescent="0.35">
      <c r="B445" s="31">
        <v>44998</v>
      </c>
      <c r="C445" s="27" t="s">
        <v>372</v>
      </c>
      <c r="D445" s="32">
        <v>4270</v>
      </c>
      <c r="E445" s="28" t="s">
        <v>490</v>
      </c>
      <c r="F445" s="28" t="s">
        <v>475</v>
      </c>
      <c r="G445" s="26">
        <v>1</v>
      </c>
      <c r="H445" s="35">
        <v>50</v>
      </c>
      <c r="I445" s="35">
        <v>7.5</v>
      </c>
      <c r="J445" s="35">
        <v>2.98</v>
      </c>
      <c r="K445" s="35">
        <v>45.48</v>
      </c>
    </row>
    <row r="446" spans="2:11" x14ac:dyDescent="0.35">
      <c r="B446" s="31">
        <v>44998</v>
      </c>
      <c r="C446" s="27" t="s">
        <v>372</v>
      </c>
      <c r="D446" s="32">
        <v>4270</v>
      </c>
      <c r="E446" s="28" t="s">
        <v>490</v>
      </c>
      <c r="F446" s="28" t="s">
        <v>475</v>
      </c>
      <c r="G446" s="26">
        <v>1</v>
      </c>
      <c r="H446" s="35">
        <v>35</v>
      </c>
      <c r="I446" s="35">
        <v>5.25</v>
      </c>
      <c r="J446" s="35">
        <v>2.08</v>
      </c>
      <c r="K446" s="35">
        <v>31.83</v>
      </c>
    </row>
    <row r="447" spans="2:11" x14ac:dyDescent="0.35">
      <c r="B447" s="31">
        <v>44998</v>
      </c>
      <c r="C447" s="27" t="s">
        <v>373</v>
      </c>
      <c r="D447" s="32">
        <v>16747</v>
      </c>
      <c r="E447" s="28" t="s">
        <v>482</v>
      </c>
      <c r="F447" s="28" t="s">
        <v>473</v>
      </c>
      <c r="G447" s="26">
        <v>1</v>
      </c>
      <c r="H447" s="35">
        <v>0</v>
      </c>
      <c r="I447" s="35">
        <v>0</v>
      </c>
      <c r="J447" s="35">
        <v>0</v>
      </c>
      <c r="K447" s="35">
        <v>0</v>
      </c>
    </row>
    <row r="448" spans="2:11" x14ac:dyDescent="0.35">
      <c r="B448" s="31">
        <v>44998</v>
      </c>
      <c r="C448" s="27" t="s">
        <v>374</v>
      </c>
      <c r="D448" s="32">
        <v>15446</v>
      </c>
      <c r="E448" s="28" t="s">
        <v>501</v>
      </c>
      <c r="F448" s="28" t="s">
        <v>475</v>
      </c>
      <c r="G448" s="26">
        <v>1</v>
      </c>
      <c r="H448" s="35">
        <v>0</v>
      </c>
      <c r="I448" s="35">
        <v>0</v>
      </c>
      <c r="J448" s="35">
        <v>0</v>
      </c>
      <c r="K448" s="35">
        <v>0</v>
      </c>
    </row>
    <row r="449" spans="2:11" x14ac:dyDescent="0.35">
      <c r="B449" s="31">
        <v>44998</v>
      </c>
      <c r="C449" s="27" t="s">
        <v>375</v>
      </c>
      <c r="D449" s="32">
        <v>17891</v>
      </c>
      <c r="E449" s="28" t="s">
        <v>490</v>
      </c>
      <c r="F449" s="28" t="s">
        <v>475</v>
      </c>
      <c r="G449" s="26">
        <v>1</v>
      </c>
      <c r="H449" s="35">
        <v>0</v>
      </c>
      <c r="I449" s="35">
        <v>0</v>
      </c>
      <c r="J449" s="35">
        <v>0</v>
      </c>
      <c r="K449" s="35">
        <v>0</v>
      </c>
    </row>
    <row r="450" spans="2:11" x14ac:dyDescent="0.35">
      <c r="B450" s="31">
        <v>44998</v>
      </c>
      <c r="C450" s="27" t="s">
        <v>375</v>
      </c>
      <c r="D450" s="32">
        <v>17891</v>
      </c>
      <c r="E450" s="28" t="s">
        <v>482</v>
      </c>
      <c r="F450" s="28" t="s">
        <v>475</v>
      </c>
      <c r="G450" s="26">
        <v>1</v>
      </c>
      <c r="H450" s="35">
        <v>180</v>
      </c>
      <c r="I450" s="35">
        <v>0</v>
      </c>
      <c r="J450" s="35">
        <v>14.04</v>
      </c>
      <c r="K450" s="35">
        <v>194.04</v>
      </c>
    </row>
    <row r="451" spans="2:11" x14ac:dyDescent="0.35">
      <c r="B451" s="31">
        <v>44998</v>
      </c>
      <c r="C451" s="27" t="s">
        <v>375</v>
      </c>
      <c r="D451" s="32">
        <v>17891</v>
      </c>
      <c r="E451" s="28" t="s">
        <v>481</v>
      </c>
      <c r="F451" s="28" t="s">
        <v>475</v>
      </c>
      <c r="G451" s="26">
        <v>1</v>
      </c>
      <c r="H451" s="35">
        <v>49</v>
      </c>
      <c r="I451" s="35">
        <v>0</v>
      </c>
      <c r="J451" s="35">
        <v>3.82</v>
      </c>
      <c r="K451" s="35">
        <v>52.82</v>
      </c>
    </row>
    <row r="452" spans="2:11" x14ac:dyDescent="0.35">
      <c r="B452" s="31">
        <v>44998</v>
      </c>
      <c r="C452" s="27" t="s">
        <v>375</v>
      </c>
      <c r="D452" s="32">
        <v>17891</v>
      </c>
      <c r="E452" s="28" t="s">
        <v>501</v>
      </c>
      <c r="F452" s="28" t="s">
        <v>475</v>
      </c>
      <c r="G452" s="26">
        <v>1</v>
      </c>
      <c r="H452" s="35">
        <v>130</v>
      </c>
      <c r="I452" s="35">
        <v>0</v>
      </c>
      <c r="J452" s="35">
        <v>10.14</v>
      </c>
      <c r="K452" s="35">
        <v>140.13999999999999</v>
      </c>
    </row>
    <row r="453" spans="2:11" x14ac:dyDescent="0.35">
      <c r="B453" s="31">
        <v>44998</v>
      </c>
      <c r="C453" s="27" t="s">
        <v>376</v>
      </c>
      <c r="D453" s="32">
        <v>288</v>
      </c>
      <c r="E453" s="28" t="s">
        <v>482</v>
      </c>
      <c r="F453" s="28" t="s">
        <v>475</v>
      </c>
      <c r="G453" s="26">
        <v>1</v>
      </c>
      <c r="H453" s="35">
        <v>180</v>
      </c>
      <c r="I453" s="35">
        <v>0</v>
      </c>
      <c r="J453" s="35">
        <v>14.04</v>
      </c>
      <c r="K453" s="35">
        <v>194.04</v>
      </c>
    </row>
    <row r="454" spans="2:11" x14ac:dyDescent="0.35">
      <c r="B454" s="31">
        <v>44998</v>
      </c>
      <c r="C454" s="27" t="s">
        <v>377</v>
      </c>
      <c r="D454" s="32">
        <v>288</v>
      </c>
      <c r="E454" s="28" t="s">
        <v>494</v>
      </c>
      <c r="F454" s="28" t="s">
        <v>473</v>
      </c>
      <c r="G454" s="26">
        <v>1</v>
      </c>
      <c r="H454" s="35">
        <v>675</v>
      </c>
      <c r="I454" s="35">
        <v>0</v>
      </c>
      <c r="J454" s="35">
        <v>0</v>
      </c>
      <c r="K454" s="35">
        <v>675</v>
      </c>
    </row>
    <row r="455" spans="2:11" x14ac:dyDescent="0.35">
      <c r="B455" s="31">
        <v>44998</v>
      </c>
      <c r="C455" s="27" t="s">
        <v>377</v>
      </c>
      <c r="D455" s="32">
        <v>288</v>
      </c>
      <c r="E455" s="28" t="s">
        <v>480</v>
      </c>
      <c r="F455" s="28" t="s">
        <v>473</v>
      </c>
      <c r="G455" s="26">
        <v>22</v>
      </c>
      <c r="H455" s="35">
        <v>15</v>
      </c>
      <c r="I455" s="35">
        <v>0</v>
      </c>
      <c r="J455" s="35">
        <v>0</v>
      </c>
      <c r="K455" s="35">
        <v>330</v>
      </c>
    </row>
    <row r="456" spans="2:11" x14ac:dyDescent="0.35">
      <c r="B456" s="31">
        <v>44998</v>
      </c>
      <c r="C456" s="27" t="s">
        <v>378</v>
      </c>
      <c r="D456" s="32">
        <v>65</v>
      </c>
      <c r="E456" s="28" t="s">
        <v>480</v>
      </c>
      <c r="F456" s="28" t="s">
        <v>473</v>
      </c>
      <c r="G456" s="26">
        <v>16</v>
      </c>
      <c r="H456" s="35">
        <v>15</v>
      </c>
      <c r="I456" s="35">
        <v>0</v>
      </c>
      <c r="J456" s="35">
        <v>0</v>
      </c>
      <c r="K456" s="35">
        <v>240</v>
      </c>
    </row>
    <row r="457" spans="2:11" x14ac:dyDescent="0.35">
      <c r="B457" s="31">
        <v>44998</v>
      </c>
      <c r="C457" s="27" t="s">
        <v>379</v>
      </c>
      <c r="D457" s="32">
        <v>16535</v>
      </c>
      <c r="E457" s="28" t="s">
        <v>480</v>
      </c>
      <c r="F457" s="28" t="s">
        <v>474</v>
      </c>
      <c r="G457" s="26">
        <v>1</v>
      </c>
      <c r="H457" s="35">
        <v>75</v>
      </c>
      <c r="I457" s="35">
        <v>0</v>
      </c>
      <c r="J457" s="35">
        <v>0</v>
      </c>
      <c r="K457" s="35">
        <v>75</v>
      </c>
    </row>
    <row r="458" spans="2:11" x14ac:dyDescent="0.35">
      <c r="B458" s="31">
        <v>44998</v>
      </c>
      <c r="C458" s="27" t="s">
        <v>380</v>
      </c>
      <c r="D458" s="32">
        <v>15446</v>
      </c>
      <c r="E458" s="28" t="s">
        <v>482</v>
      </c>
      <c r="F458" s="28" t="s">
        <v>475</v>
      </c>
      <c r="G458" s="26">
        <v>1</v>
      </c>
      <c r="H458" s="35">
        <v>180</v>
      </c>
      <c r="I458" s="35">
        <v>0</v>
      </c>
      <c r="J458" s="35">
        <v>14.04</v>
      </c>
      <c r="K458" s="35">
        <v>194.04</v>
      </c>
    </row>
    <row r="459" spans="2:11" x14ac:dyDescent="0.35">
      <c r="B459" s="31">
        <v>44998</v>
      </c>
      <c r="C459" s="27" t="s">
        <v>381</v>
      </c>
      <c r="D459" s="32">
        <v>201</v>
      </c>
      <c r="E459" s="28" t="s">
        <v>485</v>
      </c>
      <c r="F459" s="28" t="s">
        <v>474</v>
      </c>
      <c r="G459" s="26">
        <v>1</v>
      </c>
      <c r="H459" s="35">
        <v>169</v>
      </c>
      <c r="I459" s="35">
        <v>84.5</v>
      </c>
      <c r="J459" s="35">
        <v>6.59</v>
      </c>
      <c r="K459" s="35">
        <v>91.09</v>
      </c>
    </row>
    <row r="460" spans="2:11" x14ac:dyDescent="0.35">
      <c r="B460" s="31">
        <v>44998</v>
      </c>
      <c r="C460" s="27" t="s">
        <v>382</v>
      </c>
      <c r="D460" s="32">
        <v>8533</v>
      </c>
      <c r="E460" s="28" t="s">
        <v>481</v>
      </c>
      <c r="F460" s="28" t="s">
        <v>474</v>
      </c>
      <c r="G460" s="26">
        <v>1</v>
      </c>
      <c r="H460" s="35">
        <v>49</v>
      </c>
      <c r="I460" s="35">
        <v>24.5</v>
      </c>
      <c r="J460" s="35">
        <v>1.91</v>
      </c>
      <c r="K460" s="35">
        <v>26.41</v>
      </c>
    </row>
    <row r="461" spans="2:11" x14ac:dyDescent="0.35">
      <c r="B461" s="31">
        <v>44999</v>
      </c>
      <c r="C461" s="27" t="s">
        <v>383</v>
      </c>
      <c r="D461" s="32">
        <v>15445</v>
      </c>
      <c r="E461" s="28" t="s">
        <v>501</v>
      </c>
      <c r="F461" s="28" t="s">
        <v>476</v>
      </c>
      <c r="G461" s="26">
        <v>1</v>
      </c>
      <c r="H461" s="35">
        <v>0</v>
      </c>
      <c r="I461" s="35">
        <v>0</v>
      </c>
      <c r="J461" s="35">
        <v>0</v>
      </c>
      <c r="K461" s="35">
        <v>0</v>
      </c>
    </row>
    <row r="462" spans="2:11" x14ac:dyDescent="0.35">
      <c r="B462" s="31">
        <v>44999</v>
      </c>
      <c r="C462" s="27" t="s">
        <v>384</v>
      </c>
      <c r="D462" s="32">
        <v>8656</v>
      </c>
      <c r="E462" s="28" t="s">
        <v>487</v>
      </c>
      <c r="F462" s="28" t="s">
        <v>476</v>
      </c>
      <c r="G462" s="26">
        <v>1</v>
      </c>
      <c r="H462" s="35">
        <v>50</v>
      </c>
      <c r="I462" s="35">
        <v>0</v>
      </c>
      <c r="J462" s="35">
        <v>3.9</v>
      </c>
      <c r="K462" s="35">
        <v>53.9</v>
      </c>
    </row>
    <row r="463" spans="2:11" x14ac:dyDescent="0.35">
      <c r="B463" s="31">
        <v>44999</v>
      </c>
      <c r="C463" s="27" t="s">
        <v>385</v>
      </c>
      <c r="D463" s="32">
        <v>17885</v>
      </c>
      <c r="E463" s="28" t="s">
        <v>490</v>
      </c>
      <c r="F463" s="28" t="s">
        <v>476</v>
      </c>
      <c r="G463" s="26">
        <v>1</v>
      </c>
      <c r="H463" s="35">
        <v>100</v>
      </c>
      <c r="I463" s="35">
        <v>0</v>
      </c>
      <c r="J463" s="35">
        <v>0</v>
      </c>
      <c r="K463" s="35">
        <v>100</v>
      </c>
    </row>
    <row r="464" spans="2:11" x14ac:dyDescent="0.35">
      <c r="B464" s="31">
        <v>44999</v>
      </c>
      <c r="C464" s="27" t="s">
        <v>385</v>
      </c>
      <c r="D464" s="32">
        <v>17885</v>
      </c>
      <c r="E464" s="28" t="s">
        <v>482</v>
      </c>
      <c r="F464" s="28" t="s">
        <v>476</v>
      </c>
      <c r="G464" s="26">
        <v>1</v>
      </c>
      <c r="H464" s="35">
        <v>180</v>
      </c>
      <c r="I464" s="35">
        <v>0</v>
      </c>
      <c r="J464" s="35">
        <v>14.04</v>
      </c>
      <c r="K464" s="35">
        <v>194.04</v>
      </c>
    </row>
    <row r="465" spans="2:11" x14ac:dyDescent="0.35">
      <c r="B465" s="31">
        <v>44999</v>
      </c>
      <c r="C465" s="27" t="s">
        <v>385</v>
      </c>
      <c r="D465" s="32">
        <v>17885</v>
      </c>
      <c r="E465" s="28" t="s">
        <v>490</v>
      </c>
      <c r="F465" s="28" t="s">
        <v>476</v>
      </c>
      <c r="G465" s="26">
        <v>1</v>
      </c>
      <c r="H465" s="35">
        <v>0</v>
      </c>
      <c r="I465" s="35">
        <v>0</v>
      </c>
      <c r="J465" s="35">
        <v>0</v>
      </c>
      <c r="K465" s="35">
        <v>0</v>
      </c>
    </row>
    <row r="466" spans="2:11" x14ac:dyDescent="0.35">
      <c r="B466" s="31">
        <v>44999</v>
      </c>
      <c r="C466" s="27" t="s">
        <v>386</v>
      </c>
      <c r="D466" s="32">
        <v>12974</v>
      </c>
      <c r="E466" s="28" t="s">
        <v>501</v>
      </c>
      <c r="F466" s="28" t="s">
        <v>476</v>
      </c>
      <c r="G466" s="26">
        <v>1</v>
      </c>
      <c r="H466" s="35">
        <v>3000</v>
      </c>
      <c r="I466" s="35">
        <v>0</v>
      </c>
      <c r="J466" s="35">
        <v>234</v>
      </c>
      <c r="K466" s="35">
        <v>3234</v>
      </c>
    </row>
    <row r="467" spans="2:11" x14ac:dyDescent="0.35">
      <c r="B467" s="31">
        <v>44999</v>
      </c>
      <c r="C467" s="27" t="s">
        <v>387</v>
      </c>
      <c r="D467" s="32">
        <v>13310</v>
      </c>
      <c r="E467" s="28" t="s">
        <v>482</v>
      </c>
      <c r="F467" s="28" t="s">
        <v>475</v>
      </c>
      <c r="G467" s="26">
        <v>1</v>
      </c>
      <c r="H467" s="35">
        <v>0</v>
      </c>
      <c r="I467" s="35">
        <v>0</v>
      </c>
      <c r="J467" s="35">
        <v>0</v>
      </c>
      <c r="K467" s="35">
        <v>0</v>
      </c>
    </row>
    <row r="468" spans="2:11" x14ac:dyDescent="0.35">
      <c r="B468" s="31">
        <v>44999</v>
      </c>
      <c r="C468" s="27" t="s">
        <v>387</v>
      </c>
      <c r="D468" s="32">
        <v>13310</v>
      </c>
      <c r="E468" s="28" t="s">
        <v>490</v>
      </c>
      <c r="F468" s="28" t="s">
        <v>475</v>
      </c>
      <c r="G468" s="26">
        <v>1</v>
      </c>
      <c r="H468" s="35">
        <v>0</v>
      </c>
      <c r="I468" s="35">
        <v>0</v>
      </c>
      <c r="J468" s="35">
        <v>0</v>
      </c>
      <c r="K468" s="35">
        <v>0</v>
      </c>
    </row>
    <row r="469" spans="2:11" x14ac:dyDescent="0.35">
      <c r="B469" s="31">
        <v>44999</v>
      </c>
      <c r="C469" s="27" t="s">
        <v>388</v>
      </c>
      <c r="D469" s="32">
        <v>12898</v>
      </c>
      <c r="E469" s="28" t="s">
        <v>480</v>
      </c>
      <c r="F469" s="28" t="s">
        <v>474</v>
      </c>
      <c r="G469" s="26">
        <v>1</v>
      </c>
      <c r="H469" s="35">
        <v>0</v>
      </c>
      <c r="I469" s="35">
        <v>0</v>
      </c>
      <c r="J469" s="35">
        <v>0</v>
      </c>
      <c r="K469" s="35">
        <v>0</v>
      </c>
    </row>
    <row r="470" spans="2:11" x14ac:dyDescent="0.35">
      <c r="B470" s="31">
        <v>44999</v>
      </c>
      <c r="C470" s="27" t="s">
        <v>389</v>
      </c>
      <c r="D470" s="32">
        <v>4270</v>
      </c>
      <c r="E470" s="28" t="s">
        <v>480</v>
      </c>
      <c r="F470" s="28" t="s">
        <v>474</v>
      </c>
      <c r="G470" s="26">
        <v>1</v>
      </c>
      <c r="H470" s="35">
        <v>0</v>
      </c>
      <c r="I470" s="35">
        <v>0</v>
      </c>
      <c r="J470" s="35">
        <v>0</v>
      </c>
      <c r="K470" s="35">
        <v>0</v>
      </c>
    </row>
    <row r="471" spans="2:11" x14ac:dyDescent="0.35">
      <c r="B471" s="31">
        <v>44999</v>
      </c>
      <c r="C471" s="27" t="s">
        <v>390</v>
      </c>
      <c r="D471" s="32">
        <v>148</v>
      </c>
      <c r="E471" s="28" t="s">
        <v>485</v>
      </c>
      <c r="F471" s="28" t="s">
        <v>474</v>
      </c>
      <c r="G471" s="26">
        <v>1</v>
      </c>
      <c r="H471" s="35">
        <v>169</v>
      </c>
      <c r="I471" s="35">
        <v>0</v>
      </c>
      <c r="J471" s="35">
        <v>13.18</v>
      </c>
      <c r="K471" s="35">
        <v>182.18</v>
      </c>
    </row>
    <row r="472" spans="2:11" x14ac:dyDescent="0.35">
      <c r="B472" s="31">
        <v>44999</v>
      </c>
      <c r="C472" s="27" t="s">
        <v>390</v>
      </c>
      <c r="D472" s="32">
        <v>148</v>
      </c>
      <c r="E472" s="28" t="s">
        <v>489</v>
      </c>
      <c r="F472" s="28" t="s">
        <v>474</v>
      </c>
      <c r="G472" s="26">
        <v>1</v>
      </c>
      <c r="H472" s="35">
        <v>106</v>
      </c>
      <c r="I472" s="35">
        <v>0</v>
      </c>
      <c r="J472" s="35">
        <v>8.27</v>
      </c>
      <c r="K472" s="35">
        <v>114.27</v>
      </c>
    </row>
    <row r="473" spans="2:11" x14ac:dyDescent="0.35">
      <c r="B473" s="31">
        <v>44999</v>
      </c>
      <c r="C473" s="27" t="s">
        <v>391</v>
      </c>
      <c r="D473" s="32">
        <v>17936</v>
      </c>
      <c r="E473" s="28" t="s">
        <v>484</v>
      </c>
      <c r="F473" s="28" t="s">
        <v>474</v>
      </c>
      <c r="G473" s="26">
        <v>1</v>
      </c>
      <c r="H473" s="35">
        <v>94.99</v>
      </c>
      <c r="I473" s="35">
        <v>0</v>
      </c>
      <c r="J473" s="35">
        <v>7.41</v>
      </c>
      <c r="K473" s="35">
        <v>102.39999999999999</v>
      </c>
    </row>
    <row r="474" spans="2:11" x14ac:dyDescent="0.35">
      <c r="B474" s="31">
        <v>44999</v>
      </c>
      <c r="C474" s="27" t="s">
        <v>392</v>
      </c>
      <c r="D474" s="32">
        <v>13310</v>
      </c>
      <c r="E474" s="28" t="s">
        <v>502</v>
      </c>
      <c r="F474" s="28" t="s">
        <v>476</v>
      </c>
      <c r="G474" s="26">
        <v>1</v>
      </c>
      <c r="H474" s="35">
        <v>350</v>
      </c>
      <c r="I474" s="35">
        <v>0</v>
      </c>
      <c r="J474" s="35">
        <v>0</v>
      </c>
      <c r="K474" s="35">
        <v>350</v>
      </c>
    </row>
    <row r="475" spans="2:11" x14ac:dyDescent="0.35">
      <c r="B475" s="31">
        <v>45000</v>
      </c>
      <c r="C475" s="27" t="s">
        <v>393</v>
      </c>
      <c r="D475" s="32">
        <v>16842</v>
      </c>
      <c r="E475" s="28" t="s">
        <v>480</v>
      </c>
      <c r="F475" s="28" t="s">
        <v>473</v>
      </c>
      <c r="G475" s="26">
        <v>18</v>
      </c>
      <c r="H475" s="35">
        <v>15</v>
      </c>
      <c r="I475" s="35">
        <v>0</v>
      </c>
      <c r="J475" s="35">
        <v>0</v>
      </c>
      <c r="K475" s="35">
        <v>270</v>
      </c>
    </row>
    <row r="476" spans="2:11" x14ac:dyDescent="0.35">
      <c r="B476" s="31">
        <v>45000</v>
      </c>
      <c r="C476" s="27" t="s">
        <v>394</v>
      </c>
      <c r="D476" s="32">
        <v>8697</v>
      </c>
      <c r="E476" s="28" t="s">
        <v>484</v>
      </c>
      <c r="F476" s="28" t="s">
        <v>475</v>
      </c>
      <c r="G476" s="26">
        <v>8</v>
      </c>
      <c r="H476" s="35">
        <v>375</v>
      </c>
      <c r="I476" s="35">
        <v>0</v>
      </c>
      <c r="J476" s="35">
        <v>0</v>
      </c>
      <c r="K476" s="35">
        <v>3000</v>
      </c>
    </row>
    <row r="477" spans="2:11" x14ac:dyDescent="0.35">
      <c r="B477" s="31">
        <v>45000</v>
      </c>
      <c r="C477" s="27" t="s">
        <v>395</v>
      </c>
      <c r="D477" s="32">
        <v>6415</v>
      </c>
      <c r="E477" s="28" t="s">
        <v>482</v>
      </c>
      <c r="F477" s="28" t="s">
        <v>475</v>
      </c>
      <c r="G477" s="26">
        <v>1</v>
      </c>
      <c r="H477" s="35">
        <v>180</v>
      </c>
      <c r="I477" s="35">
        <v>0</v>
      </c>
      <c r="J477" s="35">
        <v>14.04</v>
      </c>
      <c r="K477" s="35">
        <v>194.04</v>
      </c>
    </row>
    <row r="478" spans="2:11" x14ac:dyDescent="0.35">
      <c r="B478" s="31">
        <v>45000</v>
      </c>
      <c r="C478" s="27" t="s">
        <v>396</v>
      </c>
      <c r="D478" s="32">
        <v>870</v>
      </c>
      <c r="E478" s="28" t="s">
        <v>480</v>
      </c>
      <c r="F478" s="28" t="s">
        <v>473</v>
      </c>
      <c r="G478" s="26">
        <v>52</v>
      </c>
      <c r="H478" s="35">
        <v>15</v>
      </c>
      <c r="I478" s="35">
        <v>0</v>
      </c>
      <c r="J478" s="35">
        <v>0</v>
      </c>
      <c r="K478" s="35">
        <v>780</v>
      </c>
    </row>
    <row r="479" spans="2:11" x14ac:dyDescent="0.35">
      <c r="B479" s="31">
        <v>45000</v>
      </c>
      <c r="C479" s="27" t="s">
        <v>397</v>
      </c>
      <c r="D479" s="32">
        <v>9736</v>
      </c>
      <c r="E479" s="28" t="s">
        <v>480</v>
      </c>
      <c r="F479" s="28" t="s">
        <v>474</v>
      </c>
      <c r="G479" s="26">
        <v>1</v>
      </c>
      <c r="H479" s="35">
        <v>0</v>
      </c>
      <c r="I479" s="35">
        <v>0</v>
      </c>
      <c r="J479" s="35">
        <v>0</v>
      </c>
      <c r="K479" s="35">
        <v>0</v>
      </c>
    </row>
    <row r="480" spans="2:11" x14ac:dyDescent="0.35">
      <c r="B480" s="31">
        <v>45001</v>
      </c>
      <c r="C480" s="27" t="s">
        <v>398</v>
      </c>
      <c r="D480" s="32">
        <v>17902</v>
      </c>
      <c r="E480" s="28" t="s">
        <v>482</v>
      </c>
      <c r="F480" s="28" t="s">
        <v>475</v>
      </c>
      <c r="G480" s="26">
        <v>1</v>
      </c>
      <c r="H480" s="35">
        <v>180</v>
      </c>
      <c r="I480" s="35">
        <v>0</v>
      </c>
      <c r="J480" s="35">
        <v>14.04</v>
      </c>
      <c r="K480" s="35">
        <v>194.04</v>
      </c>
    </row>
    <row r="481" spans="2:11" x14ac:dyDescent="0.35">
      <c r="B481" s="31">
        <v>45001</v>
      </c>
      <c r="C481" s="27" t="s">
        <v>399</v>
      </c>
      <c r="D481" s="32">
        <v>17906</v>
      </c>
      <c r="E481" s="28" t="s">
        <v>482</v>
      </c>
      <c r="F481" s="28" t="s">
        <v>475</v>
      </c>
      <c r="G481" s="26">
        <v>1</v>
      </c>
      <c r="H481" s="35">
        <v>180</v>
      </c>
      <c r="I481" s="35">
        <v>0</v>
      </c>
      <c r="J481" s="35">
        <v>14.04</v>
      </c>
      <c r="K481" s="35">
        <v>194.04</v>
      </c>
    </row>
    <row r="482" spans="2:11" x14ac:dyDescent="0.35">
      <c r="B482" s="31">
        <v>45001</v>
      </c>
      <c r="C482" s="27" t="s">
        <v>399</v>
      </c>
      <c r="D482" s="32">
        <v>17906</v>
      </c>
      <c r="E482" s="28" t="s">
        <v>490</v>
      </c>
      <c r="F482" s="28" t="s">
        <v>475</v>
      </c>
      <c r="G482" s="26">
        <v>1</v>
      </c>
      <c r="H482" s="35">
        <v>0</v>
      </c>
      <c r="I482" s="35">
        <v>0</v>
      </c>
      <c r="J482" s="35">
        <v>0</v>
      </c>
      <c r="K482" s="35">
        <v>0</v>
      </c>
    </row>
    <row r="483" spans="2:11" x14ac:dyDescent="0.35">
      <c r="B483" s="31">
        <v>45001</v>
      </c>
      <c r="C483" s="27" t="s">
        <v>399</v>
      </c>
      <c r="D483" s="32">
        <v>17906</v>
      </c>
      <c r="E483" s="28" t="s">
        <v>482</v>
      </c>
      <c r="F483" s="28" t="s">
        <v>476</v>
      </c>
      <c r="G483" s="26">
        <v>1</v>
      </c>
      <c r="H483" s="35">
        <v>3000</v>
      </c>
      <c r="I483" s="35">
        <v>0</v>
      </c>
      <c r="J483" s="35">
        <v>234</v>
      </c>
      <c r="K483" s="35">
        <v>3234</v>
      </c>
    </row>
    <row r="484" spans="2:11" x14ac:dyDescent="0.35">
      <c r="B484" s="31">
        <v>45001</v>
      </c>
      <c r="C484" s="27" t="s">
        <v>399</v>
      </c>
      <c r="D484" s="32">
        <v>17906</v>
      </c>
      <c r="E484" s="28" t="s">
        <v>482</v>
      </c>
      <c r="F484" s="28" t="s">
        <v>475</v>
      </c>
      <c r="G484" s="26">
        <v>1</v>
      </c>
      <c r="H484" s="35">
        <v>159</v>
      </c>
      <c r="I484" s="35">
        <v>0</v>
      </c>
      <c r="J484" s="35">
        <v>12.4</v>
      </c>
      <c r="K484" s="35">
        <v>171.4</v>
      </c>
    </row>
    <row r="485" spans="2:11" x14ac:dyDescent="0.35">
      <c r="B485" s="31">
        <v>45001</v>
      </c>
      <c r="C485" s="27" t="s">
        <v>400</v>
      </c>
      <c r="D485" s="32">
        <v>17907</v>
      </c>
      <c r="E485" s="28" t="s">
        <v>488</v>
      </c>
      <c r="F485" s="28" t="s">
        <v>476</v>
      </c>
      <c r="G485" s="26">
        <v>1</v>
      </c>
      <c r="H485" s="35">
        <v>68</v>
      </c>
      <c r="I485" s="35">
        <v>0</v>
      </c>
      <c r="J485" s="35">
        <v>5.3</v>
      </c>
      <c r="K485" s="35">
        <v>73.3</v>
      </c>
    </row>
    <row r="486" spans="2:11" x14ac:dyDescent="0.35">
      <c r="B486" s="31">
        <v>45001</v>
      </c>
      <c r="C486" s="27" t="s">
        <v>400</v>
      </c>
      <c r="D486" s="32">
        <v>17907</v>
      </c>
      <c r="E486" s="28" t="s">
        <v>502</v>
      </c>
      <c r="F486" s="28" t="s">
        <v>476</v>
      </c>
      <c r="G486" s="26">
        <v>1</v>
      </c>
      <c r="H486" s="35">
        <v>70</v>
      </c>
      <c r="I486" s="35">
        <v>0</v>
      </c>
      <c r="J486" s="35">
        <v>5.46</v>
      </c>
      <c r="K486" s="35">
        <v>75.459999999999994</v>
      </c>
    </row>
    <row r="487" spans="2:11" x14ac:dyDescent="0.35">
      <c r="B487" s="31">
        <v>45001</v>
      </c>
      <c r="C487" s="27" t="s">
        <v>400</v>
      </c>
      <c r="D487" s="32">
        <v>17907</v>
      </c>
      <c r="E487" s="28" t="s">
        <v>496</v>
      </c>
      <c r="F487" s="28" t="s">
        <v>476</v>
      </c>
      <c r="G487" s="26">
        <v>1</v>
      </c>
      <c r="H487" s="35">
        <v>0</v>
      </c>
      <c r="I487" s="35">
        <v>0</v>
      </c>
      <c r="J487" s="35">
        <v>0</v>
      </c>
      <c r="K487" s="35">
        <v>0</v>
      </c>
    </row>
    <row r="488" spans="2:11" x14ac:dyDescent="0.35">
      <c r="B488" s="31">
        <v>45002</v>
      </c>
      <c r="C488" s="27" t="s">
        <v>401</v>
      </c>
      <c r="D488" s="32">
        <v>15373</v>
      </c>
      <c r="E488" s="28" t="s">
        <v>490</v>
      </c>
      <c r="F488" s="28" t="s">
        <v>476</v>
      </c>
      <c r="G488" s="26">
        <v>1</v>
      </c>
      <c r="H488" s="35">
        <v>5</v>
      </c>
      <c r="I488" s="35">
        <v>0</v>
      </c>
      <c r="J488" s="35">
        <v>0.35</v>
      </c>
      <c r="K488" s="35">
        <v>5.35</v>
      </c>
    </row>
    <row r="489" spans="2:11" x14ac:dyDescent="0.35">
      <c r="B489" s="31">
        <v>45002</v>
      </c>
      <c r="C489" s="27" t="s">
        <v>401</v>
      </c>
      <c r="D489" s="32">
        <v>15373</v>
      </c>
      <c r="E489" s="28" t="s">
        <v>493</v>
      </c>
      <c r="F489" s="28" t="s">
        <v>476</v>
      </c>
      <c r="G489" s="26">
        <v>1</v>
      </c>
      <c r="H489" s="35">
        <v>50</v>
      </c>
      <c r="I489" s="35">
        <v>0</v>
      </c>
      <c r="J489" s="35">
        <v>0</v>
      </c>
      <c r="K489" s="35">
        <v>50</v>
      </c>
    </row>
    <row r="490" spans="2:11" x14ac:dyDescent="0.35">
      <c r="B490" s="31">
        <v>45002</v>
      </c>
      <c r="C490" s="27" t="s">
        <v>401</v>
      </c>
      <c r="D490" s="32">
        <v>15373</v>
      </c>
      <c r="E490" s="28" t="s">
        <v>482</v>
      </c>
      <c r="F490" s="28" t="s">
        <v>476</v>
      </c>
      <c r="G490" s="26">
        <v>1</v>
      </c>
      <c r="H490" s="35">
        <v>50</v>
      </c>
      <c r="I490" s="35">
        <v>0</v>
      </c>
      <c r="J490" s="35">
        <v>3.9</v>
      </c>
      <c r="K490" s="35">
        <v>53.9</v>
      </c>
    </row>
    <row r="491" spans="2:11" x14ac:dyDescent="0.35">
      <c r="B491" s="31">
        <v>45002</v>
      </c>
      <c r="C491" s="27" t="s">
        <v>402</v>
      </c>
      <c r="D491" s="32">
        <v>17953</v>
      </c>
      <c r="E491" s="28" t="s">
        <v>496</v>
      </c>
      <c r="F491" s="28" t="s">
        <v>476</v>
      </c>
      <c r="G491" s="26">
        <v>1</v>
      </c>
      <c r="H491" s="35">
        <v>0</v>
      </c>
      <c r="I491" s="35">
        <v>0</v>
      </c>
      <c r="J491" s="35">
        <v>0</v>
      </c>
      <c r="K491" s="35">
        <v>0</v>
      </c>
    </row>
    <row r="492" spans="2:11" x14ac:dyDescent="0.35">
      <c r="B492" s="31">
        <v>45002</v>
      </c>
      <c r="C492" s="27" t="s">
        <v>403</v>
      </c>
      <c r="D492" s="32">
        <v>17954</v>
      </c>
      <c r="E492" s="28" t="s">
        <v>484</v>
      </c>
      <c r="F492" s="28" t="s">
        <v>474</v>
      </c>
      <c r="G492" s="26">
        <v>1</v>
      </c>
      <c r="H492" s="35">
        <v>94.99</v>
      </c>
      <c r="I492" s="35">
        <v>0</v>
      </c>
      <c r="J492" s="35">
        <v>7.41</v>
      </c>
      <c r="K492" s="35">
        <v>102.39999999999999</v>
      </c>
    </row>
    <row r="493" spans="2:11" x14ac:dyDescent="0.35">
      <c r="B493" s="31">
        <v>45002</v>
      </c>
      <c r="C493" s="27" t="s">
        <v>403</v>
      </c>
      <c r="D493" s="32">
        <v>17954</v>
      </c>
      <c r="E493" s="28" t="s">
        <v>499</v>
      </c>
      <c r="F493" s="28" t="s">
        <v>474</v>
      </c>
      <c r="G493" s="26">
        <v>1</v>
      </c>
      <c r="H493" s="35">
        <v>65</v>
      </c>
      <c r="I493" s="35">
        <v>0</v>
      </c>
      <c r="J493" s="35">
        <v>5.07</v>
      </c>
      <c r="K493" s="35">
        <v>70.069999999999993</v>
      </c>
    </row>
    <row r="494" spans="2:11" x14ac:dyDescent="0.35">
      <c r="B494" s="31">
        <v>45002</v>
      </c>
      <c r="C494" s="27" t="s">
        <v>404</v>
      </c>
      <c r="D494" s="32">
        <v>15425</v>
      </c>
      <c r="E494" s="28" t="s">
        <v>482</v>
      </c>
      <c r="F494" s="28" t="s">
        <v>476</v>
      </c>
      <c r="G494" s="26">
        <v>1</v>
      </c>
      <c r="H494" s="35">
        <v>3000</v>
      </c>
      <c r="I494" s="35">
        <v>0</v>
      </c>
      <c r="J494" s="35">
        <v>234</v>
      </c>
      <c r="K494" s="35">
        <v>3234</v>
      </c>
    </row>
    <row r="495" spans="2:11" x14ac:dyDescent="0.35">
      <c r="B495" s="31">
        <v>45002</v>
      </c>
      <c r="C495" s="27" t="s">
        <v>405</v>
      </c>
      <c r="D495" s="32">
        <v>584</v>
      </c>
      <c r="E495" s="28" t="s">
        <v>488</v>
      </c>
      <c r="F495" s="28" t="s">
        <v>474</v>
      </c>
      <c r="G495" s="26">
        <v>1</v>
      </c>
      <c r="H495" s="35">
        <v>19.989999999999998</v>
      </c>
      <c r="I495" s="35">
        <v>0</v>
      </c>
      <c r="J495" s="35">
        <v>1.56</v>
      </c>
      <c r="K495" s="35">
        <v>21.549999999999997</v>
      </c>
    </row>
    <row r="496" spans="2:11" x14ac:dyDescent="0.35">
      <c r="B496" s="31">
        <v>45002</v>
      </c>
      <c r="C496" s="27" t="s">
        <v>406</v>
      </c>
      <c r="D496" s="32">
        <v>12925</v>
      </c>
      <c r="E496" s="28" t="s">
        <v>492</v>
      </c>
      <c r="F496" s="28" t="s">
        <v>476</v>
      </c>
      <c r="G496" s="26">
        <v>1</v>
      </c>
      <c r="H496" s="35">
        <v>50</v>
      </c>
      <c r="I496" s="35">
        <v>0</v>
      </c>
      <c r="J496" s="35">
        <v>3.9</v>
      </c>
      <c r="K496" s="35">
        <v>53.9</v>
      </c>
    </row>
    <row r="497" spans="2:11" x14ac:dyDescent="0.35">
      <c r="B497" s="31">
        <v>45005</v>
      </c>
      <c r="C497" s="27" t="s">
        <v>407</v>
      </c>
      <c r="D497" s="32">
        <v>12919</v>
      </c>
      <c r="E497" s="28" t="s">
        <v>482</v>
      </c>
      <c r="F497" s="28" t="s">
        <v>475</v>
      </c>
      <c r="G497" s="26">
        <v>1</v>
      </c>
      <c r="H497" s="35">
        <v>180</v>
      </c>
      <c r="I497" s="35">
        <v>0</v>
      </c>
      <c r="J497" s="35">
        <v>14.04</v>
      </c>
      <c r="K497" s="35">
        <v>194.04</v>
      </c>
    </row>
    <row r="498" spans="2:11" x14ac:dyDescent="0.35">
      <c r="B498" s="31">
        <v>45005</v>
      </c>
      <c r="C498" s="27" t="s">
        <v>407</v>
      </c>
      <c r="D498" s="32">
        <v>12919</v>
      </c>
      <c r="E498" s="28" t="s">
        <v>490</v>
      </c>
      <c r="F498" s="28" t="s">
        <v>475</v>
      </c>
      <c r="G498" s="26">
        <v>1</v>
      </c>
      <c r="H498" s="35">
        <v>0</v>
      </c>
      <c r="I498" s="35">
        <v>0</v>
      </c>
      <c r="J498" s="35">
        <v>0</v>
      </c>
      <c r="K498" s="35">
        <v>0</v>
      </c>
    </row>
    <row r="499" spans="2:11" x14ac:dyDescent="0.35">
      <c r="B499" s="31">
        <v>45005</v>
      </c>
      <c r="C499" s="27" t="s">
        <v>408</v>
      </c>
      <c r="D499" s="32">
        <v>17920</v>
      </c>
      <c r="E499" s="28" t="s">
        <v>490</v>
      </c>
      <c r="F499" s="28" t="s">
        <v>475</v>
      </c>
      <c r="G499" s="26">
        <v>1</v>
      </c>
      <c r="H499" s="35">
        <v>0</v>
      </c>
      <c r="I499" s="35">
        <v>0</v>
      </c>
      <c r="J499" s="35">
        <v>0</v>
      </c>
      <c r="K499" s="35">
        <v>0</v>
      </c>
    </row>
    <row r="500" spans="2:11" x14ac:dyDescent="0.35">
      <c r="B500" s="31">
        <v>45005</v>
      </c>
      <c r="C500" s="27" t="s">
        <v>408</v>
      </c>
      <c r="D500" s="32">
        <v>17920</v>
      </c>
      <c r="E500" s="28" t="s">
        <v>482</v>
      </c>
      <c r="F500" s="28" t="s">
        <v>475</v>
      </c>
      <c r="G500" s="26">
        <v>1</v>
      </c>
      <c r="H500" s="35">
        <v>180</v>
      </c>
      <c r="I500" s="35">
        <v>0</v>
      </c>
      <c r="J500" s="35">
        <v>14.04</v>
      </c>
      <c r="K500" s="35">
        <v>194.04</v>
      </c>
    </row>
    <row r="501" spans="2:11" x14ac:dyDescent="0.35">
      <c r="B501" s="31">
        <v>45005</v>
      </c>
      <c r="C501" s="27" t="s">
        <v>408</v>
      </c>
      <c r="D501" s="32">
        <v>17920</v>
      </c>
      <c r="E501" s="28" t="s">
        <v>482</v>
      </c>
      <c r="F501" s="28" t="s">
        <v>475</v>
      </c>
      <c r="G501" s="26">
        <v>1</v>
      </c>
      <c r="H501" s="35">
        <v>159</v>
      </c>
      <c r="I501" s="35">
        <v>0</v>
      </c>
      <c r="J501" s="35">
        <v>12.4</v>
      </c>
      <c r="K501" s="35">
        <v>171.4</v>
      </c>
    </row>
    <row r="502" spans="2:11" x14ac:dyDescent="0.35">
      <c r="B502" s="31">
        <v>45005</v>
      </c>
      <c r="C502" s="27" t="s">
        <v>409</v>
      </c>
      <c r="D502" s="32">
        <v>9767</v>
      </c>
      <c r="E502" s="28" t="s">
        <v>495</v>
      </c>
      <c r="F502" s="28" t="s">
        <v>474</v>
      </c>
      <c r="G502" s="26">
        <v>1</v>
      </c>
      <c r="H502" s="35">
        <v>130</v>
      </c>
      <c r="I502" s="35">
        <v>0</v>
      </c>
      <c r="J502" s="35">
        <v>10.14</v>
      </c>
      <c r="K502" s="35">
        <v>140.13999999999999</v>
      </c>
    </row>
    <row r="503" spans="2:11" x14ac:dyDescent="0.35">
      <c r="B503" s="31">
        <v>45006</v>
      </c>
      <c r="C503" s="27" t="s">
        <v>410</v>
      </c>
      <c r="D503" s="32">
        <v>13023</v>
      </c>
      <c r="E503" s="28" t="s">
        <v>483</v>
      </c>
      <c r="F503" s="28" t="s">
        <v>476</v>
      </c>
      <c r="G503" s="26">
        <v>36</v>
      </c>
      <c r="H503" s="35">
        <v>12</v>
      </c>
      <c r="I503" s="35">
        <v>0</v>
      </c>
      <c r="J503" s="35">
        <v>0</v>
      </c>
      <c r="K503" s="35">
        <v>432</v>
      </c>
    </row>
    <row r="504" spans="2:11" x14ac:dyDescent="0.35">
      <c r="B504" s="31">
        <v>45006</v>
      </c>
      <c r="C504" s="27" t="s">
        <v>411</v>
      </c>
      <c r="D504" s="32">
        <v>106</v>
      </c>
      <c r="E504" s="28" t="s">
        <v>487</v>
      </c>
      <c r="F504" s="28" t="s">
        <v>476</v>
      </c>
      <c r="G504" s="26">
        <v>20</v>
      </c>
      <c r="H504" s="35">
        <v>12</v>
      </c>
      <c r="I504" s="35">
        <v>0</v>
      </c>
      <c r="J504" s="35">
        <v>0</v>
      </c>
      <c r="K504" s="35">
        <v>240</v>
      </c>
    </row>
    <row r="505" spans="2:11" x14ac:dyDescent="0.35">
      <c r="B505" s="31">
        <v>45006</v>
      </c>
      <c r="C505" s="27" t="s">
        <v>412</v>
      </c>
      <c r="D505" s="32">
        <v>541</v>
      </c>
      <c r="E505" s="28" t="s">
        <v>483</v>
      </c>
      <c r="F505" s="28" t="s">
        <v>476</v>
      </c>
      <c r="G505" s="26">
        <v>24</v>
      </c>
      <c r="H505" s="35">
        <v>12</v>
      </c>
      <c r="I505" s="35">
        <v>0</v>
      </c>
      <c r="J505" s="35">
        <v>0</v>
      </c>
      <c r="K505" s="35">
        <v>288</v>
      </c>
    </row>
    <row r="506" spans="2:11" x14ac:dyDescent="0.35">
      <c r="B506" s="31">
        <v>45006</v>
      </c>
      <c r="C506" s="27" t="s">
        <v>413</v>
      </c>
      <c r="D506" s="32">
        <v>15521</v>
      </c>
      <c r="E506" s="28" t="s">
        <v>483</v>
      </c>
      <c r="F506" s="28" t="s">
        <v>476</v>
      </c>
      <c r="G506" s="26">
        <v>30</v>
      </c>
      <c r="H506" s="35">
        <v>12</v>
      </c>
      <c r="I506" s="35">
        <v>0</v>
      </c>
      <c r="J506" s="35">
        <v>0</v>
      </c>
      <c r="K506" s="35">
        <v>360</v>
      </c>
    </row>
    <row r="507" spans="2:11" x14ac:dyDescent="0.35">
      <c r="B507" s="31">
        <v>45006</v>
      </c>
      <c r="C507" s="27" t="s">
        <v>414</v>
      </c>
      <c r="D507" s="32">
        <v>5383</v>
      </c>
      <c r="E507" s="28" t="s">
        <v>483</v>
      </c>
      <c r="F507" s="28" t="s">
        <v>476</v>
      </c>
      <c r="G507" s="26">
        <v>70</v>
      </c>
      <c r="H507" s="35">
        <v>12</v>
      </c>
      <c r="I507" s="35">
        <v>0</v>
      </c>
      <c r="J507" s="35">
        <v>0</v>
      </c>
      <c r="K507" s="35">
        <v>840</v>
      </c>
    </row>
    <row r="508" spans="2:11" x14ac:dyDescent="0.35">
      <c r="B508" s="31">
        <v>45006</v>
      </c>
      <c r="C508" s="27" t="s">
        <v>415</v>
      </c>
      <c r="D508" s="32">
        <v>14375</v>
      </c>
      <c r="E508" s="28" t="s">
        <v>483</v>
      </c>
      <c r="F508" s="28" t="s">
        <v>476</v>
      </c>
      <c r="G508" s="26">
        <v>34</v>
      </c>
      <c r="H508" s="35">
        <v>12</v>
      </c>
      <c r="I508" s="35">
        <v>0</v>
      </c>
      <c r="J508" s="35">
        <v>0</v>
      </c>
      <c r="K508" s="35">
        <v>408</v>
      </c>
    </row>
    <row r="509" spans="2:11" x14ac:dyDescent="0.35">
      <c r="B509" s="31">
        <v>45006</v>
      </c>
      <c r="C509" s="27" t="s">
        <v>416</v>
      </c>
      <c r="D509" s="32">
        <v>17871</v>
      </c>
      <c r="E509" s="28" t="s">
        <v>483</v>
      </c>
      <c r="F509" s="28" t="s">
        <v>476</v>
      </c>
      <c r="G509" s="26">
        <v>20</v>
      </c>
      <c r="H509" s="35">
        <v>12</v>
      </c>
      <c r="I509" s="35">
        <v>0</v>
      </c>
      <c r="J509" s="35">
        <v>0</v>
      </c>
      <c r="K509" s="35">
        <v>240</v>
      </c>
    </row>
    <row r="510" spans="2:11" x14ac:dyDescent="0.35">
      <c r="B510" s="31">
        <v>45006</v>
      </c>
      <c r="C510" s="27" t="s">
        <v>416</v>
      </c>
      <c r="D510" s="32">
        <v>17871</v>
      </c>
      <c r="E510" s="28" t="s">
        <v>502</v>
      </c>
      <c r="F510" s="28" t="s">
        <v>476</v>
      </c>
      <c r="G510" s="26">
        <v>1</v>
      </c>
      <c r="H510" s="35">
        <v>100</v>
      </c>
      <c r="I510" s="35">
        <v>0</v>
      </c>
      <c r="J510" s="35">
        <v>0</v>
      </c>
      <c r="K510" s="35">
        <v>100</v>
      </c>
    </row>
    <row r="511" spans="2:11" x14ac:dyDescent="0.35">
      <c r="B511" s="31">
        <v>45006</v>
      </c>
      <c r="C511" s="27" t="s">
        <v>417</v>
      </c>
      <c r="D511" s="32">
        <v>13112</v>
      </c>
      <c r="E511" s="28" t="s">
        <v>482</v>
      </c>
      <c r="F511" s="28" t="s">
        <v>476</v>
      </c>
      <c r="G511" s="26">
        <v>1</v>
      </c>
      <c r="H511" s="35">
        <v>0</v>
      </c>
      <c r="I511" s="35">
        <v>0</v>
      </c>
      <c r="J511" s="35">
        <v>0</v>
      </c>
      <c r="K511" s="35">
        <v>0</v>
      </c>
    </row>
    <row r="512" spans="2:11" x14ac:dyDescent="0.35">
      <c r="B512" s="31">
        <v>45006</v>
      </c>
      <c r="C512" s="27" t="s">
        <v>418</v>
      </c>
      <c r="D512" s="32">
        <v>17962</v>
      </c>
      <c r="E512" s="28" t="s">
        <v>489</v>
      </c>
      <c r="F512" s="28" t="s">
        <v>475</v>
      </c>
      <c r="G512" s="26">
        <v>1</v>
      </c>
      <c r="H512" s="35">
        <v>90</v>
      </c>
      <c r="I512" s="35">
        <v>0</v>
      </c>
      <c r="J512" s="35">
        <v>7.02</v>
      </c>
      <c r="K512" s="35">
        <v>97.02</v>
      </c>
    </row>
    <row r="513" spans="2:11" x14ac:dyDescent="0.35">
      <c r="B513" s="31">
        <v>45006</v>
      </c>
      <c r="C513" s="27" t="s">
        <v>419</v>
      </c>
      <c r="D513" s="32">
        <v>913</v>
      </c>
      <c r="E513" s="28" t="s">
        <v>483</v>
      </c>
      <c r="F513" s="28" t="s">
        <v>476</v>
      </c>
      <c r="G513" s="26">
        <v>20</v>
      </c>
      <c r="H513" s="35">
        <v>12</v>
      </c>
      <c r="I513" s="35">
        <v>0</v>
      </c>
      <c r="J513" s="35">
        <v>0</v>
      </c>
      <c r="K513" s="35">
        <v>240</v>
      </c>
    </row>
    <row r="514" spans="2:11" x14ac:dyDescent="0.35">
      <c r="B514" s="31">
        <v>45006</v>
      </c>
      <c r="C514" s="27" t="s">
        <v>420</v>
      </c>
      <c r="D514" s="32">
        <v>4158</v>
      </c>
      <c r="E514" s="28" t="s">
        <v>480</v>
      </c>
      <c r="F514" s="28" t="s">
        <v>474</v>
      </c>
      <c r="G514" s="26">
        <v>1</v>
      </c>
      <c r="H514" s="35">
        <v>0</v>
      </c>
      <c r="I514" s="35">
        <v>0</v>
      </c>
      <c r="J514" s="35">
        <v>0</v>
      </c>
      <c r="K514" s="35">
        <v>0</v>
      </c>
    </row>
    <row r="515" spans="2:11" x14ac:dyDescent="0.35">
      <c r="B515" s="31">
        <v>45006</v>
      </c>
      <c r="C515" s="27" t="s">
        <v>421</v>
      </c>
      <c r="D515" s="32">
        <v>8627</v>
      </c>
      <c r="E515" s="28" t="s">
        <v>502</v>
      </c>
      <c r="F515" s="28" t="s">
        <v>474</v>
      </c>
      <c r="G515" s="26">
        <v>1</v>
      </c>
      <c r="H515" s="35">
        <v>0</v>
      </c>
      <c r="I515" s="35">
        <v>0</v>
      </c>
      <c r="J515" s="35">
        <v>0</v>
      </c>
      <c r="K515" s="35">
        <v>0</v>
      </c>
    </row>
    <row r="516" spans="2:11" x14ac:dyDescent="0.35">
      <c r="B516" s="31">
        <v>45006</v>
      </c>
      <c r="C516" s="27" t="s">
        <v>422</v>
      </c>
      <c r="D516" s="32">
        <v>148</v>
      </c>
      <c r="E516" s="28" t="s">
        <v>480</v>
      </c>
      <c r="F516" s="28" t="s">
        <v>474</v>
      </c>
      <c r="G516" s="26">
        <v>1</v>
      </c>
      <c r="H516" s="35">
        <v>75</v>
      </c>
      <c r="I516" s="35">
        <v>0</v>
      </c>
      <c r="J516" s="35">
        <v>0</v>
      </c>
      <c r="K516" s="35">
        <v>75</v>
      </c>
    </row>
    <row r="517" spans="2:11" x14ac:dyDescent="0.35">
      <c r="B517" s="31">
        <v>45007</v>
      </c>
      <c r="C517" s="27" t="s">
        <v>423</v>
      </c>
      <c r="D517" s="32">
        <v>870</v>
      </c>
      <c r="E517" s="28" t="s">
        <v>489</v>
      </c>
      <c r="F517" s="28" t="s">
        <v>475</v>
      </c>
      <c r="G517" s="26">
        <v>1</v>
      </c>
      <c r="H517" s="35">
        <v>90</v>
      </c>
      <c r="I517" s="35">
        <v>22.5</v>
      </c>
      <c r="J517" s="35">
        <v>5.27</v>
      </c>
      <c r="K517" s="35">
        <v>72.77</v>
      </c>
    </row>
    <row r="518" spans="2:11" x14ac:dyDescent="0.35">
      <c r="B518" s="31">
        <v>45007</v>
      </c>
      <c r="C518" s="27" t="s">
        <v>424</v>
      </c>
      <c r="D518" s="32">
        <v>602</v>
      </c>
      <c r="E518" s="28" t="s">
        <v>482</v>
      </c>
      <c r="F518" s="28" t="s">
        <v>475</v>
      </c>
      <c r="G518" s="26">
        <v>1</v>
      </c>
      <c r="H518" s="35">
        <v>180</v>
      </c>
      <c r="I518" s="35">
        <v>0</v>
      </c>
      <c r="J518" s="35">
        <v>14.04</v>
      </c>
      <c r="K518" s="35">
        <v>194.04</v>
      </c>
    </row>
    <row r="519" spans="2:11" x14ac:dyDescent="0.35">
      <c r="B519" s="31">
        <v>45007</v>
      </c>
      <c r="C519" s="27" t="s">
        <v>425</v>
      </c>
      <c r="D519" s="32">
        <v>8577</v>
      </c>
      <c r="E519" s="28" t="s">
        <v>481</v>
      </c>
      <c r="F519" s="28" t="s">
        <v>474</v>
      </c>
      <c r="G519" s="26">
        <v>1</v>
      </c>
      <c r="H519" s="35">
        <v>49</v>
      </c>
      <c r="I519" s="35">
        <v>24.5</v>
      </c>
      <c r="J519" s="35">
        <v>1.91</v>
      </c>
      <c r="K519" s="35">
        <v>26.41</v>
      </c>
    </row>
    <row r="520" spans="2:11" x14ac:dyDescent="0.35">
      <c r="B520" s="31">
        <v>45007</v>
      </c>
      <c r="C520" s="27" t="s">
        <v>426</v>
      </c>
      <c r="D520" s="32">
        <v>12917</v>
      </c>
      <c r="E520" s="28" t="s">
        <v>480</v>
      </c>
      <c r="F520" s="28" t="s">
        <v>474</v>
      </c>
      <c r="G520" s="26">
        <v>12</v>
      </c>
      <c r="H520" s="35">
        <v>0</v>
      </c>
      <c r="I520" s="35">
        <v>0</v>
      </c>
      <c r="J520" s="35">
        <v>0</v>
      </c>
      <c r="K520" s="35">
        <v>0</v>
      </c>
    </row>
    <row r="521" spans="2:11" x14ac:dyDescent="0.35">
      <c r="B521" s="31">
        <v>45007</v>
      </c>
      <c r="C521" s="27" t="s">
        <v>427</v>
      </c>
      <c r="D521" s="32">
        <v>17968</v>
      </c>
      <c r="E521" s="28" t="s">
        <v>489</v>
      </c>
      <c r="F521" s="28" t="s">
        <v>474</v>
      </c>
      <c r="G521" s="26">
        <v>1</v>
      </c>
      <c r="H521" s="35">
        <v>90</v>
      </c>
      <c r="I521" s="35">
        <v>0</v>
      </c>
      <c r="J521" s="35">
        <v>7.02</v>
      </c>
      <c r="K521" s="35">
        <v>97.02</v>
      </c>
    </row>
    <row r="522" spans="2:11" x14ac:dyDescent="0.35">
      <c r="B522" s="31">
        <v>45007</v>
      </c>
      <c r="C522" s="27" t="s">
        <v>428</v>
      </c>
      <c r="D522" s="32">
        <v>602</v>
      </c>
      <c r="E522" s="28" t="s">
        <v>502</v>
      </c>
      <c r="F522" s="28" t="s">
        <v>475</v>
      </c>
      <c r="G522" s="26">
        <v>1</v>
      </c>
      <c r="H522" s="35">
        <v>70</v>
      </c>
      <c r="I522" s="35">
        <v>0</v>
      </c>
      <c r="J522" s="35">
        <v>5.46</v>
      </c>
      <c r="K522" s="35">
        <v>75.459999999999994</v>
      </c>
    </row>
    <row r="523" spans="2:11" x14ac:dyDescent="0.35">
      <c r="B523" s="31">
        <v>45008</v>
      </c>
      <c r="C523" s="27" t="s">
        <v>203</v>
      </c>
      <c r="D523" s="32">
        <v>15490</v>
      </c>
      <c r="E523" s="28" t="s">
        <v>480</v>
      </c>
      <c r="F523" s="28" t="s">
        <v>474</v>
      </c>
      <c r="G523" s="26">
        <v>-1</v>
      </c>
      <c r="H523" s="35">
        <v>-75</v>
      </c>
      <c r="I523" s="35">
        <v>0</v>
      </c>
      <c r="J523" s="35">
        <v>0</v>
      </c>
      <c r="K523" s="35">
        <v>-75</v>
      </c>
    </row>
    <row r="524" spans="2:11" x14ac:dyDescent="0.35">
      <c r="B524" s="31">
        <v>45008</v>
      </c>
      <c r="C524" s="27" t="s">
        <v>429</v>
      </c>
      <c r="D524" s="32">
        <v>17859</v>
      </c>
      <c r="E524" s="28" t="s">
        <v>482</v>
      </c>
      <c r="F524" s="28" t="s">
        <v>475</v>
      </c>
      <c r="G524" s="26">
        <v>1</v>
      </c>
      <c r="H524" s="35">
        <v>159</v>
      </c>
      <c r="I524" s="35">
        <v>0</v>
      </c>
      <c r="J524" s="35">
        <v>12.4</v>
      </c>
      <c r="K524" s="35">
        <v>171.4</v>
      </c>
    </row>
    <row r="525" spans="2:11" x14ac:dyDescent="0.35">
      <c r="B525" s="31">
        <v>45008</v>
      </c>
      <c r="C525" s="27" t="s">
        <v>429</v>
      </c>
      <c r="D525" s="32">
        <v>17859</v>
      </c>
      <c r="E525" s="28" t="s">
        <v>482</v>
      </c>
      <c r="F525" s="28" t="s">
        <v>475</v>
      </c>
      <c r="G525" s="26">
        <v>1</v>
      </c>
      <c r="H525" s="35">
        <v>180</v>
      </c>
      <c r="I525" s="35">
        <v>0</v>
      </c>
      <c r="J525" s="35">
        <v>14.04</v>
      </c>
      <c r="K525" s="35">
        <v>194.04</v>
      </c>
    </row>
    <row r="526" spans="2:11" x14ac:dyDescent="0.35">
      <c r="B526" s="31">
        <v>45008</v>
      </c>
      <c r="C526" s="27" t="s">
        <v>430</v>
      </c>
      <c r="D526" s="32">
        <v>17902</v>
      </c>
      <c r="E526" s="28" t="s">
        <v>490</v>
      </c>
      <c r="F526" s="28" t="s">
        <v>475</v>
      </c>
      <c r="G526" s="26">
        <v>1</v>
      </c>
      <c r="H526" s="35">
        <v>0</v>
      </c>
      <c r="I526" s="35">
        <v>0</v>
      </c>
      <c r="J526" s="35">
        <v>0</v>
      </c>
      <c r="K526" s="35">
        <v>0</v>
      </c>
    </row>
    <row r="527" spans="2:11" x14ac:dyDescent="0.35">
      <c r="B527" s="31">
        <v>45008</v>
      </c>
      <c r="C527" s="27" t="s">
        <v>431</v>
      </c>
      <c r="D527" s="32">
        <v>13190</v>
      </c>
      <c r="E527" s="28" t="s">
        <v>481</v>
      </c>
      <c r="F527" s="28" t="s">
        <v>475</v>
      </c>
      <c r="G527" s="26">
        <v>1</v>
      </c>
      <c r="H527" s="35">
        <v>95</v>
      </c>
      <c r="I527" s="35">
        <v>0</v>
      </c>
      <c r="J527" s="35">
        <v>7.41</v>
      </c>
      <c r="K527" s="35">
        <v>102.41</v>
      </c>
    </row>
    <row r="528" spans="2:11" x14ac:dyDescent="0.35">
      <c r="B528" s="31">
        <v>45008</v>
      </c>
      <c r="C528" s="27" t="s">
        <v>432</v>
      </c>
      <c r="D528" s="32">
        <v>13165</v>
      </c>
      <c r="E528" s="28" t="s">
        <v>493</v>
      </c>
      <c r="F528" s="28" t="s">
        <v>474</v>
      </c>
      <c r="G528" s="26">
        <v>1</v>
      </c>
      <c r="H528" s="35">
        <v>150</v>
      </c>
      <c r="I528" s="35">
        <v>75</v>
      </c>
      <c r="J528" s="35">
        <v>5.85</v>
      </c>
      <c r="K528" s="35">
        <v>80.849999999999994</v>
      </c>
    </row>
    <row r="529" spans="2:11" x14ac:dyDescent="0.35">
      <c r="B529" s="31">
        <v>45012</v>
      </c>
      <c r="C529" s="27" t="s">
        <v>433</v>
      </c>
      <c r="D529" s="32">
        <v>894</v>
      </c>
      <c r="E529" s="28" t="s">
        <v>483</v>
      </c>
      <c r="F529" s="28" t="s">
        <v>473</v>
      </c>
      <c r="G529" s="26">
        <v>24</v>
      </c>
      <c r="H529" s="35">
        <v>12</v>
      </c>
      <c r="I529" s="35">
        <v>0</v>
      </c>
      <c r="J529" s="35">
        <v>0</v>
      </c>
      <c r="K529" s="35">
        <v>288</v>
      </c>
    </row>
    <row r="530" spans="2:11" x14ac:dyDescent="0.35">
      <c r="B530" s="31">
        <v>45012</v>
      </c>
      <c r="C530" s="27" t="s">
        <v>434</v>
      </c>
      <c r="D530" s="32">
        <v>958</v>
      </c>
      <c r="E530" s="28" t="s">
        <v>500</v>
      </c>
      <c r="F530" s="28" t="s">
        <v>473</v>
      </c>
      <c r="G530" s="26">
        <v>1</v>
      </c>
      <c r="H530" s="35">
        <v>0</v>
      </c>
      <c r="I530" s="35">
        <v>0</v>
      </c>
      <c r="J530" s="35">
        <v>0</v>
      </c>
      <c r="K530" s="35">
        <v>0</v>
      </c>
    </row>
    <row r="531" spans="2:11" x14ac:dyDescent="0.35">
      <c r="B531" s="31">
        <v>45012</v>
      </c>
      <c r="C531" s="27" t="s">
        <v>434</v>
      </c>
      <c r="D531" s="32">
        <v>958</v>
      </c>
      <c r="E531" s="28" t="s">
        <v>494</v>
      </c>
      <c r="F531" s="28" t="s">
        <v>473</v>
      </c>
      <c r="G531" s="26">
        <v>1</v>
      </c>
      <c r="H531" s="35">
        <v>200</v>
      </c>
      <c r="I531" s="35">
        <v>0</v>
      </c>
      <c r="J531" s="35">
        <v>0</v>
      </c>
      <c r="K531" s="35">
        <v>200</v>
      </c>
    </row>
    <row r="532" spans="2:11" x14ac:dyDescent="0.35">
      <c r="B532" s="31">
        <v>45012</v>
      </c>
      <c r="C532" s="27" t="s">
        <v>435</v>
      </c>
      <c r="D532" s="32">
        <v>512</v>
      </c>
      <c r="E532" s="28" t="s">
        <v>483</v>
      </c>
      <c r="F532" s="28" t="s">
        <v>473</v>
      </c>
      <c r="G532" s="26">
        <v>24</v>
      </c>
      <c r="H532" s="35">
        <v>12</v>
      </c>
      <c r="I532" s="35">
        <v>0</v>
      </c>
      <c r="J532" s="35">
        <v>0</v>
      </c>
      <c r="K532" s="35">
        <v>288</v>
      </c>
    </row>
    <row r="533" spans="2:11" x14ac:dyDescent="0.35">
      <c r="B533" s="31">
        <v>45012</v>
      </c>
      <c r="C533" s="27" t="s">
        <v>436</v>
      </c>
      <c r="D533" s="32">
        <v>473</v>
      </c>
      <c r="E533" s="28" t="s">
        <v>483</v>
      </c>
      <c r="F533" s="28" t="s">
        <v>473</v>
      </c>
      <c r="G533" s="26">
        <v>48</v>
      </c>
      <c r="H533" s="35">
        <v>12</v>
      </c>
      <c r="I533" s="35">
        <v>0</v>
      </c>
      <c r="J533" s="35">
        <v>0</v>
      </c>
      <c r="K533" s="35">
        <v>576</v>
      </c>
    </row>
    <row r="534" spans="2:11" x14ac:dyDescent="0.35">
      <c r="B534" s="31">
        <v>45012</v>
      </c>
      <c r="C534" s="27" t="s">
        <v>437</v>
      </c>
      <c r="D534" s="32">
        <v>159</v>
      </c>
      <c r="E534" s="28" t="s">
        <v>483</v>
      </c>
      <c r="F534" s="28" t="s">
        <v>473</v>
      </c>
      <c r="G534" s="26">
        <v>24</v>
      </c>
      <c r="H534" s="35">
        <v>12</v>
      </c>
      <c r="I534" s="35">
        <v>0</v>
      </c>
      <c r="J534" s="35">
        <v>0</v>
      </c>
      <c r="K534" s="35">
        <v>288</v>
      </c>
    </row>
    <row r="535" spans="2:11" x14ac:dyDescent="0.35">
      <c r="B535" s="31">
        <v>45012</v>
      </c>
      <c r="C535" s="27" t="s">
        <v>438</v>
      </c>
      <c r="D535" s="32">
        <v>467</v>
      </c>
      <c r="E535" s="28" t="s">
        <v>483</v>
      </c>
      <c r="F535" s="28" t="s">
        <v>473</v>
      </c>
      <c r="G535" s="26">
        <v>24</v>
      </c>
      <c r="H535" s="35">
        <v>12</v>
      </c>
      <c r="I535" s="35">
        <v>0</v>
      </c>
      <c r="J535" s="35">
        <v>0</v>
      </c>
      <c r="K535" s="35">
        <v>288</v>
      </c>
    </row>
    <row r="536" spans="2:11" x14ac:dyDescent="0.35">
      <c r="B536" s="31">
        <v>45012</v>
      </c>
      <c r="C536" s="27" t="s">
        <v>439</v>
      </c>
      <c r="D536" s="32">
        <v>545</v>
      </c>
      <c r="E536" s="28" t="s">
        <v>483</v>
      </c>
      <c r="F536" s="28" t="s">
        <v>473</v>
      </c>
      <c r="G536" s="26">
        <v>40</v>
      </c>
      <c r="H536" s="35">
        <v>12</v>
      </c>
      <c r="I536" s="35">
        <v>0</v>
      </c>
      <c r="J536" s="35">
        <v>0</v>
      </c>
      <c r="K536" s="35">
        <v>480</v>
      </c>
    </row>
    <row r="537" spans="2:11" x14ac:dyDescent="0.35">
      <c r="B537" s="31">
        <v>45012</v>
      </c>
      <c r="C537" s="27" t="s">
        <v>440</v>
      </c>
      <c r="D537" s="32">
        <v>597</v>
      </c>
      <c r="E537" s="28" t="s">
        <v>483</v>
      </c>
      <c r="F537" s="28" t="s">
        <v>473</v>
      </c>
      <c r="G537" s="26">
        <v>40</v>
      </c>
      <c r="H537" s="35">
        <v>12</v>
      </c>
      <c r="I537" s="35">
        <v>0</v>
      </c>
      <c r="J537" s="35">
        <v>0</v>
      </c>
      <c r="K537" s="35">
        <v>480</v>
      </c>
    </row>
    <row r="538" spans="2:11" x14ac:dyDescent="0.35">
      <c r="B538" s="31">
        <v>45012</v>
      </c>
      <c r="C538" s="27" t="s">
        <v>441</v>
      </c>
      <c r="D538" s="32">
        <v>9785</v>
      </c>
      <c r="E538" s="28" t="s">
        <v>483</v>
      </c>
      <c r="F538" s="28" t="s">
        <v>473</v>
      </c>
      <c r="G538" s="26">
        <v>28</v>
      </c>
      <c r="H538" s="35">
        <v>12</v>
      </c>
      <c r="I538" s="35">
        <v>0</v>
      </c>
      <c r="J538" s="35">
        <v>0</v>
      </c>
      <c r="K538" s="35">
        <v>336</v>
      </c>
    </row>
    <row r="539" spans="2:11" x14ac:dyDescent="0.35">
      <c r="B539" s="31">
        <v>45012</v>
      </c>
      <c r="C539" s="27" t="s">
        <v>441</v>
      </c>
      <c r="D539" s="32">
        <v>9785</v>
      </c>
      <c r="E539" s="28" t="s">
        <v>502</v>
      </c>
      <c r="F539" s="28" t="s">
        <v>473</v>
      </c>
      <c r="G539" s="26">
        <v>1</v>
      </c>
      <c r="H539" s="35">
        <v>198</v>
      </c>
      <c r="I539" s="35">
        <v>0</v>
      </c>
      <c r="J539" s="35">
        <v>15.44</v>
      </c>
      <c r="K539" s="35">
        <v>213.44</v>
      </c>
    </row>
    <row r="540" spans="2:11" x14ac:dyDescent="0.35">
      <c r="B540" s="31">
        <v>45012</v>
      </c>
      <c r="C540" s="27" t="s">
        <v>442</v>
      </c>
      <c r="D540" s="32">
        <v>878</v>
      </c>
      <c r="E540" s="28" t="s">
        <v>494</v>
      </c>
      <c r="F540" s="28" t="s">
        <v>473</v>
      </c>
      <c r="G540" s="26">
        <v>1</v>
      </c>
      <c r="H540" s="35">
        <v>675</v>
      </c>
      <c r="I540" s="35">
        <v>0</v>
      </c>
      <c r="J540" s="35">
        <v>0</v>
      </c>
      <c r="K540" s="35">
        <v>675</v>
      </c>
    </row>
    <row r="541" spans="2:11" x14ac:dyDescent="0.35">
      <c r="B541" s="31">
        <v>45012</v>
      </c>
      <c r="C541" s="27" t="s">
        <v>442</v>
      </c>
      <c r="D541" s="32">
        <v>878</v>
      </c>
      <c r="E541" s="28" t="s">
        <v>484</v>
      </c>
      <c r="F541" s="28" t="s">
        <v>473</v>
      </c>
      <c r="G541" s="26">
        <v>2</v>
      </c>
      <c r="H541" s="35">
        <v>825</v>
      </c>
      <c r="I541" s="35">
        <v>0</v>
      </c>
      <c r="J541" s="35">
        <v>0</v>
      </c>
      <c r="K541" s="35">
        <v>1650</v>
      </c>
    </row>
    <row r="542" spans="2:11" x14ac:dyDescent="0.35">
      <c r="B542" s="31">
        <v>45012</v>
      </c>
      <c r="C542" s="27" t="s">
        <v>443</v>
      </c>
      <c r="D542" s="32">
        <v>15523</v>
      </c>
      <c r="E542" s="28" t="s">
        <v>495</v>
      </c>
      <c r="F542" s="28" t="s">
        <v>475</v>
      </c>
      <c r="G542" s="26">
        <v>1</v>
      </c>
      <c r="H542" s="35">
        <v>80</v>
      </c>
      <c r="I542" s="35">
        <v>0</v>
      </c>
      <c r="J542" s="35">
        <v>5.6</v>
      </c>
      <c r="K542" s="35">
        <v>85.6</v>
      </c>
    </row>
    <row r="543" spans="2:11" x14ac:dyDescent="0.35">
      <c r="B543" s="31">
        <v>45012</v>
      </c>
      <c r="C543" s="27" t="s">
        <v>444</v>
      </c>
      <c r="D543" s="32">
        <v>4227</v>
      </c>
      <c r="E543" s="28" t="s">
        <v>483</v>
      </c>
      <c r="F543" s="28" t="s">
        <v>473</v>
      </c>
      <c r="G543" s="26">
        <v>52</v>
      </c>
      <c r="H543" s="35">
        <v>12</v>
      </c>
      <c r="I543" s="35">
        <v>0</v>
      </c>
      <c r="J543" s="35">
        <v>0</v>
      </c>
      <c r="K543" s="35">
        <v>624</v>
      </c>
    </row>
    <row r="544" spans="2:11" x14ac:dyDescent="0.35">
      <c r="B544" s="31">
        <v>45012</v>
      </c>
      <c r="C544" s="27" t="s">
        <v>445</v>
      </c>
      <c r="D544" s="32">
        <v>4158</v>
      </c>
      <c r="E544" s="28" t="s">
        <v>483</v>
      </c>
      <c r="F544" s="28" t="s">
        <v>473</v>
      </c>
      <c r="G544" s="26">
        <v>68</v>
      </c>
      <c r="H544" s="35">
        <v>12</v>
      </c>
      <c r="I544" s="35">
        <v>0</v>
      </c>
      <c r="J544" s="35">
        <v>0</v>
      </c>
      <c r="K544" s="35">
        <v>816</v>
      </c>
    </row>
    <row r="545" spans="2:11" x14ac:dyDescent="0.35">
      <c r="B545" s="31">
        <v>45012</v>
      </c>
      <c r="C545" s="27" t="s">
        <v>446</v>
      </c>
      <c r="D545" s="32">
        <v>602</v>
      </c>
      <c r="E545" s="28" t="s">
        <v>483</v>
      </c>
      <c r="F545" s="28" t="s">
        <v>473</v>
      </c>
      <c r="G545" s="26">
        <v>48</v>
      </c>
      <c r="H545" s="35">
        <v>12</v>
      </c>
      <c r="I545" s="35">
        <v>0</v>
      </c>
      <c r="J545" s="35">
        <v>0</v>
      </c>
      <c r="K545" s="35">
        <v>576</v>
      </c>
    </row>
    <row r="546" spans="2:11" x14ac:dyDescent="0.35">
      <c r="B546" s="31">
        <v>45012</v>
      </c>
      <c r="C546" s="27" t="s">
        <v>447</v>
      </c>
      <c r="D546" s="32">
        <v>17939</v>
      </c>
      <c r="E546" s="28" t="s">
        <v>503</v>
      </c>
      <c r="F546" s="28" t="s">
        <v>476</v>
      </c>
      <c r="G546" s="26">
        <v>1</v>
      </c>
      <c r="H546" s="35">
        <v>0</v>
      </c>
      <c r="I546" s="35">
        <v>0</v>
      </c>
      <c r="J546" s="35">
        <v>0</v>
      </c>
      <c r="K546" s="35">
        <v>0</v>
      </c>
    </row>
    <row r="547" spans="2:11" x14ac:dyDescent="0.35">
      <c r="B547" s="31">
        <v>45013</v>
      </c>
      <c r="C547" s="27" t="s">
        <v>448</v>
      </c>
      <c r="D547" s="32">
        <v>15446</v>
      </c>
      <c r="E547" s="28" t="s">
        <v>503</v>
      </c>
      <c r="F547" s="28" t="s">
        <v>476</v>
      </c>
      <c r="G547" s="26">
        <v>1</v>
      </c>
      <c r="H547" s="35">
        <v>750</v>
      </c>
      <c r="I547" s="35">
        <v>0</v>
      </c>
      <c r="J547" s="35">
        <v>58.5</v>
      </c>
      <c r="K547" s="35">
        <v>808.5</v>
      </c>
    </row>
    <row r="548" spans="2:11" x14ac:dyDescent="0.35">
      <c r="B548" s="31">
        <v>45013</v>
      </c>
      <c r="C548" s="27" t="s">
        <v>448</v>
      </c>
      <c r="D548" s="32">
        <v>15446</v>
      </c>
      <c r="E548" s="28" t="s">
        <v>493</v>
      </c>
      <c r="F548" s="28" t="s">
        <v>476</v>
      </c>
      <c r="G548" s="26">
        <v>1</v>
      </c>
      <c r="H548" s="35">
        <v>0</v>
      </c>
      <c r="I548" s="35">
        <v>0</v>
      </c>
      <c r="J548" s="35">
        <v>0</v>
      </c>
      <c r="K548" s="35">
        <v>0</v>
      </c>
    </row>
    <row r="549" spans="2:11" x14ac:dyDescent="0.35">
      <c r="B549" s="31">
        <v>45013</v>
      </c>
      <c r="C549" s="27" t="s">
        <v>449</v>
      </c>
      <c r="D549" s="32">
        <v>4278</v>
      </c>
      <c r="E549" s="28" t="s">
        <v>490</v>
      </c>
      <c r="F549" s="28" t="s">
        <v>475</v>
      </c>
      <c r="G549" s="26">
        <v>1</v>
      </c>
      <c r="H549" s="35">
        <v>5</v>
      </c>
      <c r="I549" s="35">
        <v>0</v>
      </c>
      <c r="J549" s="35">
        <v>0.35</v>
      </c>
      <c r="K549" s="35">
        <v>5.35</v>
      </c>
    </row>
    <row r="550" spans="2:11" x14ac:dyDescent="0.35">
      <c r="B550" s="31">
        <v>45014</v>
      </c>
      <c r="C550" s="27" t="s">
        <v>450</v>
      </c>
      <c r="D550" s="32">
        <v>704</v>
      </c>
      <c r="E550" s="28" t="s">
        <v>499</v>
      </c>
      <c r="F550" s="28" t="s">
        <v>475</v>
      </c>
      <c r="G550" s="26">
        <v>1</v>
      </c>
      <c r="H550" s="35">
        <v>0</v>
      </c>
      <c r="I550" s="35">
        <v>0</v>
      </c>
      <c r="J550" s="35">
        <v>0</v>
      </c>
      <c r="K550" s="35">
        <v>0</v>
      </c>
    </row>
    <row r="551" spans="2:11" x14ac:dyDescent="0.35">
      <c r="B551" s="31">
        <v>45014</v>
      </c>
      <c r="C551" s="27" t="s">
        <v>451</v>
      </c>
      <c r="D551" s="32">
        <v>13320</v>
      </c>
      <c r="E551" s="28" t="s">
        <v>481</v>
      </c>
      <c r="F551" s="28" t="s">
        <v>475</v>
      </c>
      <c r="G551" s="26">
        <v>1</v>
      </c>
      <c r="H551" s="35">
        <v>95</v>
      </c>
      <c r="I551" s="35">
        <v>0</v>
      </c>
      <c r="J551" s="35">
        <v>7.41</v>
      </c>
      <c r="K551" s="35">
        <v>102.41</v>
      </c>
    </row>
    <row r="552" spans="2:11" x14ac:dyDescent="0.35">
      <c r="B552" s="31">
        <v>45014</v>
      </c>
      <c r="C552" s="27" t="s">
        <v>452</v>
      </c>
      <c r="D552" s="32">
        <v>13176</v>
      </c>
      <c r="E552" s="28" t="s">
        <v>503</v>
      </c>
      <c r="F552" s="28" t="s">
        <v>473</v>
      </c>
      <c r="G552" s="26">
        <v>1</v>
      </c>
      <c r="H552" s="35">
        <v>2400</v>
      </c>
      <c r="I552" s="35">
        <v>0</v>
      </c>
      <c r="J552" s="35">
        <v>0</v>
      </c>
      <c r="K552" s="35">
        <v>2400</v>
      </c>
    </row>
    <row r="553" spans="2:11" x14ac:dyDescent="0.35">
      <c r="B553" s="31">
        <v>45014</v>
      </c>
      <c r="C553" s="27" t="s">
        <v>452</v>
      </c>
      <c r="D553" s="32">
        <v>13176</v>
      </c>
      <c r="E553" s="28" t="s">
        <v>485</v>
      </c>
      <c r="F553" s="28" t="s">
        <v>473</v>
      </c>
      <c r="G553" s="26">
        <v>1</v>
      </c>
      <c r="H553" s="35">
        <v>600</v>
      </c>
      <c r="I553" s="35">
        <v>0</v>
      </c>
      <c r="J553" s="35">
        <v>0</v>
      </c>
      <c r="K553" s="35">
        <v>600</v>
      </c>
    </row>
    <row r="554" spans="2:11" x14ac:dyDescent="0.35">
      <c r="B554" s="31">
        <v>45014</v>
      </c>
      <c r="C554" s="27" t="s">
        <v>453</v>
      </c>
      <c r="D554" s="32">
        <v>641</v>
      </c>
      <c r="E554" s="28" t="s">
        <v>496</v>
      </c>
      <c r="F554" s="28" t="s">
        <v>476</v>
      </c>
      <c r="G554" s="26">
        <v>1</v>
      </c>
      <c r="H554" s="35">
        <v>0</v>
      </c>
      <c r="I554" s="35">
        <v>0</v>
      </c>
      <c r="J554" s="35">
        <v>0</v>
      </c>
      <c r="K554" s="35">
        <v>0</v>
      </c>
    </row>
    <row r="555" spans="2:11" x14ac:dyDescent="0.35">
      <c r="B555" s="31">
        <v>45014</v>
      </c>
      <c r="C555" s="27" t="s">
        <v>454</v>
      </c>
      <c r="D555" s="32">
        <v>78</v>
      </c>
      <c r="E555" s="28" t="s">
        <v>480</v>
      </c>
      <c r="F555" s="28" t="s">
        <v>473</v>
      </c>
      <c r="G555" s="26">
        <v>34</v>
      </c>
      <c r="H555" s="35">
        <v>15</v>
      </c>
      <c r="I555" s="35">
        <v>0</v>
      </c>
      <c r="J555" s="35">
        <v>0</v>
      </c>
      <c r="K555" s="35">
        <v>510</v>
      </c>
    </row>
    <row r="556" spans="2:11" x14ac:dyDescent="0.35">
      <c r="B556" s="31">
        <v>45014</v>
      </c>
      <c r="C556" s="27" t="s">
        <v>455</v>
      </c>
      <c r="D556" s="32">
        <v>42</v>
      </c>
      <c r="E556" s="28" t="s">
        <v>480</v>
      </c>
      <c r="F556" s="28" t="s">
        <v>473</v>
      </c>
      <c r="G556" s="26">
        <v>24</v>
      </c>
      <c r="H556" s="35">
        <v>15</v>
      </c>
      <c r="I556" s="35">
        <v>0</v>
      </c>
      <c r="J556" s="35">
        <v>0</v>
      </c>
      <c r="K556" s="35">
        <v>360</v>
      </c>
    </row>
    <row r="557" spans="2:11" x14ac:dyDescent="0.35">
      <c r="B557" s="31">
        <v>45014</v>
      </c>
      <c r="C557" s="27" t="s">
        <v>456</v>
      </c>
      <c r="D557" s="32">
        <v>17943</v>
      </c>
      <c r="E557" s="28" t="s">
        <v>493</v>
      </c>
      <c r="F557" s="28" t="s">
        <v>473</v>
      </c>
      <c r="G557" s="26">
        <v>1</v>
      </c>
      <c r="H557" s="35">
        <v>350</v>
      </c>
      <c r="I557" s="35">
        <v>0</v>
      </c>
      <c r="J557" s="35">
        <v>0</v>
      </c>
      <c r="K557" s="35">
        <v>350</v>
      </c>
    </row>
    <row r="558" spans="2:11" x14ac:dyDescent="0.35">
      <c r="B558" s="31">
        <v>45014</v>
      </c>
      <c r="C558" s="27" t="s">
        <v>456</v>
      </c>
      <c r="D558" s="32">
        <v>17943</v>
      </c>
      <c r="E558" s="28" t="s">
        <v>485</v>
      </c>
      <c r="F558" s="28" t="s">
        <v>473</v>
      </c>
      <c r="G558" s="26">
        <v>1</v>
      </c>
      <c r="H558" s="35">
        <v>169</v>
      </c>
      <c r="I558" s="35">
        <v>0</v>
      </c>
      <c r="J558" s="35">
        <v>13.18</v>
      </c>
      <c r="K558" s="35">
        <v>182.18</v>
      </c>
    </row>
    <row r="559" spans="2:11" x14ac:dyDescent="0.35">
      <c r="B559" s="31">
        <v>45014</v>
      </c>
      <c r="C559" s="27" t="s">
        <v>456</v>
      </c>
      <c r="D559" s="32">
        <v>17943</v>
      </c>
      <c r="E559" s="28" t="s">
        <v>503</v>
      </c>
      <c r="F559" s="28" t="s">
        <v>473</v>
      </c>
      <c r="G559" s="26">
        <v>1</v>
      </c>
      <c r="H559" s="35">
        <v>185</v>
      </c>
      <c r="I559" s="35">
        <v>0</v>
      </c>
      <c r="J559" s="35">
        <v>14.43</v>
      </c>
      <c r="K559" s="35">
        <v>199.43</v>
      </c>
    </row>
    <row r="560" spans="2:11" x14ac:dyDescent="0.35">
      <c r="B560" s="31">
        <v>45014</v>
      </c>
      <c r="C560" s="27" t="s">
        <v>457</v>
      </c>
      <c r="D560" s="32">
        <v>474</v>
      </c>
      <c r="E560" s="28" t="s">
        <v>484</v>
      </c>
      <c r="F560" s="28" t="s">
        <v>475</v>
      </c>
      <c r="G560" s="26">
        <v>8</v>
      </c>
      <c r="H560" s="35">
        <v>375</v>
      </c>
      <c r="I560" s="35">
        <v>0</v>
      </c>
      <c r="J560" s="35">
        <v>0</v>
      </c>
      <c r="K560" s="35">
        <v>3000</v>
      </c>
    </row>
    <row r="561" spans="2:11" x14ac:dyDescent="0.35">
      <c r="B561" s="31">
        <v>45014</v>
      </c>
      <c r="C561" s="27" t="s">
        <v>458</v>
      </c>
      <c r="D561" s="32">
        <v>602</v>
      </c>
      <c r="E561" s="28" t="s">
        <v>484</v>
      </c>
      <c r="F561" s="28" t="s">
        <v>475</v>
      </c>
      <c r="G561" s="26">
        <v>8</v>
      </c>
      <c r="H561" s="35">
        <v>375</v>
      </c>
      <c r="I561" s="35">
        <v>0</v>
      </c>
      <c r="J561" s="35">
        <v>0</v>
      </c>
      <c r="K561" s="35">
        <v>3000</v>
      </c>
    </row>
    <row r="562" spans="2:11" x14ac:dyDescent="0.35">
      <c r="B562" s="31">
        <v>45014</v>
      </c>
      <c r="C562" s="27" t="s">
        <v>459</v>
      </c>
      <c r="D562" s="32">
        <v>602</v>
      </c>
      <c r="E562" s="28" t="s">
        <v>485</v>
      </c>
      <c r="F562" s="28" t="s">
        <v>475</v>
      </c>
      <c r="G562" s="26">
        <v>1</v>
      </c>
      <c r="H562" s="35">
        <v>169</v>
      </c>
      <c r="I562" s="35">
        <v>0</v>
      </c>
      <c r="J562" s="35">
        <v>13.18</v>
      </c>
      <c r="K562" s="35">
        <v>182.18</v>
      </c>
    </row>
    <row r="563" spans="2:11" x14ac:dyDescent="0.35">
      <c r="B563" s="31">
        <v>45014</v>
      </c>
      <c r="C563" s="27" t="s">
        <v>460</v>
      </c>
      <c r="D563" s="32">
        <v>18020</v>
      </c>
      <c r="E563" s="28" t="s">
        <v>488</v>
      </c>
      <c r="F563" s="28" t="s">
        <v>474</v>
      </c>
      <c r="G563" s="26">
        <v>1</v>
      </c>
      <c r="H563" s="35">
        <v>19.989999999999998</v>
      </c>
      <c r="I563" s="35">
        <v>0</v>
      </c>
      <c r="J563" s="35">
        <v>1.56</v>
      </c>
      <c r="K563" s="35">
        <v>21.549999999999997</v>
      </c>
    </row>
    <row r="564" spans="2:11" x14ac:dyDescent="0.35">
      <c r="B564" s="31">
        <v>45014</v>
      </c>
      <c r="C564" s="27" t="s">
        <v>461</v>
      </c>
      <c r="D564" s="32">
        <v>12898</v>
      </c>
      <c r="E564" s="28" t="s">
        <v>481</v>
      </c>
      <c r="F564" s="28" t="s">
        <v>477</v>
      </c>
      <c r="G564" s="26">
        <v>2</v>
      </c>
      <c r="H564" s="35">
        <v>168</v>
      </c>
      <c r="I564" s="35">
        <v>50.4</v>
      </c>
      <c r="J564" s="35">
        <v>22.28</v>
      </c>
      <c r="K564" s="35">
        <v>307.88</v>
      </c>
    </row>
    <row r="565" spans="2:11" x14ac:dyDescent="0.35">
      <c r="B565" s="31">
        <v>45014</v>
      </c>
      <c r="C565" s="27" t="s">
        <v>461</v>
      </c>
      <c r="D565" s="32">
        <v>12898</v>
      </c>
      <c r="E565" s="28" t="s">
        <v>483</v>
      </c>
      <c r="F565" s="28" t="s">
        <v>477</v>
      </c>
      <c r="G565" s="26">
        <v>1</v>
      </c>
      <c r="H565" s="35">
        <v>59</v>
      </c>
      <c r="I565" s="35">
        <v>8.85</v>
      </c>
      <c r="J565" s="35">
        <v>3.91</v>
      </c>
      <c r="K565" s="35">
        <v>54.06</v>
      </c>
    </row>
    <row r="566" spans="2:11" x14ac:dyDescent="0.35">
      <c r="B566" s="31">
        <v>45015</v>
      </c>
      <c r="C566" s="27" t="s">
        <v>462</v>
      </c>
      <c r="D566" s="32">
        <v>8656</v>
      </c>
      <c r="E566" s="28" t="s">
        <v>493</v>
      </c>
      <c r="F566" s="28" t="s">
        <v>476</v>
      </c>
      <c r="G566" s="26">
        <v>1</v>
      </c>
      <c r="H566" s="35">
        <v>50</v>
      </c>
      <c r="I566" s="35">
        <v>0</v>
      </c>
      <c r="J566" s="35">
        <v>0</v>
      </c>
      <c r="K566" s="35">
        <v>50</v>
      </c>
    </row>
    <row r="567" spans="2:11" x14ac:dyDescent="0.35">
      <c r="B567" s="31">
        <v>45015</v>
      </c>
      <c r="C567" s="27" t="s">
        <v>463</v>
      </c>
      <c r="D567" s="32">
        <v>6415</v>
      </c>
      <c r="E567" s="28" t="s">
        <v>480</v>
      </c>
      <c r="F567" s="28" t="s">
        <v>476</v>
      </c>
      <c r="G567" s="26">
        <v>22</v>
      </c>
      <c r="H567" s="35">
        <v>15</v>
      </c>
      <c r="I567" s="35">
        <v>0</v>
      </c>
      <c r="J567" s="35">
        <v>0</v>
      </c>
      <c r="K567" s="35">
        <v>330</v>
      </c>
    </row>
    <row r="568" spans="2:11" x14ac:dyDescent="0.35">
      <c r="B568" s="31">
        <v>45015</v>
      </c>
      <c r="C568" s="27" t="s">
        <v>464</v>
      </c>
      <c r="D568" s="32">
        <v>913</v>
      </c>
      <c r="E568" s="28" t="s">
        <v>482</v>
      </c>
      <c r="F568" s="28" t="s">
        <v>475</v>
      </c>
      <c r="G568" s="26">
        <v>1</v>
      </c>
      <c r="H568" s="35">
        <v>180</v>
      </c>
      <c r="I568" s="35">
        <v>0</v>
      </c>
      <c r="J568" s="35">
        <v>14.04</v>
      </c>
      <c r="K568" s="35">
        <v>194.04</v>
      </c>
    </row>
    <row r="569" spans="2:11" x14ac:dyDescent="0.35">
      <c r="B569" s="31">
        <v>45015</v>
      </c>
      <c r="C569" s="27" t="s">
        <v>465</v>
      </c>
      <c r="D569" s="32">
        <v>10830</v>
      </c>
      <c r="E569" s="28" t="s">
        <v>493</v>
      </c>
      <c r="F569" s="28" t="s">
        <v>474</v>
      </c>
      <c r="G569" s="26">
        <v>1</v>
      </c>
      <c r="H569" s="35">
        <v>150</v>
      </c>
      <c r="I569" s="35">
        <v>0</v>
      </c>
      <c r="J569" s="35">
        <v>11.7</v>
      </c>
      <c r="K569" s="35">
        <v>161.69999999999999</v>
      </c>
    </row>
    <row r="570" spans="2:11" x14ac:dyDescent="0.35">
      <c r="B570" s="31">
        <v>45015</v>
      </c>
      <c r="C570" s="27" t="s">
        <v>466</v>
      </c>
      <c r="D570" s="32">
        <v>8533</v>
      </c>
      <c r="E570" s="28" t="s">
        <v>480</v>
      </c>
      <c r="F570" s="28" t="s">
        <v>476</v>
      </c>
      <c r="G570" s="26">
        <v>1</v>
      </c>
      <c r="H570" s="35">
        <v>0</v>
      </c>
      <c r="I570" s="35">
        <v>0</v>
      </c>
      <c r="J570" s="35">
        <v>0</v>
      </c>
      <c r="K570" s="35">
        <v>0</v>
      </c>
    </row>
    <row r="571" spans="2:11" x14ac:dyDescent="0.35">
      <c r="B571" s="31">
        <v>45016</v>
      </c>
      <c r="C571" s="27" t="s">
        <v>467</v>
      </c>
      <c r="D571" s="32">
        <v>10810</v>
      </c>
      <c r="E571" s="28" t="s">
        <v>496</v>
      </c>
      <c r="F571" s="28" t="s">
        <v>476</v>
      </c>
      <c r="G571" s="26">
        <v>1</v>
      </c>
      <c r="H571" s="35">
        <v>0</v>
      </c>
      <c r="I571" s="35">
        <v>0</v>
      </c>
      <c r="J571" s="35">
        <v>0</v>
      </c>
      <c r="K571" s="35">
        <v>0</v>
      </c>
    </row>
    <row r="572" spans="2:11" x14ac:dyDescent="0.35">
      <c r="B572" s="31">
        <v>45016</v>
      </c>
      <c r="C572" s="27" t="s">
        <v>468</v>
      </c>
      <c r="D572" s="32">
        <v>10810</v>
      </c>
      <c r="E572" s="28" t="s">
        <v>482</v>
      </c>
      <c r="F572" s="28" t="s">
        <v>475</v>
      </c>
      <c r="G572" s="26">
        <v>1</v>
      </c>
      <c r="H572" s="35">
        <v>10</v>
      </c>
      <c r="I572" s="35">
        <v>0</v>
      </c>
      <c r="J572" s="35">
        <v>0.78</v>
      </c>
      <c r="K572" s="35">
        <v>10.78</v>
      </c>
    </row>
    <row r="573" spans="2:11" x14ac:dyDescent="0.35">
      <c r="B573" s="31">
        <v>45016</v>
      </c>
      <c r="C573" s="27" t="s">
        <v>469</v>
      </c>
      <c r="D573" s="32">
        <v>8704</v>
      </c>
      <c r="E573" s="28" t="s">
        <v>493</v>
      </c>
      <c r="F573" s="28" t="s">
        <v>476</v>
      </c>
      <c r="G573" s="26">
        <v>1</v>
      </c>
      <c r="H573" s="35">
        <v>50</v>
      </c>
      <c r="I573" s="35">
        <v>0</v>
      </c>
      <c r="J573" s="35">
        <v>0</v>
      </c>
      <c r="K573" s="35">
        <v>50</v>
      </c>
    </row>
    <row r="574" spans="2:11" x14ac:dyDescent="0.35">
      <c r="B574" s="31">
        <v>45016</v>
      </c>
      <c r="C574" s="27" t="s">
        <v>470</v>
      </c>
      <c r="D574" s="32">
        <v>17990</v>
      </c>
      <c r="E574" s="28" t="s">
        <v>482</v>
      </c>
      <c r="F574" s="28" t="s">
        <v>476</v>
      </c>
      <c r="G574" s="26">
        <v>1</v>
      </c>
      <c r="H574" s="35">
        <v>180</v>
      </c>
      <c r="I574" s="35">
        <v>0</v>
      </c>
      <c r="J574" s="35">
        <v>14.04</v>
      </c>
      <c r="K574" s="35">
        <v>194.04</v>
      </c>
    </row>
    <row r="575" spans="2:11" x14ac:dyDescent="0.35">
      <c r="B575" s="31">
        <v>45016</v>
      </c>
      <c r="C575" s="27" t="s">
        <v>471</v>
      </c>
      <c r="D575" s="32">
        <v>18034</v>
      </c>
      <c r="E575" s="28" t="s">
        <v>488</v>
      </c>
      <c r="F575" s="28" t="s">
        <v>474</v>
      </c>
      <c r="G575" s="26">
        <v>1</v>
      </c>
      <c r="H575" s="35">
        <v>19.989999999999998</v>
      </c>
      <c r="I575" s="35">
        <v>0</v>
      </c>
      <c r="J575" s="35">
        <v>1.56</v>
      </c>
      <c r="K575" s="35">
        <v>21.549999999999997</v>
      </c>
    </row>
    <row r="576" spans="2:11" x14ac:dyDescent="0.35">
      <c r="B576" s="31">
        <v>45016</v>
      </c>
      <c r="C576" s="27" t="s">
        <v>472</v>
      </c>
      <c r="D576" s="32">
        <v>13073</v>
      </c>
      <c r="E576" s="28" t="s">
        <v>497</v>
      </c>
      <c r="F576" s="28" t="s">
        <v>474</v>
      </c>
      <c r="G576" s="26">
        <v>1</v>
      </c>
      <c r="H576" s="35">
        <v>15</v>
      </c>
      <c r="I576" s="35">
        <v>0</v>
      </c>
      <c r="J576" s="35">
        <v>1.05</v>
      </c>
      <c r="K576" s="35">
        <v>16.05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3CB8C-64AD-4DD9-946C-365D3F40DBF7}">
  <sheetPr>
    <tabColor rgb="FFC00000"/>
  </sheetPr>
  <dimension ref="B2:L576"/>
  <sheetViews>
    <sheetView showGridLines="0" workbookViewId="0"/>
  </sheetViews>
  <sheetFormatPr defaultColWidth="12.61328125" defaultRowHeight="14.15" x14ac:dyDescent="0.35"/>
  <cols>
    <col min="1" max="1" width="1.61328125" style="1" customWidth="1"/>
    <col min="2" max="2" width="12.69140625" style="1" customWidth="1"/>
    <col min="3" max="3" width="12.69140625" style="38" customWidth="1"/>
    <col min="4" max="10" width="12.69140625" style="1" customWidth="1"/>
    <col min="11" max="11" width="12.69140625" style="21" customWidth="1"/>
    <col min="12" max="12" width="12.69140625" style="1" customWidth="1"/>
    <col min="13" max="13" width="1.69140625" style="1" customWidth="1"/>
    <col min="14" max="16384" width="12.61328125" style="1"/>
  </cols>
  <sheetData>
    <row r="2" spans="2:12" ht="24.9" x14ac:dyDescent="0.55000000000000004">
      <c r="B2" s="19" t="s">
        <v>508</v>
      </c>
      <c r="C2" s="37"/>
      <c r="D2" s="20"/>
      <c r="E2" s="20"/>
      <c r="F2" s="20"/>
      <c r="G2" s="20"/>
      <c r="H2" s="20"/>
      <c r="I2" s="20"/>
      <c r="J2" s="20"/>
      <c r="K2" s="20"/>
      <c r="L2" s="20"/>
    </row>
    <row r="4" spans="2:12" x14ac:dyDescent="0.35">
      <c r="B4" s="30" t="s">
        <v>50</v>
      </c>
      <c r="C4" s="39" t="s">
        <v>506</v>
      </c>
      <c r="D4" s="30" t="s">
        <v>51</v>
      </c>
      <c r="E4" s="30" t="s">
        <v>505</v>
      </c>
      <c r="F4" s="30" t="s">
        <v>504</v>
      </c>
      <c r="G4" s="30" t="s">
        <v>478</v>
      </c>
      <c r="H4" s="33" t="s">
        <v>52</v>
      </c>
      <c r="I4" s="33" t="s">
        <v>479</v>
      </c>
      <c r="J4" s="33" t="s">
        <v>53</v>
      </c>
      <c r="K4" s="33" t="s">
        <v>54</v>
      </c>
      <c r="L4" s="33" t="s">
        <v>507</v>
      </c>
    </row>
    <row r="5" spans="2:12" x14ac:dyDescent="0.35">
      <c r="B5" s="31">
        <v>44928</v>
      </c>
      <c r="C5" s="40" t="str">
        <f>TEXT(B5,"MMM")</f>
        <v>Jan</v>
      </c>
      <c r="D5" s="27" t="s">
        <v>56</v>
      </c>
      <c r="E5" s="32">
        <v>110</v>
      </c>
      <c r="F5" s="28" t="s">
        <v>480</v>
      </c>
      <c r="G5" s="28" t="s">
        <v>473</v>
      </c>
      <c r="H5" s="34">
        <v>24</v>
      </c>
      <c r="I5" s="35">
        <v>15</v>
      </c>
      <c r="J5" s="35">
        <v>0</v>
      </c>
      <c r="K5" s="36">
        <v>0</v>
      </c>
      <c r="L5" s="35">
        <v>360</v>
      </c>
    </row>
    <row r="6" spans="2:12" s="7" customFormat="1" x14ac:dyDescent="0.35">
      <c r="B6" s="31">
        <v>44928</v>
      </c>
      <c r="C6" s="40" t="str">
        <f t="shared" ref="C6:C69" si="0">TEXT(B6,"MMM")</f>
        <v>Jan</v>
      </c>
      <c r="D6" s="27" t="s">
        <v>57</v>
      </c>
      <c r="E6" s="32">
        <v>22384</v>
      </c>
      <c r="F6" s="28" t="s">
        <v>480</v>
      </c>
      <c r="G6" s="28" t="s">
        <v>473</v>
      </c>
      <c r="H6" s="26">
        <v>12</v>
      </c>
      <c r="I6" s="35">
        <v>15</v>
      </c>
      <c r="J6" s="35">
        <v>0</v>
      </c>
      <c r="K6" s="36">
        <v>0</v>
      </c>
      <c r="L6" s="35">
        <v>180</v>
      </c>
    </row>
    <row r="7" spans="2:12" x14ac:dyDescent="0.35">
      <c r="B7" s="31">
        <v>44928</v>
      </c>
      <c r="C7" s="40" t="str">
        <f t="shared" si="0"/>
        <v>Jan</v>
      </c>
      <c r="D7" s="27" t="s">
        <v>58</v>
      </c>
      <c r="E7" s="32">
        <v>559</v>
      </c>
      <c r="F7" s="28" t="s">
        <v>480</v>
      </c>
      <c r="G7" s="28" t="s">
        <v>473</v>
      </c>
      <c r="H7" s="34">
        <v>42</v>
      </c>
      <c r="I7" s="35">
        <v>15</v>
      </c>
      <c r="J7" s="35">
        <v>0</v>
      </c>
      <c r="K7" s="36">
        <v>0</v>
      </c>
      <c r="L7" s="35">
        <v>630</v>
      </c>
    </row>
    <row r="8" spans="2:12" x14ac:dyDescent="0.35">
      <c r="B8" s="31">
        <v>44928</v>
      </c>
      <c r="C8" s="40" t="str">
        <f t="shared" si="0"/>
        <v>Jan</v>
      </c>
      <c r="D8" s="27" t="s">
        <v>58</v>
      </c>
      <c r="E8" s="32">
        <v>559</v>
      </c>
      <c r="F8" s="28" t="s">
        <v>480</v>
      </c>
      <c r="G8" s="28" t="s">
        <v>473</v>
      </c>
      <c r="H8" s="26">
        <v>1</v>
      </c>
      <c r="I8" s="35">
        <v>750</v>
      </c>
      <c r="J8" s="35">
        <v>0</v>
      </c>
      <c r="K8" s="36">
        <v>0</v>
      </c>
      <c r="L8" s="35">
        <v>750</v>
      </c>
    </row>
    <row r="9" spans="2:12" x14ac:dyDescent="0.35">
      <c r="B9" s="31">
        <v>44928</v>
      </c>
      <c r="C9" s="40" t="str">
        <f t="shared" si="0"/>
        <v>Jan</v>
      </c>
      <c r="D9" s="27" t="s">
        <v>59</v>
      </c>
      <c r="E9" s="32">
        <v>13010</v>
      </c>
      <c r="F9" s="28" t="s">
        <v>480</v>
      </c>
      <c r="G9" s="28" t="s">
        <v>473</v>
      </c>
      <c r="H9" s="34">
        <v>16</v>
      </c>
      <c r="I9" s="35">
        <v>15</v>
      </c>
      <c r="J9" s="35">
        <v>0</v>
      </c>
      <c r="K9" s="36">
        <v>0</v>
      </c>
      <c r="L9" s="35">
        <v>240</v>
      </c>
    </row>
    <row r="10" spans="2:12" s="7" customFormat="1" x14ac:dyDescent="0.35">
      <c r="B10" s="31">
        <v>44928</v>
      </c>
      <c r="C10" s="40" t="str">
        <f t="shared" si="0"/>
        <v>Jan</v>
      </c>
      <c r="D10" s="27" t="s">
        <v>60</v>
      </c>
      <c r="E10" s="32">
        <v>212</v>
      </c>
      <c r="F10" s="28" t="s">
        <v>480</v>
      </c>
      <c r="G10" s="28" t="s">
        <v>473</v>
      </c>
      <c r="H10" s="26">
        <v>48</v>
      </c>
      <c r="I10" s="35">
        <v>15</v>
      </c>
      <c r="J10" s="35">
        <v>0</v>
      </c>
      <c r="K10" s="36">
        <v>0</v>
      </c>
      <c r="L10" s="35">
        <v>720</v>
      </c>
    </row>
    <row r="11" spans="2:12" x14ac:dyDescent="0.35">
      <c r="B11" s="31">
        <v>44928</v>
      </c>
      <c r="C11" s="40" t="str">
        <f t="shared" si="0"/>
        <v>Jan</v>
      </c>
      <c r="D11" s="27" t="s">
        <v>61</v>
      </c>
      <c r="E11" s="32">
        <v>13013</v>
      </c>
      <c r="F11" s="28" t="s">
        <v>480</v>
      </c>
      <c r="G11" s="28" t="s">
        <v>474</v>
      </c>
      <c r="H11" s="26">
        <v>1</v>
      </c>
      <c r="I11" s="35">
        <v>0</v>
      </c>
      <c r="J11" s="35">
        <v>0</v>
      </c>
      <c r="K11" s="36">
        <v>0</v>
      </c>
      <c r="L11" s="35">
        <v>0</v>
      </c>
    </row>
    <row r="12" spans="2:12" s="7" customFormat="1" x14ac:dyDescent="0.35">
      <c r="B12" s="31">
        <v>44928</v>
      </c>
      <c r="C12" s="40" t="str">
        <f t="shared" si="0"/>
        <v>Jan</v>
      </c>
      <c r="D12" s="27" t="s">
        <v>62</v>
      </c>
      <c r="E12" s="32">
        <v>173</v>
      </c>
      <c r="F12" s="28" t="s">
        <v>480</v>
      </c>
      <c r="G12" s="28" t="s">
        <v>474</v>
      </c>
      <c r="H12" s="26">
        <v>1</v>
      </c>
      <c r="I12" s="35">
        <v>0</v>
      </c>
      <c r="J12" s="35">
        <v>0</v>
      </c>
      <c r="K12" s="36">
        <v>0</v>
      </c>
      <c r="L12" s="35">
        <v>0</v>
      </c>
    </row>
    <row r="13" spans="2:12" x14ac:dyDescent="0.35">
      <c r="B13" s="31">
        <v>44928</v>
      </c>
      <c r="C13" s="40" t="str">
        <f t="shared" si="0"/>
        <v>Jan</v>
      </c>
      <c r="D13" s="27" t="s">
        <v>63</v>
      </c>
      <c r="E13" s="32">
        <v>87</v>
      </c>
      <c r="F13" s="28" t="s">
        <v>480</v>
      </c>
      <c r="G13" s="28" t="s">
        <v>474</v>
      </c>
      <c r="H13" s="26">
        <v>1</v>
      </c>
      <c r="I13" s="35">
        <v>75</v>
      </c>
      <c r="J13" s="35">
        <v>0</v>
      </c>
      <c r="K13" s="35">
        <v>0</v>
      </c>
      <c r="L13" s="35">
        <v>75</v>
      </c>
    </row>
    <row r="14" spans="2:12" x14ac:dyDescent="0.35">
      <c r="B14" s="31">
        <v>44928</v>
      </c>
      <c r="C14" s="40" t="str">
        <f t="shared" si="0"/>
        <v>Jan</v>
      </c>
      <c r="D14" s="27" t="s">
        <v>64</v>
      </c>
      <c r="E14" s="32">
        <v>5369</v>
      </c>
      <c r="F14" s="28" t="s">
        <v>481</v>
      </c>
      <c r="G14" s="28" t="s">
        <v>474</v>
      </c>
      <c r="H14" s="34">
        <v>1</v>
      </c>
      <c r="I14" s="35">
        <v>150</v>
      </c>
      <c r="J14" s="35">
        <v>75</v>
      </c>
      <c r="K14" s="35">
        <v>5.85</v>
      </c>
      <c r="L14" s="35">
        <v>80.849999999999994</v>
      </c>
    </row>
    <row r="15" spans="2:12" x14ac:dyDescent="0.35">
      <c r="B15" s="31">
        <v>44928</v>
      </c>
      <c r="C15" s="40" t="str">
        <f t="shared" si="0"/>
        <v>Jan</v>
      </c>
      <c r="D15" s="27" t="s">
        <v>64</v>
      </c>
      <c r="E15" s="32">
        <v>5369</v>
      </c>
      <c r="F15" s="28" t="s">
        <v>481</v>
      </c>
      <c r="G15" s="28" t="s">
        <v>474</v>
      </c>
      <c r="H15" s="26">
        <v>1</v>
      </c>
      <c r="I15" s="35">
        <v>45</v>
      </c>
      <c r="J15" s="35">
        <v>22.5</v>
      </c>
      <c r="K15" s="36">
        <v>1.76</v>
      </c>
      <c r="L15" s="35">
        <v>24.26</v>
      </c>
    </row>
    <row r="16" spans="2:12" x14ac:dyDescent="0.35">
      <c r="B16" s="31">
        <v>44928</v>
      </c>
      <c r="C16" s="40" t="str">
        <f t="shared" si="0"/>
        <v>Jan</v>
      </c>
      <c r="D16" s="27" t="s">
        <v>64</v>
      </c>
      <c r="E16" s="32">
        <v>5369</v>
      </c>
      <c r="F16" s="28" t="s">
        <v>481</v>
      </c>
      <c r="G16" s="28" t="s">
        <v>474</v>
      </c>
      <c r="H16" s="26">
        <v>1</v>
      </c>
      <c r="I16" s="35">
        <v>148</v>
      </c>
      <c r="J16" s="35">
        <v>74</v>
      </c>
      <c r="K16" s="35">
        <v>5.77</v>
      </c>
      <c r="L16" s="35">
        <v>79.77</v>
      </c>
    </row>
    <row r="17" spans="2:12" x14ac:dyDescent="0.35">
      <c r="B17" s="31">
        <v>44928</v>
      </c>
      <c r="C17" s="40" t="str">
        <f t="shared" si="0"/>
        <v>Jan</v>
      </c>
      <c r="D17" s="27" t="s">
        <v>65</v>
      </c>
      <c r="E17" s="32">
        <v>559</v>
      </c>
      <c r="F17" s="28" t="s">
        <v>481</v>
      </c>
      <c r="G17" s="28" t="s">
        <v>473</v>
      </c>
      <c r="H17" s="26">
        <v>1</v>
      </c>
      <c r="I17" s="35">
        <v>3250</v>
      </c>
      <c r="J17" s="35">
        <v>0</v>
      </c>
      <c r="K17" s="36">
        <v>0</v>
      </c>
      <c r="L17" s="35">
        <v>3250</v>
      </c>
    </row>
    <row r="18" spans="2:12" x14ac:dyDescent="0.35">
      <c r="B18" s="31">
        <v>44929</v>
      </c>
      <c r="C18" s="40" t="str">
        <f t="shared" si="0"/>
        <v>Jan</v>
      </c>
      <c r="D18" s="27" t="s">
        <v>66</v>
      </c>
      <c r="E18" s="32">
        <v>13190</v>
      </c>
      <c r="F18" s="28" t="s">
        <v>481</v>
      </c>
      <c r="G18" s="28" t="s">
        <v>475</v>
      </c>
      <c r="H18" s="26">
        <v>1</v>
      </c>
      <c r="I18" s="35">
        <v>95</v>
      </c>
      <c r="J18" s="35">
        <v>0</v>
      </c>
      <c r="K18" s="35">
        <v>7.41</v>
      </c>
      <c r="L18" s="35">
        <v>102.41</v>
      </c>
    </row>
    <row r="19" spans="2:12" x14ac:dyDescent="0.35">
      <c r="B19" s="31">
        <v>44929</v>
      </c>
      <c r="C19" s="40" t="str">
        <f t="shared" si="0"/>
        <v>Jan</v>
      </c>
      <c r="D19" s="27" t="s">
        <v>66</v>
      </c>
      <c r="E19" s="32">
        <v>13190</v>
      </c>
      <c r="F19" s="28" t="s">
        <v>482</v>
      </c>
      <c r="G19" s="28" t="s">
        <v>475</v>
      </c>
      <c r="H19" s="26">
        <v>1</v>
      </c>
      <c r="I19" s="35">
        <v>145</v>
      </c>
      <c r="J19" s="35">
        <v>0</v>
      </c>
      <c r="K19" s="35">
        <v>11.31</v>
      </c>
      <c r="L19" s="35">
        <v>156.31</v>
      </c>
    </row>
    <row r="20" spans="2:12" x14ac:dyDescent="0.35">
      <c r="B20" s="31">
        <v>44929</v>
      </c>
      <c r="C20" s="40" t="str">
        <f t="shared" si="0"/>
        <v>Jan</v>
      </c>
      <c r="D20" s="27" t="s">
        <v>66</v>
      </c>
      <c r="E20" s="32">
        <v>13190</v>
      </c>
      <c r="F20" s="28" t="s">
        <v>481</v>
      </c>
      <c r="G20" s="28" t="s">
        <v>475</v>
      </c>
      <c r="H20" s="26">
        <v>1</v>
      </c>
      <c r="I20" s="35">
        <v>45</v>
      </c>
      <c r="J20" s="35">
        <v>0</v>
      </c>
      <c r="K20" s="35">
        <v>3.51</v>
      </c>
      <c r="L20" s="35">
        <v>48.51</v>
      </c>
    </row>
    <row r="21" spans="2:12" x14ac:dyDescent="0.35">
      <c r="B21" s="31">
        <v>44929</v>
      </c>
      <c r="C21" s="40" t="str">
        <f t="shared" si="0"/>
        <v>Jan</v>
      </c>
      <c r="D21" s="27" t="s">
        <v>67</v>
      </c>
      <c r="E21" s="32">
        <v>375</v>
      </c>
      <c r="F21" s="28" t="s">
        <v>482</v>
      </c>
      <c r="G21" s="28" t="s">
        <v>475</v>
      </c>
      <c r="H21" s="26">
        <v>1</v>
      </c>
      <c r="I21" s="35">
        <v>225</v>
      </c>
      <c r="J21" s="35">
        <v>0</v>
      </c>
      <c r="K21" s="35">
        <v>17.55</v>
      </c>
      <c r="L21" s="35">
        <v>242.55</v>
      </c>
    </row>
    <row r="22" spans="2:12" x14ac:dyDescent="0.35">
      <c r="B22" s="31">
        <v>44929</v>
      </c>
      <c r="C22" s="40" t="str">
        <f t="shared" si="0"/>
        <v>Jan</v>
      </c>
      <c r="D22" s="27" t="s">
        <v>68</v>
      </c>
      <c r="E22" s="32">
        <v>15521</v>
      </c>
      <c r="F22" s="28" t="s">
        <v>481</v>
      </c>
      <c r="G22" s="28" t="s">
        <v>476</v>
      </c>
      <c r="H22" s="26">
        <v>1</v>
      </c>
      <c r="I22" s="35">
        <v>148</v>
      </c>
      <c r="J22" s="35">
        <v>0</v>
      </c>
      <c r="K22" s="35">
        <v>11.54</v>
      </c>
      <c r="L22" s="35">
        <v>159.54</v>
      </c>
    </row>
    <row r="23" spans="2:12" x14ac:dyDescent="0.35">
      <c r="B23" s="31">
        <v>44929</v>
      </c>
      <c r="C23" s="40" t="str">
        <f t="shared" si="0"/>
        <v>Jan</v>
      </c>
      <c r="D23" s="27" t="s">
        <v>68</v>
      </c>
      <c r="E23" s="32">
        <v>15521</v>
      </c>
      <c r="F23" s="28" t="s">
        <v>482</v>
      </c>
      <c r="G23" s="28" t="s">
        <v>476</v>
      </c>
      <c r="H23" s="26">
        <v>1</v>
      </c>
      <c r="I23" s="35">
        <v>0</v>
      </c>
      <c r="J23" s="35">
        <v>0</v>
      </c>
      <c r="K23" s="35">
        <v>0</v>
      </c>
      <c r="L23" s="35">
        <v>0</v>
      </c>
    </row>
    <row r="24" spans="2:12" x14ac:dyDescent="0.35">
      <c r="B24" s="31">
        <v>44929</v>
      </c>
      <c r="C24" s="40" t="str">
        <f t="shared" si="0"/>
        <v>Jan</v>
      </c>
      <c r="D24" s="27" t="s">
        <v>69</v>
      </c>
      <c r="E24" s="32">
        <v>935</v>
      </c>
      <c r="F24" s="28" t="s">
        <v>482</v>
      </c>
      <c r="G24" s="28" t="s">
        <v>476</v>
      </c>
      <c r="H24" s="26">
        <v>1</v>
      </c>
      <c r="I24" s="35">
        <v>3000</v>
      </c>
      <c r="J24" s="35">
        <v>0</v>
      </c>
      <c r="K24" s="35">
        <v>234</v>
      </c>
      <c r="L24" s="35">
        <v>3234</v>
      </c>
    </row>
    <row r="25" spans="2:12" x14ac:dyDescent="0.35">
      <c r="B25" s="31">
        <v>44930</v>
      </c>
      <c r="C25" s="40" t="str">
        <f t="shared" si="0"/>
        <v>Jan</v>
      </c>
      <c r="D25" s="27" t="s">
        <v>70</v>
      </c>
      <c r="E25" s="32">
        <v>5367</v>
      </c>
      <c r="F25" s="28" t="s">
        <v>482</v>
      </c>
      <c r="G25" s="28" t="s">
        <v>475</v>
      </c>
      <c r="H25" s="26">
        <v>1</v>
      </c>
      <c r="I25" s="35">
        <v>180</v>
      </c>
      <c r="J25" s="35">
        <v>0</v>
      </c>
      <c r="K25" s="35">
        <v>14.04</v>
      </c>
      <c r="L25" s="35">
        <v>194.04</v>
      </c>
    </row>
    <row r="26" spans="2:12" x14ac:dyDescent="0.35">
      <c r="B26" s="31">
        <v>44930</v>
      </c>
      <c r="C26" s="40" t="str">
        <f t="shared" si="0"/>
        <v>Jan</v>
      </c>
      <c r="D26" s="27" t="s">
        <v>70</v>
      </c>
      <c r="E26" s="32">
        <v>5367</v>
      </c>
      <c r="F26" s="28" t="s">
        <v>483</v>
      </c>
      <c r="G26" s="28" t="s">
        <v>475</v>
      </c>
      <c r="H26" s="26">
        <v>1</v>
      </c>
      <c r="I26" s="35">
        <v>51</v>
      </c>
      <c r="J26" s="35">
        <v>0</v>
      </c>
      <c r="K26" s="35">
        <v>3.98</v>
      </c>
      <c r="L26" s="35">
        <v>54.98</v>
      </c>
    </row>
    <row r="27" spans="2:12" x14ac:dyDescent="0.35">
      <c r="B27" s="31">
        <v>44930</v>
      </c>
      <c r="C27" s="40" t="str">
        <f t="shared" si="0"/>
        <v>Jan</v>
      </c>
      <c r="D27" s="27" t="s">
        <v>71</v>
      </c>
      <c r="E27" s="32">
        <v>4158</v>
      </c>
      <c r="F27" s="28" t="s">
        <v>483</v>
      </c>
      <c r="G27" s="28" t="s">
        <v>473</v>
      </c>
      <c r="H27" s="26">
        <v>1</v>
      </c>
      <c r="I27" s="35">
        <v>750</v>
      </c>
      <c r="J27" s="35">
        <v>36.927599999999998</v>
      </c>
      <c r="K27" s="35">
        <v>0</v>
      </c>
      <c r="L27" s="35">
        <v>713.07240000000002</v>
      </c>
    </row>
    <row r="28" spans="2:12" x14ac:dyDescent="0.35">
      <c r="B28" s="31">
        <v>44930</v>
      </c>
      <c r="C28" s="40" t="str">
        <f t="shared" si="0"/>
        <v>Jan</v>
      </c>
      <c r="D28" s="27" t="s">
        <v>71</v>
      </c>
      <c r="E28" s="32">
        <v>4158</v>
      </c>
      <c r="F28" s="28" t="s">
        <v>483</v>
      </c>
      <c r="G28" s="28" t="s">
        <v>473</v>
      </c>
      <c r="H28" s="26">
        <v>38</v>
      </c>
      <c r="I28" s="35">
        <v>12</v>
      </c>
      <c r="J28" s="35">
        <v>22.452000000000002</v>
      </c>
      <c r="K28" s="35">
        <v>0</v>
      </c>
      <c r="L28" s="35">
        <v>433.548</v>
      </c>
    </row>
    <row r="29" spans="2:12" x14ac:dyDescent="0.35">
      <c r="B29" s="31">
        <v>44930</v>
      </c>
      <c r="C29" s="40" t="str">
        <f t="shared" si="0"/>
        <v>Jan</v>
      </c>
      <c r="D29" s="27" t="s">
        <v>71</v>
      </c>
      <c r="E29" s="32">
        <v>4158</v>
      </c>
      <c r="F29" s="28" t="s">
        <v>483</v>
      </c>
      <c r="G29" s="28" t="s">
        <v>473</v>
      </c>
      <c r="H29" s="26">
        <v>1</v>
      </c>
      <c r="I29" s="35">
        <v>825</v>
      </c>
      <c r="J29" s="35">
        <v>40.620399999999997</v>
      </c>
      <c r="K29" s="35">
        <v>0</v>
      </c>
      <c r="L29" s="35">
        <v>784.37959999999998</v>
      </c>
    </row>
    <row r="30" spans="2:12" x14ac:dyDescent="0.35">
      <c r="B30" s="31">
        <v>44930</v>
      </c>
      <c r="C30" s="40" t="str">
        <f t="shared" si="0"/>
        <v>Jan</v>
      </c>
      <c r="D30" s="27" t="s">
        <v>72</v>
      </c>
      <c r="E30" s="32">
        <v>495</v>
      </c>
      <c r="F30" s="28" t="s">
        <v>483</v>
      </c>
      <c r="G30" s="28" t="s">
        <v>473</v>
      </c>
      <c r="H30" s="26">
        <v>6</v>
      </c>
      <c r="I30" s="35">
        <v>12</v>
      </c>
      <c r="J30" s="35">
        <v>0</v>
      </c>
      <c r="K30" s="35">
        <v>0</v>
      </c>
      <c r="L30" s="35">
        <v>72</v>
      </c>
    </row>
    <row r="31" spans="2:12" x14ac:dyDescent="0.35">
      <c r="B31" s="31">
        <v>44930</v>
      </c>
      <c r="C31" s="40" t="str">
        <f t="shared" si="0"/>
        <v>Jan</v>
      </c>
      <c r="D31" s="27" t="s">
        <v>72</v>
      </c>
      <c r="E31" s="32">
        <v>495</v>
      </c>
      <c r="F31" s="28" t="s">
        <v>483</v>
      </c>
      <c r="G31" s="28" t="s">
        <v>473</v>
      </c>
      <c r="H31" s="26">
        <v>1</v>
      </c>
      <c r="I31" s="35">
        <v>1000</v>
      </c>
      <c r="J31" s="35">
        <v>0</v>
      </c>
      <c r="K31" s="35">
        <v>0</v>
      </c>
      <c r="L31" s="35">
        <v>1000</v>
      </c>
    </row>
    <row r="32" spans="2:12" x14ac:dyDescent="0.35">
      <c r="B32" s="31">
        <v>44930</v>
      </c>
      <c r="C32" s="40" t="str">
        <f t="shared" si="0"/>
        <v>Jan</v>
      </c>
      <c r="D32" s="27" t="s">
        <v>73</v>
      </c>
      <c r="E32" s="32">
        <v>12974</v>
      </c>
      <c r="F32" s="28" t="s">
        <v>482</v>
      </c>
      <c r="G32" s="28" t="s">
        <v>475</v>
      </c>
      <c r="H32" s="26">
        <v>1</v>
      </c>
      <c r="I32" s="35">
        <v>180</v>
      </c>
      <c r="J32" s="35">
        <v>0</v>
      </c>
      <c r="K32" s="35">
        <v>14.04</v>
      </c>
      <c r="L32" s="35">
        <v>194.04</v>
      </c>
    </row>
    <row r="33" spans="2:12" x14ac:dyDescent="0.35">
      <c r="B33" s="31">
        <v>44930</v>
      </c>
      <c r="C33" s="40" t="str">
        <f t="shared" si="0"/>
        <v>Jan</v>
      </c>
      <c r="D33" s="27" t="s">
        <v>74</v>
      </c>
      <c r="E33" s="32">
        <v>991</v>
      </c>
      <c r="F33" s="28" t="s">
        <v>484</v>
      </c>
      <c r="G33" s="28" t="s">
        <v>475</v>
      </c>
      <c r="H33" s="26">
        <v>1</v>
      </c>
      <c r="I33" s="35">
        <v>1750</v>
      </c>
      <c r="J33" s="35">
        <v>0</v>
      </c>
      <c r="K33" s="35">
        <v>122.5</v>
      </c>
      <c r="L33" s="35">
        <v>1872.5</v>
      </c>
    </row>
    <row r="34" spans="2:12" x14ac:dyDescent="0.35">
      <c r="B34" s="31">
        <v>44930</v>
      </c>
      <c r="C34" s="40" t="str">
        <f t="shared" si="0"/>
        <v>Jan</v>
      </c>
      <c r="D34" s="27" t="s">
        <v>75</v>
      </c>
      <c r="E34" s="32">
        <v>870</v>
      </c>
      <c r="F34" s="28" t="s">
        <v>484</v>
      </c>
      <c r="G34" s="28" t="s">
        <v>473</v>
      </c>
      <c r="H34" s="26">
        <v>1</v>
      </c>
      <c r="I34" s="35">
        <v>825</v>
      </c>
      <c r="J34" s="35">
        <v>0</v>
      </c>
      <c r="K34" s="35">
        <v>0</v>
      </c>
      <c r="L34" s="35">
        <v>825</v>
      </c>
    </row>
    <row r="35" spans="2:12" x14ac:dyDescent="0.35">
      <c r="B35" s="31">
        <v>44930</v>
      </c>
      <c r="C35" s="40" t="str">
        <f t="shared" si="0"/>
        <v>Jan</v>
      </c>
      <c r="D35" s="27" t="s">
        <v>75</v>
      </c>
      <c r="E35" s="32">
        <v>870</v>
      </c>
      <c r="F35" s="28" t="s">
        <v>484</v>
      </c>
      <c r="G35" s="28" t="s">
        <v>473</v>
      </c>
      <c r="H35" s="26">
        <v>1</v>
      </c>
      <c r="I35" s="35">
        <v>112</v>
      </c>
      <c r="J35" s="35">
        <v>0</v>
      </c>
      <c r="K35" s="35">
        <v>8.74</v>
      </c>
      <c r="L35" s="35">
        <v>120.74</v>
      </c>
    </row>
    <row r="36" spans="2:12" x14ac:dyDescent="0.35">
      <c r="B36" s="31">
        <v>44930</v>
      </c>
      <c r="C36" s="40" t="str">
        <f t="shared" si="0"/>
        <v>Jan</v>
      </c>
      <c r="D36" s="27" t="s">
        <v>76</v>
      </c>
      <c r="E36" s="32">
        <v>275</v>
      </c>
      <c r="F36" s="28" t="s">
        <v>480</v>
      </c>
      <c r="G36" s="28" t="s">
        <v>473</v>
      </c>
      <c r="H36" s="26">
        <v>24</v>
      </c>
      <c r="I36" s="35">
        <v>15</v>
      </c>
      <c r="J36" s="35">
        <v>0</v>
      </c>
      <c r="K36" s="35">
        <v>0</v>
      </c>
      <c r="L36" s="35">
        <v>360</v>
      </c>
    </row>
    <row r="37" spans="2:12" x14ac:dyDescent="0.35">
      <c r="B37" s="31">
        <v>44930</v>
      </c>
      <c r="C37" s="40" t="str">
        <f t="shared" si="0"/>
        <v>Jan</v>
      </c>
      <c r="D37" s="27" t="s">
        <v>77</v>
      </c>
      <c r="E37" s="32">
        <v>15449</v>
      </c>
      <c r="F37" s="28" t="s">
        <v>484</v>
      </c>
      <c r="G37" s="28" t="s">
        <v>475</v>
      </c>
      <c r="H37" s="26">
        <v>4</v>
      </c>
      <c r="I37" s="35">
        <v>750</v>
      </c>
      <c r="J37" s="35">
        <v>0</v>
      </c>
      <c r="K37" s="35">
        <v>0</v>
      </c>
      <c r="L37" s="35">
        <v>3000</v>
      </c>
    </row>
    <row r="38" spans="2:12" x14ac:dyDescent="0.35">
      <c r="B38" s="31">
        <v>44930</v>
      </c>
      <c r="C38" s="40" t="str">
        <f t="shared" si="0"/>
        <v>Jan</v>
      </c>
      <c r="D38" s="27" t="s">
        <v>78</v>
      </c>
      <c r="E38" s="32">
        <v>16571</v>
      </c>
      <c r="F38" s="28" t="s">
        <v>484</v>
      </c>
      <c r="G38" s="28" t="s">
        <v>474</v>
      </c>
      <c r="H38" s="26">
        <v>1</v>
      </c>
      <c r="I38" s="35">
        <v>94.99</v>
      </c>
      <c r="J38" s="35">
        <v>0</v>
      </c>
      <c r="K38" s="35">
        <v>7.41</v>
      </c>
      <c r="L38" s="35">
        <v>102.39999999999999</v>
      </c>
    </row>
    <row r="39" spans="2:12" x14ac:dyDescent="0.35">
      <c r="B39" s="31">
        <v>44930</v>
      </c>
      <c r="C39" s="40" t="str">
        <f t="shared" si="0"/>
        <v>Jan</v>
      </c>
      <c r="D39" s="27" t="s">
        <v>79</v>
      </c>
      <c r="E39" s="32">
        <v>16573</v>
      </c>
      <c r="F39" s="28" t="s">
        <v>484</v>
      </c>
      <c r="G39" s="28" t="s">
        <v>474</v>
      </c>
      <c r="H39" s="26">
        <v>1</v>
      </c>
      <c r="I39" s="35">
        <v>94.99</v>
      </c>
      <c r="J39" s="35">
        <v>0</v>
      </c>
      <c r="K39" s="35">
        <v>7.41</v>
      </c>
      <c r="L39" s="35">
        <v>102.39999999999999</v>
      </c>
    </row>
    <row r="40" spans="2:12" x14ac:dyDescent="0.35">
      <c r="B40" s="31">
        <v>44931</v>
      </c>
      <c r="C40" s="40" t="str">
        <f t="shared" si="0"/>
        <v>Jan</v>
      </c>
      <c r="D40" s="27" t="s">
        <v>80</v>
      </c>
      <c r="E40" s="32">
        <v>814</v>
      </c>
      <c r="F40" s="28" t="s">
        <v>481</v>
      </c>
      <c r="G40" s="28" t="s">
        <v>475</v>
      </c>
      <c r="H40" s="26">
        <v>1</v>
      </c>
      <c r="I40" s="35">
        <v>95</v>
      </c>
      <c r="J40" s="35">
        <v>0</v>
      </c>
      <c r="K40" s="35">
        <v>7.41</v>
      </c>
      <c r="L40" s="35">
        <v>102.41</v>
      </c>
    </row>
    <row r="41" spans="2:12" x14ac:dyDescent="0.35">
      <c r="B41" s="31">
        <v>44931</v>
      </c>
      <c r="C41" s="40" t="str">
        <f t="shared" si="0"/>
        <v>Jan</v>
      </c>
      <c r="D41" s="27" t="s">
        <v>81</v>
      </c>
      <c r="E41" s="32">
        <v>8505</v>
      </c>
      <c r="F41" s="28" t="s">
        <v>482</v>
      </c>
      <c r="G41" s="28" t="s">
        <v>475</v>
      </c>
      <c r="H41" s="26">
        <v>1</v>
      </c>
      <c r="I41" s="35">
        <v>180</v>
      </c>
      <c r="J41" s="35">
        <v>0</v>
      </c>
      <c r="K41" s="35">
        <v>14.04</v>
      </c>
      <c r="L41" s="35">
        <v>194.04</v>
      </c>
    </row>
    <row r="42" spans="2:12" x14ac:dyDescent="0.35">
      <c r="B42" s="31">
        <v>44931</v>
      </c>
      <c r="C42" s="40" t="str">
        <f t="shared" si="0"/>
        <v>Jan</v>
      </c>
      <c r="D42" s="27" t="s">
        <v>82</v>
      </c>
      <c r="E42" s="32">
        <v>16530</v>
      </c>
      <c r="F42" s="28" t="s">
        <v>482</v>
      </c>
      <c r="G42" s="28" t="s">
        <v>475</v>
      </c>
      <c r="H42" s="26">
        <v>1</v>
      </c>
      <c r="I42" s="35">
        <v>180</v>
      </c>
      <c r="J42" s="35">
        <v>45</v>
      </c>
      <c r="K42" s="35">
        <v>10.53</v>
      </c>
      <c r="L42" s="35">
        <v>145.53</v>
      </c>
    </row>
    <row r="43" spans="2:12" x14ac:dyDescent="0.35">
      <c r="B43" s="31">
        <v>44931</v>
      </c>
      <c r="C43" s="40" t="str">
        <f t="shared" si="0"/>
        <v>Jan</v>
      </c>
      <c r="D43" s="27" t="s">
        <v>82</v>
      </c>
      <c r="E43" s="32">
        <v>16530</v>
      </c>
      <c r="F43" s="28" t="s">
        <v>481</v>
      </c>
      <c r="G43" s="28" t="s">
        <v>475</v>
      </c>
      <c r="H43" s="26">
        <v>1</v>
      </c>
      <c r="I43" s="35">
        <v>150</v>
      </c>
      <c r="J43" s="35">
        <v>37.5</v>
      </c>
      <c r="K43" s="35">
        <v>8.7799999999999994</v>
      </c>
      <c r="L43" s="35">
        <v>121.28</v>
      </c>
    </row>
    <row r="44" spans="2:12" x14ac:dyDescent="0.35">
      <c r="B44" s="31">
        <v>44931</v>
      </c>
      <c r="C44" s="40" t="str">
        <f t="shared" si="0"/>
        <v>Jan</v>
      </c>
      <c r="D44" s="27" t="s">
        <v>82</v>
      </c>
      <c r="E44" s="32">
        <v>16530</v>
      </c>
      <c r="F44" s="28" t="s">
        <v>482</v>
      </c>
      <c r="G44" s="28" t="s">
        <v>475</v>
      </c>
      <c r="H44" s="26">
        <v>1</v>
      </c>
      <c r="I44" s="35">
        <v>145</v>
      </c>
      <c r="J44" s="35">
        <v>36.25</v>
      </c>
      <c r="K44" s="35">
        <v>8.48</v>
      </c>
      <c r="L44" s="35">
        <v>117.23</v>
      </c>
    </row>
    <row r="45" spans="2:12" x14ac:dyDescent="0.35">
      <c r="B45" s="31">
        <v>44931</v>
      </c>
      <c r="C45" s="40" t="str">
        <f t="shared" si="0"/>
        <v>Jan</v>
      </c>
      <c r="D45" s="27" t="s">
        <v>83</v>
      </c>
      <c r="E45" s="32">
        <v>16537</v>
      </c>
      <c r="F45" s="28" t="s">
        <v>482</v>
      </c>
      <c r="G45" s="28" t="s">
        <v>475</v>
      </c>
      <c r="H45" s="26">
        <v>1</v>
      </c>
      <c r="I45" s="35">
        <v>180</v>
      </c>
      <c r="J45" s="35">
        <v>0</v>
      </c>
      <c r="K45" s="35">
        <v>14.04</v>
      </c>
      <c r="L45" s="35">
        <v>194.04</v>
      </c>
    </row>
    <row r="46" spans="2:12" x14ac:dyDescent="0.35">
      <c r="B46" s="31">
        <v>44931</v>
      </c>
      <c r="C46" s="40" t="str">
        <f t="shared" si="0"/>
        <v>Jan</v>
      </c>
      <c r="D46" s="27" t="s">
        <v>84</v>
      </c>
      <c r="E46" s="32">
        <v>8577</v>
      </c>
      <c r="F46" s="28" t="s">
        <v>481</v>
      </c>
      <c r="G46" s="28" t="s">
        <v>474</v>
      </c>
      <c r="H46" s="26">
        <v>1</v>
      </c>
      <c r="I46" s="35">
        <v>150</v>
      </c>
      <c r="J46" s="35">
        <v>75</v>
      </c>
      <c r="K46" s="35">
        <v>5.85</v>
      </c>
      <c r="L46" s="35">
        <v>80.849999999999994</v>
      </c>
    </row>
    <row r="47" spans="2:12" x14ac:dyDescent="0.35">
      <c r="B47" s="31">
        <v>44931</v>
      </c>
      <c r="C47" s="40" t="str">
        <f t="shared" si="0"/>
        <v>Jan</v>
      </c>
      <c r="D47" s="27" t="s">
        <v>85</v>
      </c>
      <c r="E47" s="32">
        <v>151</v>
      </c>
      <c r="F47" s="28" t="s">
        <v>485</v>
      </c>
      <c r="G47" s="28" t="s">
        <v>473</v>
      </c>
      <c r="H47" s="26">
        <v>1</v>
      </c>
      <c r="I47" s="35">
        <v>45</v>
      </c>
      <c r="J47" s="35">
        <v>0</v>
      </c>
      <c r="K47" s="35">
        <v>3.51</v>
      </c>
      <c r="L47" s="35">
        <v>48.51</v>
      </c>
    </row>
    <row r="48" spans="2:12" x14ac:dyDescent="0.35">
      <c r="B48" s="31">
        <v>44931</v>
      </c>
      <c r="C48" s="40" t="str">
        <f t="shared" si="0"/>
        <v>Jan</v>
      </c>
      <c r="D48" s="27" t="s">
        <v>86</v>
      </c>
      <c r="E48" s="32">
        <v>920</v>
      </c>
      <c r="F48" s="28" t="s">
        <v>480</v>
      </c>
      <c r="G48" s="28" t="s">
        <v>474</v>
      </c>
      <c r="H48" s="26">
        <v>1</v>
      </c>
      <c r="I48" s="35">
        <v>0</v>
      </c>
      <c r="J48" s="35">
        <v>0</v>
      </c>
      <c r="K48" s="35">
        <v>0</v>
      </c>
      <c r="L48" s="35">
        <v>0</v>
      </c>
    </row>
    <row r="49" spans="2:12" x14ac:dyDescent="0.35">
      <c r="B49" s="31">
        <v>44935</v>
      </c>
      <c r="C49" s="40" t="str">
        <f t="shared" si="0"/>
        <v>Jan</v>
      </c>
      <c r="D49" s="27" t="s">
        <v>87</v>
      </c>
      <c r="E49" s="32">
        <v>559</v>
      </c>
      <c r="F49" s="28" t="s">
        <v>480</v>
      </c>
      <c r="G49" s="28" t="s">
        <v>474</v>
      </c>
      <c r="H49" s="26">
        <v>1</v>
      </c>
      <c r="I49" s="35">
        <v>75</v>
      </c>
      <c r="J49" s="35">
        <v>0</v>
      </c>
      <c r="K49" s="35">
        <v>0</v>
      </c>
      <c r="L49" s="35">
        <v>75</v>
      </c>
    </row>
    <row r="50" spans="2:12" x14ac:dyDescent="0.35">
      <c r="B50" s="31">
        <v>44936</v>
      </c>
      <c r="C50" s="40" t="str">
        <f t="shared" si="0"/>
        <v>Jan</v>
      </c>
      <c r="D50" s="27" t="s">
        <v>88</v>
      </c>
      <c r="E50" s="32">
        <v>15408</v>
      </c>
      <c r="F50" s="28" t="s">
        <v>480</v>
      </c>
      <c r="G50" s="28" t="s">
        <v>476</v>
      </c>
      <c r="H50" s="26">
        <v>34</v>
      </c>
      <c r="I50" s="35">
        <v>15</v>
      </c>
      <c r="J50" s="35">
        <v>0</v>
      </c>
      <c r="K50" s="35">
        <v>0</v>
      </c>
      <c r="L50" s="35">
        <v>510</v>
      </c>
    </row>
    <row r="51" spans="2:12" x14ac:dyDescent="0.35">
      <c r="B51" s="31">
        <v>44936</v>
      </c>
      <c r="C51" s="40" t="str">
        <f t="shared" si="0"/>
        <v>Jan</v>
      </c>
      <c r="D51" s="27" t="s">
        <v>89</v>
      </c>
      <c r="E51" s="32">
        <v>15409</v>
      </c>
      <c r="F51" s="28" t="s">
        <v>480</v>
      </c>
      <c r="G51" s="28" t="s">
        <v>476</v>
      </c>
      <c r="H51" s="26">
        <v>30</v>
      </c>
      <c r="I51" s="35">
        <v>15</v>
      </c>
      <c r="J51" s="35">
        <v>0</v>
      </c>
      <c r="K51" s="35">
        <v>0</v>
      </c>
      <c r="L51" s="35">
        <v>450</v>
      </c>
    </row>
    <row r="52" spans="2:12" x14ac:dyDescent="0.35">
      <c r="B52" s="31">
        <v>44936</v>
      </c>
      <c r="C52" s="40" t="str">
        <f t="shared" si="0"/>
        <v>Jan</v>
      </c>
      <c r="D52" s="27" t="s">
        <v>89</v>
      </c>
      <c r="E52" s="32">
        <v>15409</v>
      </c>
      <c r="F52" s="28" t="s">
        <v>485</v>
      </c>
      <c r="G52" s="28" t="s">
        <v>476</v>
      </c>
      <c r="H52" s="26">
        <v>22</v>
      </c>
      <c r="I52" s="35">
        <v>15</v>
      </c>
      <c r="J52" s="35">
        <v>0</v>
      </c>
      <c r="K52" s="35">
        <v>0</v>
      </c>
      <c r="L52" s="35">
        <v>330</v>
      </c>
    </row>
    <row r="53" spans="2:12" x14ac:dyDescent="0.35">
      <c r="B53" s="31">
        <v>44936</v>
      </c>
      <c r="C53" s="40" t="str">
        <f t="shared" si="0"/>
        <v>Jan</v>
      </c>
      <c r="D53" s="27" t="s">
        <v>90</v>
      </c>
      <c r="E53" s="32">
        <v>13041</v>
      </c>
      <c r="F53" s="28" t="s">
        <v>480</v>
      </c>
      <c r="G53" s="28" t="s">
        <v>476</v>
      </c>
      <c r="H53" s="26">
        <v>29</v>
      </c>
      <c r="I53" s="35">
        <v>15</v>
      </c>
      <c r="J53" s="35">
        <v>0</v>
      </c>
      <c r="K53" s="35">
        <v>0</v>
      </c>
      <c r="L53" s="35">
        <v>435</v>
      </c>
    </row>
    <row r="54" spans="2:12" x14ac:dyDescent="0.35">
      <c r="B54" s="31">
        <v>44937</v>
      </c>
      <c r="C54" s="40" t="str">
        <f t="shared" si="0"/>
        <v>Jan</v>
      </c>
      <c r="D54" s="27" t="s">
        <v>91</v>
      </c>
      <c r="E54" s="32">
        <v>901</v>
      </c>
      <c r="F54" s="28" t="s">
        <v>480</v>
      </c>
      <c r="G54" s="28" t="s">
        <v>473</v>
      </c>
      <c r="H54" s="26">
        <v>48</v>
      </c>
      <c r="I54" s="35">
        <v>15</v>
      </c>
      <c r="J54" s="35">
        <v>0</v>
      </c>
      <c r="K54" s="35">
        <v>0</v>
      </c>
      <c r="L54" s="35">
        <v>720</v>
      </c>
    </row>
    <row r="55" spans="2:12" x14ac:dyDescent="0.35">
      <c r="B55" s="31">
        <v>44937</v>
      </c>
      <c r="C55" s="40" t="str">
        <f t="shared" si="0"/>
        <v>Jan</v>
      </c>
      <c r="D55" s="27" t="s">
        <v>92</v>
      </c>
      <c r="E55" s="32">
        <v>775</v>
      </c>
      <c r="F55" s="28" t="s">
        <v>485</v>
      </c>
      <c r="G55" s="28" t="s">
        <v>473</v>
      </c>
      <c r="H55" s="26">
        <v>14</v>
      </c>
      <c r="I55" s="35">
        <v>0</v>
      </c>
      <c r="J55" s="35">
        <v>0</v>
      </c>
      <c r="K55" s="35">
        <v>0</v>
      </c>
      <c r="L55" s="35">
        <v>0</v>
      </c>
    </row>
    <row r="56" spans="2:12" x14ac:dyDescent="0.35">
      <c r="B56" s="31">
        <v>44937</v>
      </c>
      <c r="C56" s="40" t="str">
        <f t="shared" si="0"/>
        <v>Jan</v>
      </c>
      <c r="D56" s="27" t="s">
        <v>92</v>
      </c>
      <c r="E56" s="32">
        <v>775</v>
      </c>
      <c r="F56" s="28" t="s">
        <v>485</v>
      </c>
      <c r="G56" s="28" t="s">
        <v>473</v>
      </c>
      <c r="H56" s="26">
        <v>1</v>
      </c>
      <c r="I56" s="35">
        <v>0</v>
      </c>
      <c r="J56" s="35">
        <v>0</v>
      </c>
      <c r="K56" s="35">
        <v>0</v>
      </c>
      <c r="L56" s="35">
        <v>0</v>
      </c>
    </row>
    <row r="57" spans="2:12" x14ac:dyDescent="0.35">
      <c r="B57" s="31">
        <v>44937</v>
      </c>
      <c r="C57" s="40" t="str">
        <f t="shared" si="0"/>
        <v>Jan</v>
      </c>
      <c r="D57" s="27" t="s">
        <v>93</v>
      </c>
      <c r="E57" s="32">
        <v>13273</v>
      </c>
      <c r="F57" s="28" t="s">
        <v>482</v>
      </c>
      <c r="G57" s="28" t="s">
        <v>475</v>
      </c>
      <c r="H57" s="26">
        <v>1</v>
      </c>
      <c r="I57" s="35">
        <v>180</v>
      </c>
      <c r="J57" s="35">
        <v>0</v>
      </c>
      <c r="K57" s="35">
        <v>14.04</v>
      </c>
      <c r="L57" s="35">
        <v>194.04</v>
      </c>
    </row>
    <row r="58" spans="2:12" x14ac:dyDescent="0.35">
      <c r="B58" s="31">
        <v>44937</v>
      </c>
      <c r="C58" s="40" t="str">
        <f t="shared" si="0"/>
        <v>Jan</v>
      </c>
      <c r="D58" s="27" t="s">
        <v>94</v>
      </c>
      <c r="E58" s="32">
        <v>10854</v>
      </c>
      <c r="F58" s="28" t="s">
        <v>485</v>
      </c>
      <c r="G58" s="28" t="s">
        <v>473</v>
      </c>
      <c r="H58" s="26">
        <v>1</v>
      </c>
      <c r="I58" s="35">
        <v>168</v>
      </c>
      <c r="J58" s="35">
        <v>0</v>
      </c>
      <c r="K58" s="35">
        <v>13.1</v>
      </c>
      <c r="L58" s="35">
        <v>181.1</v>
      </c>
    </row>
    <row r="59" spans="2:12" x14ac:dyDescent="0.35">
      <c r="B59" s="31">
        <v>44937</v>
      </c>
      <c r="C59" s="40" t="str">
        <f t="shared" si="0"/>
        <v>Jan</v>
      </c>
      <c r="D59" s="27" t="s">
        <v>94</v>
      </c>
      <c r="E59" s="32">
        <v>10854</v>
      </c>
      <c r="F59" s="28" t="s">
        <v>483</v>
      </c>
      <c r="G59" s="28" t="s">
        <v>473</v>
      </c>
      <c r="H59" s="26">
        <v>1</v>
      </c>
      <c r="I59" s="35">
        <v>825</v>
      </c>
      <c r="J59" s="35">
        <v>0</v>
      </c>
      <c r="K59" s="35">
        <v>0</v>
      </c>
      <c r="L59" s="35">
        <v>825</v>
      </c>
    </row>
    <row r="60" spans="2:12" x14ac:dyDescent="0.35">
      <c r="B60" s="31">
        <v>44937</v>
      </c>
      <c r="C60" s="40" t="str">
        <f t="shared" si="0"/>
        <v>Jan</v>
      </c>
      <c r="D60" s="27" t="s">
        <v>95</v>
      </c>
      <c r="E60" s="32">
        <v>16614</v>
      </c>
      <c r="F60" s="28" t="s">
        <v>486</v>
      </c>
      <c r="G60" s="28" t="s">
        <v>474</v>
      </c>
      <c r="H60" s="26">
        <v>5</v>
      </c>
      <c r="I60" s="35">
        <v>14</v>
      </c>
      <c r="J60" s="35">
        <v>0</v>
      </c>
      <c r="K60" s="35">
        <v>5.46</v>
      </c>
      <c r="L60" s="35">
        <v>75.459999999999994</v>
      </c>
    </row>
    <row r="61" spans="2:12" x14ac:dyDescent="0.35">
      <c r="B61" s="31">
        <v>44937</v>
      </c>
      <c r="C61" s="40" t="str">
        <f t="shared" si="0"/>
        <v>Jan</v>
      </c>
      <c r="D61" s="27" t="s">
        <v>95</v>
      </c>
      <c r="E61" s="32">
        <v>16614</v>
      </c>
      <c r="F61" s="28" t="s">
        <v>486</v>
      </c>
      <c r="G61" s="28" t="s">
        <v>474</v>
      </c>
      <c r="H61" s="26">
        <v>3</v>
      </c>
      <c r="I61" s="35">
        <v>30</v>
      </c>
      <c r="J61" s="35">
        <v>0</v>
      </c>
      <c r="K61" s="35">
        <v>7.02</v>
      </c>
      <c r="L61" s="35">
        <v>97.02</v>
      </c>
    </row>
    <row r="62" spans="2:12" x14ac:dyDescent="0.35">
      <c r="B62" s="31">
        <v>44937</v>
      </c>
      <c r="C62" s="40" t="str">
        <f t="shared" si="0"/>
        <v>Jan</v>
      </c>
      <c r="D62" s="27" t="s">
        <v>95</v>
      </c>
      <c r="E62" s="32">
        <v>16614</v>
      </c>
      <c r="F62" s="28" t="s">
        <v>486</v>
      </c>
      <c r="G62" s="28" t="s">
        <v>474</v>
      </c>
      <c r="H62" s="26">
        <v>5</v>
      </c>
      <c r="I62" s="35">
        <v>30</v>
      </c>
      <c r="J62" s="35">
        <v>0</v>
      </c>
      <c r="K62" s="35">
        <v>11.7</v>
      </c>
      <c r="L62" s="35">
        <v>161.69999999999999</v>
      </c>
    </row>
    <row r="63" spans="2:12" x14ac:dyDescent="0.35">
      <c r="B63" s="31">
        <v>44938</v>
      </c>
      <c r="C63" s="40" t="str">
        <f t="shared" si="0"/>
        <v>Jan</v>
      </c>
      <c r="D63" s="27" t="s">
        <v>96</v>
      </c>
      <c r="E63" s="32">
        <v>13023</v>
      </c>
      <c r="F63" s="28" t="s">
        <v>486</v>
      </c>
      <c r="G63" s="28" t="s">
        <v>476</v>
      </c>
      <c r="H63" s="26">
        <v>1</v>
      </c>
      <c r="I63" s="35">
        <v>750</v>
      </c>
      <c r="J63" s="35">
        <v>80.357100000000003</v>
      </c>
      <c r="K63" s="35">
        <v>0</v>
      </c>
      <c r="L63" s="35">
        <v>669.64290000000005</v>
      </c>
    </row>
    <row r="64" spans="2:12" x14ac:dyDescent="0.35">
      <c r="B64" s="31">
        <v>44938</v>
      </c>
      <c r="C64" s="40" t="str">
        <f t="shared" si="0"/>
        <v>Jan</v>
      </c>
      <c r="D64" s="27" t="s">
        <v>96</v>
      </c>
      <c r="E64" s="32">
        <v>13023</v>
      </c>
      <c r="F64" s="28" t="s">
        <v>486</v>
      </c>
      <c r="G64" s="28" t="s">
        <v>476</v>
      </c>
      <c r="H64" s="26">
        <v>1</v>
      </c>
      <c r="I64" s="35">
        <v>650</v>
      </c>
      <c r="J64" s="35">
        <v>69.642899999999997</v>
      </c>
      <c r="K64" s="35">
        <v>0</v>
      </c>
      <c r="L64" s="35">
        <v>580.35709999999995</v>
      </c>
    </row>
    <row r="65" spans="2:12" x14ac:dyDescent="0.35">
      <c r="B65" s="31">
        <v>44938</v>
      </c>
      <c r="C65" s="40" t="str">
        <f t="shared" si="0"/>
        <v>Jan</v>
      </c>
      <c r="D65" s="27" t="s">
        <v>97</v>
      </c>
      <c r="E65" s="32">
        <v>13023</v>
      </c>
      <c r="F65" s="28" t="s">
        <v>487</v>
      </c>
      <c r="G65" s="28" t="s">
        <v>476</v>
      </c>
      <c r="H65" s="26">
        <v>1</v>
      </c>
      <c r="I65" s="35">
        <v>12.5</v>
      </c>
      <c r="J65" s="35">
        <v>0</v>
      </c>
      <c r="K65" s="35">
        <v>0.98</v>
      </c>
      <c r="L65" s="35">
        <v>13.48</v>
      </c>
    </row>
    <row r="66" spans="2:12" x14ac:dyDescent="0.35">
      <c r="B66" s="31">
        <v>44938</v>
      </c>
      <c r="C66" s="40" t="str">
        <f t="shared" si="0"/>
        <v>Jan</v>
      </c>
      <c r="D66" s="27" t="s">
        <v>98</v>
      </c>
      <c r="E66" s="32">
        <v>15417</v>
      </c>
      <c r="F66" s="28" t="s">
        <v>486</v>
      </c>
      <c r="G66" s="28" t="s">
        <v>474</v>
      </c>
      <c r="H66" s="26">
        <v>1</v>
      </c>
      <c r="I66" s="35">
        <v>30</v>
      </c>
      <c r="J66" s="35">
        <v>0</v>
      </c>
      <c r="K66" s="35">
        <v>2.34</v>
      </c>
      <c r="L66" s="35">
        <v>32.340000000000003</v>
      </c>
    </row>
    <row r="67" spans="2:12" x14ac:dyDescent="0.35">
      <c r="B67" s="31">
        <v>44939</v>
      </c>
      <c r="C67" s="40" t="str">
        <f t="shared" si="0"/>
        <v>Jan</v>
      </c>
      <c r="D67" s="27" t="s">
        <v>99</v>
      </c>
      <c r="E67" s="32">
        <v>13190</v>
      </c>
      <c r="F67" s="28" t="s">
        <v>480</v>
      </c>
      <c r="G67" s="28" t="s">
        <v>476</v>
      </c>
      <c r="H67" s="26">
        <v>26</v>
      </c>
      <c r="I67" s="35">
        <v>15</v>
      </c>
      <c r="J67" s="35">
        <v>0</v>
      </c>
      <c r="K67" s="35">
        <v>0</v>
      </c>
      <c r="L67" s="35">
        <v>390</v>
      </c>
    </row>
    <row r="68" spans="2:12" x14ac:dyDescent="0.35">
      <c r="B68" s="31">
        <v>44939</v>
      </c>
      <c r="C68" s="40" t="str">
        <f t="shared" si="0"/>
        <v>Jan</v>
      </c>
      <c r="D68" s="27" t="s">
        <v>100</v>
      </c>
      <c r="E68" s="32">
        <v>15478</v>
      </c>
      <c r="F68" s="28" t="s">
        <v>482</v>
      </c>
      <c r="G68" s="28" t="s">
        <v>476</v>
      </c>
      <c r="H68" s="26">
        <v>1</v>
      </c>
      <c r="I68" s="35">
        <v>180</v>
      </c>
      <c r="J68" s="35">
        <v>0</v>
      </c>
      <c r="K68" s="35">
        <v>14.04</v>
      </c>
      <c r="L68" s="35">
        <v>194.04</v>
      </c>
    </row>
    <row r="69" spans="2:12" x14ac:dyDescent="0.35">
      <c r="B69" s="31">
        <v>44939</v>
      </c>
      <c r="C69" s="40" t="str">
        <f t="shared" si="0"/>
        <v>Jan</v>
      </c>
      <c r="D69" s="27" t="s">
        <v>101</v>
      </c>
      <c r="E69" s="32">
        <v>12898</v>
      </c>
      <c r="F69" s="28" t="s">
        <v>480</v>
      </c>
      <c r="G69" s="28" t="s">
        <v>474</v>
      </c>
      <c r="H69" s="26">
        <v>1</v>
      </c>
      <c r="I69" s="35">
        <v>0</v>
      </c>
      <c r="J69" s="35">
        <v>0</v>
      </c>
      <c r="K69" s="35">
        <v>0</v>
      </c>
      <c r="L69" s="35">
        <v>0</v>
      </c>
    </row>
    <row r="70" spans="2:12" x14ac:dyDescent="0.35">
      <c r="B70" s="31">
        <v>44939</v>
      </c>
      <c r="C70" s="40" t="str">
        <f t="shared" ref="C70:C133" si="1">TEXT(B70,"MMM")</f>
        <v>Jan</v>
      </c>
      <c r="D70" s="27" t="s">
        <v>102</v>
      </c>
      <c r="E70" s="32">
        <v>16635</v>
      </c>
      <c r="F70" s="28" t="s">
        <v>487</v>
      </c>
      <c r="G70" s="28" t="s">
        <v>476</v>
      </c>
      <c r="H70" s="26">
        <v>1</v>
      </c>
      <c r="I70" s="35">
        <v>130</v>
      </c>
      <c r="J70" s="35">
        <v>0</v>
      </c>
      <c r="K70" s="35">
        <v>10.14</v>
      </c>
      <c r="L70" s="35">
        <v>140.13999999999999</v>
      </c>
    </row>
    <row r="71" spans="2:12" x14ac:dyDescent="0.35">
      <c r="B71" s="31">
        <v>44942</v>
      </c>
      <c r="C71" s="40" t="str">
        <f t="shared" si="1"/>
        <v>Jan</v>
      </c>
      <c r="D71" s="27" t="s">
        <v>103</v>
      </c>
      <c r="E71" s="32">
        <v>535</v>
      </c>
      <c r="F71" s="28" t="s">
        <v>483</v>
      </c>
      <c r="G71" s="28" t="s">
        <v>473</v>
      </c>
      <c r="H71" s="26">
        <v>64</v>
      </c>
      <c r="I71" s="35">
        <v>12</v>
      </c>
      <c r="J71" s="35">
        <v>0</v>
      </c>
      <c r="K71" s="35">
        <v>0</v>
      </c>
      <c r="L71" s="35">
        <v>768</v>
      </c>
    </row>
    <row r="72" spans="2:12" x14ac:dyDescent="0.35">
      <c r="B72" s="31">
        <v>44942</v>
      </c>
      <c r="C72" s="40" t="str">
        <f t="shared" si="1"/>
        <v>Jan</v>
      </c>
      <c r="D72" s="27" t="s">
        <v>104</v>
      </c>
      <c r="E72" s="32">
        <v>8538</v>
      </c>
      <c r="F72" s="28" t="s">
        <v>483</v>
      </c>
      <c r="G72" s="28" t="s">
        <v>473</v>
      </c>
      <c r="H72" s="26">
        <v>20</v>
      </c>
      <c r="I72" s="35">
        <v>12</v>
      </c>
      <c r="J72" s="35">
        <v>0</v>
      </c>
      <c r="K72" s="35">
        <v>0</v>
      </c>
      <c r="L72" s="35">
        <v>240</v>
      </c>
    </row>
    <row r="73" spans="2:12" x14ac:dyDescent="0.35">
      <c r="B73" s="31">
        <v>44942</v>
      </c>
      <c r="C73" s="40" t="str">
        <f t="shared" si="1"/>
        <v>Jan</v>
      </c>
      <c r="D73" s="27" t="s">
        <v>105</v>
      </c>
      <c r="E73" s="32">
        <v>532</v>
      </c>
      <c r="F73" s="28" t="s">
        <v>483</v>
      </c>
      <c r="G73" s="28" t="s">
        <v>473</v>
      </c>
      <c r="H73" s="26">
        <v>24</v>
      </c>
      <c r="I73" s="35">
        <v>12</v>
      </c>
      <c r="J73" s="35">
        <v>0</v>
      </c>
      <c r="K73" s="35">
        <v>0</v>
      </c>
      <c r="L73" s="35">
        <v>288</v>
      </c>
    </row>
    <row r="74" spans="2:12" x14ac:dyDescent="0.35">
      <c r="B74" s="31">
        <v>44942</v>
      </c>
      <c r="C74" s="40" t="str">
        <f t="shared" si="1"/>
        <v>Jan</v>
      </c>
      <c r="D74" s="27" t="s">
        <v>106</v>
      </c>
      <c r="E74" s="32">
        <v>283</v>
      </c>
      <c r="F74" s="28" t="s">
        <v>483</v>
      </c>
      <c r="G74" s="28" t="s">
        <v>476</v>
      </c>
      <c r="H74" s="26">
        <v>53</v>
      </c>
      <c r="I74" s="35">
        <v>12</v>
      </c>
      <c r="J74" s="35">
        <v>0</v>
      </c>
      <c r="K74" s="35">
        <v>0</v>
      </c>
      <c r="L74" s="35">
        <v>636</v>
      </c>
    </row>
    <row r="75" spans="2:12" x14ac:dyDescent="0.35">
      <c r="B75" s="31">
        <v>44942</v>
      </c>
      <c r="C75" s="40" t="str">
        <f t="shared" si="1"/>
        <v>Jan</v>
      </c>
      <c r="D75" s="27" t="s">
        <v>107</v>
      </c>
      <c r="E75" s="32">
        <v>11857</v>
      </c>
      <c r="F75" s="28" t="s">
        <v>487</v>
      </c>
      <c r="G75" s="28" t="s">
        <v>476</v>
      </c>
      <c r="H75" s="26">
        <v>20</v>
      </c>
      <c r="I75" s="35">
        <v>12</v>
      </c>
      <c r="J75" s="35">
        <v>0</v>
      </c>
      <c r="K75" s="35">
        <v>0</v>
      </c>
      <c r="L75" s="35">
        <v>240</v>
      </c>
    </row>
    <row r="76" spans="2:12" x14ac:dyDescent="0.35">
      <c r="B76" s="31">
        <v>44942</v>
      </c>
      <c r="C76" s="40" t="str">
        <f t="shared" si="1"/>
        <v>Jan</v>
      </c>
      <c r="D76" s="27" t="s">
        <v>107</v>
      </c>
      <c r="E76" s="32">
        <v>11857</v>
      </c>
      <c r="F76" s="28" t="s">
        <v>485</v>
      </c>
      <c r="G76" s="28" t="s">
        <v>476</v>
      </c>
      <c r="H76" s="26">
        <v>1</v>
      </c>
      <c r="I76" s="35">
        <v>168</v>
      </c>
      <c r="J76" s="35">
        <v>25.2</v>
      </c>
      <c r="K76" s="35">
        <v>11.14</v>
      </c>
      <c r="L76" s="35">
        <v>153.94</v>
      </c>
    </row>
    <row r="77" spans="2:12" x14ac:dyDescent="0.35">
      <c r="B77" s="31">
        <v>44942</v>
      </c>
      <c r="C77" s="40" t="str">
        <f t="shared" si="1"/>
        <v>Jan</v>
      </c>
      <c r="D77" s="27" t="s">
        <v>107</v>
      </c>
      <c r="E77" s="32">
        <v>11857</v>
      </c>
      <c r="F77" s="28" t="s">
        <v>483</v>
      </c>
      <c r="G77" s="28" t="s">
        <v>476</v>
      </c>
      <c r="H77" s="26">
        <v>1</v>
      </c>
      <c r="I77" s="35">
        <v>51</v>
      </c>
      <c r="J77" s="35">
        <v>7.65</v>
      </c>
      <c r="K77" s="35">
        <v>3.38</v>
      </c>
      <c r="L77" s="35">
        <v>46.730000000000004</v>
      </c>
    </row>
    <row r="78" spans="2:12" x14ac:dyDescent="0.35">
      <c r="B78" s="31">
        <v>44942</v>
      </c>
      <c r="C78" s="40" t="str">
        <f t="shared" si="1"/>
        <v>Jan</v>
      </c>
      <c r="D78" s="27" t="s">
        <v>107</v>
      </c>
      <c r="E78" s="32">
        <v>11857</v>
      </c>
      <c r="F78" s="28" t="s">
        <v>481</v>
      </c>
      <c r="G78" s="28" t="s">
        <v>476</v>
      </c>
      <c r="H78" s="26">
        <v>1</v>
      </c>
      <c r="I78" s="35">
        <v>148</v>
      </c>
      <c r="J78" s="35">
        <v>22.2</v>
      </c>
      <c r="K78" s="35">
        <v>9.81</v>
      </c>
      <c r="L78" s="35">
        <v>135.60999999999999</v>
      </c>
    </row>
    <row r="79" spans="2:12" x14ac:dyDescent="0.35">
      <c r="B79" s="31">
        <v>44942</v>
      </c>
      <c r="C79" s="40" t="str">
        <f t="shared" si="1"/>
        <v>Jan</v>
      </c>
      <c r="D79" s="27" t="s">
        <v>108</v>
      </c>
      <c r="E79" s="32">
        <v>544</v>
      </c>
      <c r="F79" s="28" t="s">
        <v>483</v>
      </c>
      <c r="G79" s="28" t="s">
        <v>473</v>
      </c>
      <c r="H79" s="26">
        <v>36</v>
      </c>
      <c r="I79" s="35">
        <v>12</v>
      </c>
      <c r="J79" s="35">
        <v>0</v>
      </c>
      <c r="K79" s="35">
        <v>0</v>
      </c>
      <c r="L79" s="35">
        <v>432</v>
      </c>
    </row>
    <row r="80" spans="2:12" x14ac:dyDescent="0.35">
      <c r="B80" s="31">
        <v>44942</v>
      </c>
      <c r="C80" s="40" t="str">
        <f t="shared" si="1"/>
        <v>Jan</v>
      </c>
      <c r="D80" s="27" t="s">
        <v>109</v>
      </c>
      <c r="E80" s="32">
        <v>13123</v>
      </c>
      <c r="F80" s="28" t="s">
        <v>487</v>
      </c>
      <c r="G80" s="28" t="s">
        <v>476</v>
      </c>
      <c r="H80" s="26">
        <v>28</v>
      </c>
      <c r="I80" s="35">
        <v>12</v>
      </c>
      <c r="J80" s="35">
        <v>0</v>
      </c>
      <c r="K80" s="35">
        <v>0</v>
      </c>
      <c r="L80" s="35">
        <v>336</v>
      </c>
    </row>
    <row r="81" spans="2:12" x14ac:dyDescent="0.35">
      <c r="B81" s="31">
        <v>44942</v>
      </c>
      <c r="C81" s="40" t="str">
        <f t="shared" si="1"/>
        <v>Jan</v>
      </c>
      <c r="D81" s="27" t="s">
        <v>110</v>
      </c>
      <c r="E81" s="32">
        <v>104</v>
      </c>
      <c r="F81" s="28" t="s">
        <v>483</v>
      </c>
      <c r="G81" s="28" t="s">
        <v>473</v>
      </c>
      <c r="H81" s="26">
        <v>36</v>
      </c>
      <c r="I81" s="35">
        <v>12</v>
      </c>
      <c r="J81" s="35">
        <v>0</v>
      </c>
      <c r="K81" s="35">
        <v>0</v>
      </c>
      <c r="L81" s="35">
        <v>432</v>
      </c>
    </row>
    <row r="82" spans="2:12" x14ac:dyDescent="0.35">
      <c r="B82" s="31">
        <v>44942</v>
      </c>
      <c r="C82" s="40" t="str">
        <f t="shared" si="1"/>
        <v>Jan</v>
      </c>
      <c r="D82" s="27" t="s">
        <v>111</v>
      </c>
      <c r="E82" s="32">
        <v>4245</v>
      </c>
      <c r="F82" s="28" t="s">
        <v>483</v>
      </c>
      <c r="G82" s="28" t="s">
        <v>473</v>
      </c>
      <c r="H82" s="26">
        <v>36</v>
      </c>
      <c r="I82" s="35">
        <v>12</v>
      </c>
      <c r="J82" s="35">
        <v>0</v>
      </c>
      <c r="K82" s="35">
        <v>0</v>
      </c>
      <c r="L82" s="35">
        <v>432</v>
      </c>
    </row>
    <row r="83" spans="2:12" x14ac:dyDescent="0.35">
      <c r="B83" s="31">
        <v>44942</v>
      </c>
      <c r="C83" s="40" t="str">
        <f t="shared" si="1"/>
        <v>Jan</v>
      </c>
      <c r="D83" s="27" t="s">
        <v>112</v>
      </c>
      <c r="E83" s="32">
        <v>14370</v>
      </c>
      <c r="F83" s="28" t="s">
        <v>483</v>
      </c>
      <c r="G83" s="28" t="s">
        <v>476</v>
      </c>
      <c r="H83" s="26">
        <v>50</v>
      </c>
      <c r="I83" s="35">
        <v>12</v>
      </c>
      <c r="J83" s="35">
        <v>0</v>
      </c>
      <c r="K83" s="35">
        <v>0</v>
      </c>
      <c r="L83" s="35">
        <v>600</v>
      </c>
    </row>
    <row r="84" spans="2:12" x14ac:dyDescent="0.35">
      <c r="B84" s="31">
        <v>44942</v>
      </c>
      <c r="C84" s="40" t="str">
        <f t="shared" si="1"/>
        <v>Jan</v>
      </c>
      <c r="D84" s="27" t="s">
        <v>113</v>
      </c>
      <c r="E84" s="32">
        <v>7441</v>
      </c>
      <c r="F84" s="28" t="s">
        <v>483</v>
      </c>
      <c r="G84" s="28" t="s">
        <v>473</v>
      </c>
      <c r="H84" s="26">
        <v>24</v>
      </c>
      <c r="I84" s="35">
        <v>12</v>
      </c>
      <c r="J84" s="35">
        <v>0</v>
      </c>
      <c r="K84" s="35">
        <v>0</v>
      </c>
      <c r="L84" s="35">
        <v>288</v>
      </c>
    </row>
    <row r="85" spans="2:12" x14ac:dyDescent="0.35">
      <c r="B85" s="31">
        <v>44942</v>
      </c>
      <c r="C85" s="40" t="str">
        <f t="shared" si="1"/>
        <v>Jan</v>
      </c>
      <c r="D85" s="27" t="s">
        <v>114</v>
      </c>
      <c r="E85" s="32">
        <v>58</v>
      </c>
      <c r="F85" s="28" t="s">
        <v>483</v>
      </c>
      <c r="G85" s="28" t="s">
        <v>473</v>
      </c>
      <c r="H85" s="26">
        <v>24</v>
      </c>
      <c r="I85" s="35">
        <v>12</v>
      </c>
      <c r="J85" s="35">
        <v>0</v>
      </c>
      <c r="K85" s="35">
        <v>0</v>
      </c>
      <c r="L85" s="35">
        <v>288</v>
      </c>
    </row>
    <row r="86" spans="2:12" x14ac:dyDescent="0.35">
      <c r="B86" s="31">
        <v>44942</v>
      </c>
      <c r="C86" s="40" t="str">
        <f t="shared" si="1"/>
        <v>Jan</v>
      </c>
      <c r="D86" s="27" t="s">
        <v>115</v>
      </c>
      <c r="E86" s="32">
        <v>523</v>
      </c>
      <c r="F86" s="28" t="s">
        <v>483</v>
      </c>
      <c r="G86" s="28" t="s">
        <v>473</v>
      </c>
      <c r="H86" s="26">
        <v>24</v>
      </c>
      <c r="I86" s="35">
        <v>12</v>
      </c>
      <c r="J86" s="35">
        <v>0</v>
      </c>
      <c r="K86" s="35">
        <v>0</v>
      </c>
      <c r="L86" s="35">
        <v>288</v>
      </c>
    </row>
    <row r="87" spans="2:12" x14ac:dyDescent="0.35">
      <c r="B87" s="31">
        <v>44942</v>
      </c>
      <c r="C87" s="40" t="str">
        <f t="shared" si="1"/>
        <v>Jan</v>
      </c>
      <c r="D87" s="27" t="s">
        <v>116</v>
      </c>
      <c r="E87" s="32">
        <v>15453</v>
      </c>
      <c r="F87" s="28" t="s">
        <v>483</v>
      </c>
      <c r="G87" s="28" t="s">
        <v>476</v>
      </c>
      <c r="H87" s="26">
        <v>48</v>
      </c>
      <c r="I87" s="35">
        <v>12</v>
      </c>
      <c r="J87" s="35">
        <v>0</v>
      </c>
      <c r="K87" s="35">
        <v>0</v>
      </c>
      <c r="L87" s="35">
        <v>576</v>
      </c>
    </row>
    <row r="88" spans="2:12" x14ac:dyDescent="0.35">
      <c r="B88" s="31">
        <v>44942</v>
      </c>
      <c r="C88" s="40" t="str">
        <f t="shared" si="1"/>
        <v>Jan</v>
      </c>
      <c r="D88" s="27" t="s">
        <v>117</v>
      </c>
      <c r="E88" s="32">
        <v>876</v>
      </c>
      <c r="F88" s="28" t="s">
        <v>487</v>
      </c>
      <c r="G88" s="28" t="s">
        <v>476</v>
      </c>
      <c r="H88" s="26">
        <v>28</v>
      </c>
      <c r="I88" s="35">
        <v>12</v>
      </c>
      <c r="J88" s="35">
        <v>0</v>
      </c>
      <c r="K88" s="35">
        <v>0</v>
      </c>
      <c r="L88" s="35">
        <v>336</v>
      </c>
    </row>
    <row r="89" spans="2:12" x14ac:dyDescent="0.35">
      <c r="B89" s="31">
        <v>44942</v>
      </c>
      <c r="C89" s="40" t="str">
        <f t="shared" si="1"/>
        <v>Jan</v>
      </c>
      <c r="D89" s="27" t="s">
        <v>118</v>
      </c>
      <c r="E89" s="32">
        <v>166</v>
      </c>
      <c r="F89" s="28" t="s">
        <v>487</v>
      </c>
      <c r="G89" s="28" t="s">
        <v>473</v>
      </c>
      <c r="H89" s="26">
        <v>48</v>
      </c>
      <c r="I89" s="35">
        <v>12</v>
      </c>
      <c r="J89" s="35">
        <v>0</v>
      </c>
      <c r="K89" s="35">
        <v>0</v>
      </c>
      <c r="L89" s="35">
        <v>576</v>
      </c>
    </row>
    <row r="90" spans="2:12" x14ac:dyDescent="0.35">
      <c r="B90" s="31">
        <v>44942</v>
      </c>
      <c r="C90" s="40" t="str">
        <f t="shared" si="1"/>
        <v>Jan</v>
      </c>
      <c r="D90" s="27" t="s">
        <v>119</v>
      </c>
      <c r="E90" s="32">
        <v>862</v>
      </c>
      <c r="F90" s="28" t="s">
        <v>483</v>
      </c>
      <c r="G90" s="28" t="s">
        <v>473</v>
      </c>
      <c r="H90" s="26">
        <v>62</v>
      </c>
      <c r="I90" s="35">
        <v>12</v>
      </c>
      <c r="J90" s="35">
        <v>0</v>
      </c>
      <c r="K90" s="35">
        <v>0</v>
      </c>
      <c r="L90" s="35">
        <v>744</v>
      </c>
    </row>
    <row r="91" spans="2:12" x14ac:dyDescent="0.35">
      <c r="B91" s="31">
        <v>44942</v>
      </c>
      <c r="C91" s="40" t="str">
        <f t="shared" si="1"/>
        <v>Jan</v>
      </c>
      <c r="D91" s="27" t="s">
        <v>120</v>
      </c>
      <c r="E91" s="32">
        <v>486</v>
      </c>
      <c r="F91" s="28" t="s">
        <v>483</v>
      </c>
      <c r="G91" s="28" t="s">
        <v>473</v>
      </c>
      <c r="H91" s="26">
        <v>26</v>
      </c>
      <c r="I91" s="35">
        <v>12</v>
      </c>
      <c r="J91" s="35">
        <v>0</v>
      </c>
      <c r="K91" s="35">
        <v>0</v>
      </c>
      <c r="L91" s="35">
        <v>312</v>
      </c>
    </row>
    <row r="92" spans="2:12" x14ac:dyDescent="0.35">
      <c r="B92" s="31">
        <v>44942</v>
      </c>
      <c r="C92" s="40" t="str">
        <f t="shared" si="1"/>
        <v>Jan</v>
      </c>
      <c r="D92" s="27" t="s">
        <v>121</v>
      </c>
      <c r="E92" s="32">
        <v>4252</v>
      </c>
      <c r="F92" s="28" t="s">
        <v>483</v>
      </c>
      <c r="G92" s="28" t="s">
        <v>473</v>
      </c>
      <c r="H92" s="26">
        <v>36</v>
      </c>
      <c r="I92" s="35">
        <v>12</v>
      </c>
      <c r="J92" s="35">
        <v>0</v>
      </c>
      <c r="K92" s="35">
        <v>0</v>
      </c>
      <c r="L92" s="35">
        <v>432</v>
      </c>
    </row>
    <row r="93" spans="2:12" x14ac:dyDescent="0.35">
      <c r="B93" s="31">
        <v>44942</v>
      </c>
      <c r="C93" s="40" t="str">
        <f t="shared" si="1"/>
        <v>Jan</v>
      </c>
      <c r="D93" s="27" t="s">
        <v>122</v>
      </c>
      <c r="E93" s="32">
        <v>4148</v>
      </c>
      <c r="F93" s="28" t="s">
        <v>483</v>
      </c>
      <c r="G93" s="28" t="s">
        <v>473</v>
      </c>
      <c r="H93" s="26">
        <v>20</v>
      </c>
      <c r="I93" s="35">
        <v>12</v>
      </c>
      <c r="J93" s="35">
        <v>0</v>
      </c>
      <c r="K93" s="35">
        <v>0</v>
      </c>
      <c r="L93" s="35">
        <v>240</v>
      </c>
    </row>
    <row r="94" spans="2:12" x14ac:dyDescent="0.35">
      <c r="B94" s="31">
        <v>44942</v>
      </c>
      <c r="C94" s="40" t="str">
        <f t="shared" si="1"/>
        <v>Jan</v>
      </c>
      <c r="D94" s="27" t="s">
        <v>123</v>
      </c>
      <c r="E94" s="32">
        <v>7441</v>
      </c>
      <c r="F94" s="28" t="s">
        <v>487</v>
      </c>
      <c r="G94" s="28" t="s">
        <v>473</v>
      </c>
      <c r="H94" s="26">
        <v>1</v>
      </c>
      <c r="I94" s="35">
        <v>1</v>
      </c>
      <c r="J94" s="35">
        <v>0</v>
      </c>
      <c r="K94" s="35">
        <v>0</v>
      </c>
      <c r="L94" s="35">
        <v>1</v>
      </c>
    </row>
    <row r="95" spans="2:12" x14ac:dyDescent="0.35">
      <c r="B95" s="31">
        <v>44943</v>
      </c>
      <c r="C95" s="40" t="str">
        <f t="shared" si="1"/>
        <v>Jan</v>
      </c>
      <c r="D95" s="27" t="s">
        <v>124</v>
      </c>
      <c r="E95" s="32">
        <v>8656</v>
      </c>
      <c r="F95" s="28" t="s">
        <v>487</v>
      </c>
      <c r="G95" s="28" t="s">
        <v>476</v>
      </c>
      <c r="H95" s="26">
        <v>1</v>
      </c>
      <c r="I95" s="35">
        <v>50</v>
      </c>
      <c r="J95" s="35">
        <v>0</v>
      </c>
      <c r="K95" s="35">
        <v>3.9</v>
      </c>
      <c r="L95" s="35">
        <v>53.9</v>
      </c>
    </row>
    <row r="96" spans="2:12" x14ac:dyDescent="0.35">
      <c r="B96" s="31">
        <v>44943</v>
      </c>
      <c r="C96" s="40" t="str">
        <f t="shared" si="1"/>
        <v>Jan</v>
      </c>
      <c r="D96" s="27" t="s">
        <v>125</v>
      </c>
      <c r="E96" s="32">
        <v>9736</v>
      </c>
      <c r="F96" s="28" t="s">
        <v>480</v>
      </c>
      <c r="G96" s="28" t="s">
        <v>474</v>
      </c>
      <c r="H96" s="26">
        <v>1</v>
      </c>
      <c r="I96" s="35">
        <v>0</v>
      </c>
      <c r="J96" s="35">
        <v>0</v>
      </c>
      <c r="K96" s="35">
        <v>0</v>
      </c>
      <c r="L96" s="35">
        <v>0</v>
      </c>
    </row>
    <row r="97" spans="2:12" x14ac:dyDescent="0.35">
      <c r="B97" s="31">
        <v>44943</v>
      </c>
      <c r="C97" s="40" t="str">
        <f t="shared" si="1"/>
        <v>Jan</v>
      </c>
      <c r="D97" s="27" t="s">
        <v>126</v>
      </c>
      <c r="E97" s="32">
        <v>4270</v>
      </c>
      <c r="F97" s="28" t="s">
        <v>480</v>
      </c>
      <c r="G97" s="28" t="s">
        <v>474</v>
      </c>
      <c r="H97" s="26">
        <v>1</v>
      </c>
      <c r="I97" s="35">
        <v>0</v>
      </c>
      <c r="J97" s="35">
        <v>0</v>
      </c>
      <c r="K97" s="35">
        <v>0</v>
      </c>
      <c r="L97" s="35">
        <v>0</v>
      </c>
    </row>
    <row r="98" spans="2:12" x14ac:dyDescent="0.35">
      <c r="B98" s="31">
        <v>44943</v>
      </c>
      <c r="C98" s="40" t="str">
        <f t="shared" si="1"/>
        <v>Jan</v>
      </c>
      <c r="D98" s="27" t="s">
        <v>127</v>
      </c>
      <c r="E98" s="32">
        <v>745</v>
      </c>
      <c r="F98" s="28" t="s">
        <v>485</v>
      </c>
      <c r="G98" s="28" t="s">
        <v>474</v>
      </c>
      <c r="H98" s="26">
        <v>2</v>
      </c>
      <c r="I98" s="35">
        <v>168</v>
      </c>
      <c r="J98" s="35">
        <v>168.00210000000001</v>
      </c>
      <c r="K98" s="35">
        <v>13.1</v>
      </c>
      <c r="L98" s="35">
        <v>181.09789999999998</v>
      </c>
    </row>
    <row r="99" spans="2:12" x14ac:dyDescent="0.35">
      <c r="B99" s="31">
        <v>44943</v>
      </c>
      <c r="C99" s="40" t="str">
        <f t="shared" si="1"/>
        <v>Jan</v>
      </c>
      <c r="D99" s="27" t="s">
        <v>127</v>
      </c>
      <c r="E99" s="32">
        <v>745</v>
      </c>
      <c r="F99" s="28" t="s">
        <v>482</v>
      </c>
      <c r="G99" s="28" t="s">
        <v>474</v>
      </c>
      <c r="H99" s="26">
        <v>1</v>
      </c>
      <c r="I99" s="35">
        <v>180</v>
      </c>
      <c r="J99" s="35">
        <v>90</v>
      </c>
      <c r="K99" s="35">
        <v>7.02</v>
      </c>
      <c r="L99" s="35">
        <v>97.02</v>
      </c>
    </row>
    <row r="100" spans="2:12" x14ac:dyDescent="0.35">
      <c r="B100" s="31">
        <v>44943</v>
      </c>
      <c r="C100" s="40" t="str">
        <f t="shared" si="1"/>
        <v>Jan</v>
      </c>
      <c r="D100" s="27" t="s">
        <v>127</v>
      </c>
      <c r="E100" s="32">
        <v>745</v>
      </c>
      <c r="F100" s="28" t="s">
        <v>481</v>
      </c>
      <c r="G100" s="28" t="s">
        <v>474</v>
      </c>
      <c r="H100" s="26">
        <v>3</v>
      </c>
      <c r="I100" s="35">
        <v>148</v>
      </c>
      <c r="J100" s="35">
        <v>222.00280000000001</v>
      </c>
      <c r="K100" s="35">
        <v>17.32</v>
      </c>
      <c r="L100" s="35">
        <v>239.31719999999999</v>
      </c>
    </row>
    <row r="101" spans="2:12" x14ac:dyDescent="0.35">
      <c r="B101" s="31">
        <v>44943</v>
      </c>
      <c r="C101" s="40" t="str">
        <f t="shared" si="1"/>
        <v>Jan</v>
      </c>
      <c r="D101" s="27" t="s">
        <v>127</v>
      </c>
      <c r="E101" s="32">
        <v>745</v>
      </c>
      <c r="F101" s="28" t="s">
        <v>488</v>
      </c>
      <c r="G101" s="28" t="s">
        <v>474</v>
      </c>
      <c r="H101" s="26">
        <v>1</v>
      </c>
      <c r="I101" s="35">
        <v>9.99</v>
      </c>
      <c r="J101" s="35">
        <v>4.9950999999999999</v>
      </c>
      <c r="K101" s="35">
        <v>0.39</v>
      </c>
      <c r="L101" s="35">
        <v>5.3849</v>
      </c>
    </row>
    <row r="102" spans="2:12" x14ac:dyDescent="0.35">
      <c r="B102" s="31">
        <v>44943</v>
      </c>
      <c r="C102" s="40" t="str">
        <f t="shared" si="1"/>
        <v>Jan</v>
      </c>
      <c r="D102" s="27" t="s">
        <v>128</v>
      </c>
      <c r="E102" s="32">
        <v>16661</v>
      </c>
      <c r="F102" s="28" t="s">
        <v>488</v>
      </c>
      <c r="G102" s="28" t="s">
        <v>474</v>
      </c>
      <c r="H102" s="26">
        <v>1</v>
      </c>
      <c r="I102" s="35">
        <v>85</v>
      </c>
      <c r="J102" s="35">
        <v>17</v>
      </c>
      <c r="K102" s="35">
        <v>5.3</v>
      </c>
      <c r="L102" s="35">
        <v>73.3</v>
      </c>
    </row>
    <row r="103" spans="2:12" x14ac:dyDescent="0.35">
      <c r="B103" s="31">
        <v>44943</v>
      </c>
      <c r="C103" s="40" t="str">
        <f t="shared" si="1"/>
        <v>Jan</v>
      </c>
      <c r="D103" s="27" t="s">
        <v>128</v>
      </c>
      <c r="E103" s="32">
        <v>16661</v>
      </c>
      <c r="F103" s="28" t="s">
        <v>488</v>
      </c>
      <c r="G103" s="28" t="s">
        <v>474</v>
      </c>
      <c r="H103" s="26">
        <v>1</v>
      </c>
      <c r="I103" s="35">
        <v>199</v>
      </c>
      <c r="J103" s="35">
        <v>39.799999999999997</v>
      </c>
      <c r="K103" s="35">
        <v>12.42</v>
      </c>
      <c r="L103" s="35">
        <v>171.61999999999998</v>
      </c>
    </row>
    <row r="104" spans="2:12" x14ac:dyDescent="0.35">
      <c r="B104" s="31">
        <v>44943</v>
      </c>
      <c r="C104" s="40" t="str">
        <f t="shared" si="1"/>
        <v>Jan</v>
      </c>
      <c r="D104" s="27" t="s">
        <v>129</v>
      </c>
      <c r="E104" s="32">
        <v>4109</v>
      </c>
      <c r="F104" s="28" t="s">
        <v>481</v>
      </c>
      <c r="G104" s="28" t="s">
        <v>474</v>
      </c>
      <c r="H104" s="26">
        <v>1</v>
      </c>
      <c r="I104" s="35">
        <v>150</v>
      </c>
      <c r="J104" s="35">
        <v>30</v>
      </c>
      <c r="K104" s="35">
        <v>9.36</v>
      </c>
      <c r="L104" s="35">
        <v>129.36000000000001</v>
      </c>
    </row>
    <row r="105" spans="2:12" x14ac:dyDescent="0.35">
      <c r="B105" s="31">
        <v>44943</v>
      </c>
      <c r="C105" s="40" t="str">
        <f t="shared" si="1"/>
        <v>Jan</v>
      </c>
      <c r="D105" s="27" t="s">
        <v>129</v>
      </c>
      <c r="E105" s="32">
        <v>4109</v>
      </c>
      <c r="F105" s="28" t="s">
        <v>488</v>
      </c>
      <c r="G105" s="28" t="s">
        <v>474</v>
      </c>
      <c r="H105" s="26">
        <v>1</v>
      </c>
      <c r="I105" s="35">
        <v>199</v>
      </c>
      <c r="J105" s="35">
        <v>39.799999999999997</v>
      </c>
      <c r="K105" s="35">
        <v>12.42</v>
      </c>
      <c r="L105" s="35">
        <v>171.61999999999998</v>
      </c>
    </row>
    <row r="106" spans="2:12" x14ac:dyDescent="0.35">
      <c r="B106" s="31">
        <v>44943</v>
      </c>
      <c r="C106" s="40" t="str">
        <f t="shared" si="1"/>
        <v>Jan</v>
      </c>
      <c r="D106" s="27" t="s">
        <v>129</v>
      </c>
      <c r="E106" s="32">
        <v>4109</v>
      </c>
      <c r="F106" s="28" t="s">
        <v>481</v>
      </c>
      <c r="G106" s="28" t="s">
        <v>474</v>
      </c>
      <c r="H106" s="26">
        <v>1</v>
      </c>
      <c r="I106" s="35">
        <v>148</v>
      </c>
      <c r="J106" s="35">
        <v>29.6</v>
      </c>
      <c r="K106" s="35">
        <v>9.24</v>
      </c>
      <c r="L106" s="35">
        <v>127.64</v>
      </c>
    </row>
    <row r="107" spans="2:12" x14ac:dyDescent="0.35">
      <c r="B107" s="31">
        <v>44943</v>
      </c>
      <c r="C107" s="40" t="str">
        <f t="shared" si="1"/>
        <v>Jan</v>
      </c>
      <c r="D107" s="27" t="s">
        <v>129</v>
      </c>
      <c r="E107" s="32">
        <v>4109</v>
      </c>
      <c r="F107" s="28" t="s">
        <v>488</v>
      </c>
      <c r="G107" s="28" t="s">
        <v>474</v>
      </c>
      <c r="H107" s="26">
        <v>1</v>
      </c>
      <c r="I107" s="35">
        <v>67</v>
      </c>
      <c r="J107" s="35">
        <v>13.4</v>
      </c>
      <c r="K107" s="35">
        <v>4.18</v>
      </c>
      <c r="L107" s="35">
        <v>57.78</v>
      </c>
    </row>
    <row r="108" spans="2:12" x14ac:dyDescent="0.35">
      <c r="B108" s="31">
        <v>44943</v>
      </c>
      <c r="C108" s="40" t="str">
        <f t="shared" si="1"/>
        <v>Jan</v>
      </c>
      <c r="D108" s="27" t="s">
        <v>130</v>
      </c>
      <c r="E108" s="32">
        <v>16662</v>
      </c>
      <c r="F108" s="28" t="s">
        <v>488</v>
      </c>
      <c r="G108" s="28" t="s">
        <v>474</v>
      </c>
      <c r="H108" s="26">
        <v>2</v>
      </c>
      <c r="I108" s="35">
        <v>19.989999999999998</v>
      </c>
      <c r="J108" s="35">
        <v>8</v>
      </c>
      <c r="K108" s="35">
        <v>2.4900000000000002</v>
      </c>
      <c r="L108" s="35">
        <v>34.47</v>
      </c>
    </row>
    <row r="109" spans="2:12" x14ac:dyDescent="0.35">
      <c r="B109" s="31">
        <v>44943</v>
      </c>
      <c r="C109" s="40" t="str">
        <f t="shared" si="1"/>
        <v>Jan</v>
      </c>
      <c r="D109" s="27" t="s">
        <v>131</v>
      </c>
      <c r="E109" s="32">
        <v>16665</v>
      </c>
      <c r="F109" s="28" t="s">
        <v>488</v>
      </c>
      <c r="G109" s="28" t="s">
        <v>474</v>
      </c>
      <c r="H109" s="26">
        <v>1</v>
      </c>
      <c r="I109" s="35">
        <v>19.989999999999998</v>
      </c>
      <c r="J109" s="35">
        <v>3.9983</v>
      </c>
      <c r="K109" s="35">
        <v>1.25</v>
      </c>
      <c r="L109" s="35">
        <v>17.241699999999998</v>
      </c>
    </row>
    <row r="110" spans="2:12" x14ac:dyDescent="0.35">
      <c r="B110" s="31">
        <v>44943</v>
      </c>
      <c r="C110" s="40" t="str">
        <f t="shared" si="1"/>
        <v>Jan</v>
      </c>
      <c r="D110" s="27" t="s">
        <v>131</v>
      </c>
      <c r="E110" s="32">
        <v>16665</v>
      </c>
      <c r="F110" s="28" t="s">
        <v>489</v>
      </c>
      <c r="G110" s="28" t="s">
        <v>474</v>
      </c>
      <c r="H110" s="26">
        <v>1</v>
      </c>
      <c r="I110" s="35">
        <v>90</v>
      </c>
      <c r="J110" s="35">
        <v>18.001300000000001</v>
      </c>
      <c r="K110" s="35">
        <v>5.62</v>
      </c>
      <c r="L110" s="35">
        <v>77.618700000000004</v>
      </c>
    </row>
    <row r="111" spans="2:12" x14ac:dyDescent="0.35">
      <c r="B111" s="31">
        <v>44943</v>
      </c>
      <c r="C111" s="40" t="str">
        <f t="shared" si="1"/>
        <v>Jan</v>
      </c>
      <c r="D111" s="27" t="s">
        <v>131</v>
      </c>
      <c r="E111" s="32">
        <v>16665</v>
      </c>
      <c r="F111" s="28" t="s">
        <v>486</v>
      </c>
      <c r="G111" s="28" t="s">
        <v>474</v>
      </c>
      <c r="H111" s="26">
        <v>1</v>
      </c>
      <c r="I111" s="35">
        <v>30</v>
      </c>
      <c r="J111" s="35">
        <v>6.0004</v>
      </c>
      <c r="K111" s="35">
        <v>1.87</v>
      </c>
      <c r="L111" s="35">
        <v>25.869600000000002</v>
      </c>
    </row>
    <row r="112" spans="2:12" x14ac:dyDescent="0.35">
      <c r="B112" s="31">
        <v>44944</v>
      </c>
      <c r="C112" s="40" t="str">
        <f t="shared" si="1"/>
        <v>Jan</v>
      </c>
      <c r="D112" s="27" t="s">
        <v>132</v>
      </c>
      <c r="E112" s="32">
        <v>501</v>
      </c>
      <c r="F112" s="28" t="s">
        <v>487</v>
      </c>
      <c r="G112" s="28" t="s">
        <v>473</v>
      </c>
      <c r="H112" s="26">
        <v>1</v>
      </c>
      <c r="I112" s="35">
        <v>12.5</v>
      </c>
      <c r="J112" s="35">
        <v>0</v>
      </c>
      <c r="K112" s="35">
        <v>0.98</v>
      </c>
      <c r="L112" s="35">
        <v>13.48</v>
      </c>
    </row>
    <row r="113" spans="2:12" x14ac:dyDescent="0.35">
      <c r="B113" s="31">
        <v>44944</v>
      </c>
      <c r="C113" s="40" t="str">
        <f t="shared" si="1"/>
        <v>Jan</v>
      </c>
      <c r="D113" s="27" t="s">
        <v>133</v>
      </c>
      <c r="E113" s="32">
        <v>27</v>
      </c>
      <c r="F113" s="28" t="s">
        <v>480</v>
      </c>
      <c r="G113" s="28" t="s">
        <v>473</v>
      </c>
      <c r="H113" s="26">
        <v>52</v>
      </c>
      <c r="I113" s="35">
        <v>15</v>
      </c>
      <c r="J113" s="35">
        <v>0</v>
      </c>
      <c r="K113" s="35">
        <v>0</v>
      </c>
      <c r="L113" s="35">
        <v>780</v>
      </c>
    </row>
    <row r="114" spans="2:12" x14ac:dyDescent="0.35">
      <c r="B114" s="31">
        <v>44944</v>
      </c>
      <c r="C114" s="40" t="str">
        <f t="shared" si="1"/>
        <v>Jan</v>
      </c>
      <c r="D114" s="27" t="s">
        <v>134</v>
      </c>
      <c r="E114" s="32">
        <v>213</v>
      </c>
      <c r="F114" s="28" t="s">
        <v>480</v>
      </c>
      <c r="G114" s="28" t="s">
        <v>473</v>
      </c>
      <c r="H114" s="26">
        <v>36</v>
      </c>
      <c r="I114" s="35">
        <v>15</v>
      </c>
      <c r="J114" s="35">
        <v>0</v>
      </c>
      <c r="K114" s="35">
        <v>0</v>
      </c>
      <c r="L114" s="35">
        <v>540</v>
      </c>
    </row>
    <row r="115" spans="2:12" x14ac:dyDescent="0.35">
      <c r="B115" s="31">
        <v>44944</v>
      </c>
      <c r="C115" s="40" t="str">
        <f t="shared" si="1"/>
        <v>Jan</v>
      </c>
      <c r="D115" s="27" t="s">
        <v>135</v>
      </c>
      <c r="E115" s="32">
        <v>604</v>
      </c>
      <c r="F115" s="28" t="s">
        <v>489</v>
      </c>
      <c r="G115" s="28" t="s">
        <v>473</v>
      </c>
      <c r="H115" s="26">
        <v>1</v>
      </c>
      <c r="I115" s="35">
        <v>425</v>
      </c>
      <c r="J115" s="35">
        <v>35.624499999999998</v>
      </c>
      <c r="K115" s="35">
        <v>0</v>
      </c>
      <c r="L115" s="35">
        <v>389.37549999999999</v>
      </c>
    </row>
    <row r="116" spans="2:12" x14ac:dyDescent="0.35">
      <c r="B116" s="31">
        <v>44944</v>
      </c>
      <c r="C116" s="40" t="str">
        <f t="shared" si="1"/>
        <v>Jan</v>
      </c>
      <c r="D116" s="27" t="s">
        <v>135</v>
      </c>
      <c r="E116" s="32">
        <v>604</v>
      </c>
      <c r="F116" s="28" t="s">
        <v>483</v>
      </c>
      <c r="G116" s="28" t="s">
        <v>473</v>
      </c>
      <c r="H116" s="26">
        <v>64</v>
      </c>
      <c r="I116" s="35">
        <v>12</v>
      </c>
      <c r="J116" s="35">
        <v>64.375500000000002</v>
      </c>
      <c r="K116" s="35">
        <v>0</v>
      </c>
      <c r="L116" s="35">
        <v>703.62450000000001</v>
      </c>
    </row>
    <row r="117" spans="2:12" x14ac:dyDescent="0.35">
      <c r="B117" s="31">
        <v>44944</v>
      </c>
      <c r="C117" s="40" t="str">
        <f t="shared" si="1"/>
        <v>Jan</v>
      </c>
      <c r="D117" s="27" t="s">
        <v>135</v>
      </c>
      <c r="E117" s="32">
        <v>604</v>
      </c>
      <c r="F117" s="28" t="s">
        <v>487</v>
      </c>
      <c r="G117" s="28" t="s">
        <v>473</v>
      </c>
      <c r="H117" s="26">
        <v>1</v>
      </c>
      <c r="I117" s="35">
        <v>12.5</v>
      </c>
      <c r="J117" s="35">
        <v>0</v>
      </c>
      <c r="K117" s="35">
        <v>0.98</v>
      </c>
      <c r="L117" s="35">
        <v>13.48</v>
      </c>
    </row>
    <row r="118" spans="2:12" x14ac:dyDescent="0.35">
      <c r="B118" s="31">
        <v>44944</v>
      </c>
      <c r="C118" s="40" t="str">
        <f t="shared" si="1"/>
        <v>Jan</v>
      </c>
      <c r="D118" s="27" t="s">
        <v>136</v>
      </c>
      <c r="E118" s="32">
        <v>889</v>
      </c>
      <c r="F118" s="28" t="s">
        <v>487</v>
      </c>
      <c r="G118" s="28" t="s">
        <v>473</v>
      </c>
      <c r="H118" s="26">
        <v>1</v>
      </c>
      <c r="I118" s="35">
        <v>12.5</v>
      </c>
      <c r="J118" s="35">
        <v>0</v>
      </c>
      <c r="K118" s="35">
        <v>0.98</v>
      </c>
      <c r="L118" s="35">
        <v>13.48</v>
      </c>
    </row>
    <row r="119" spans="2:12" x14ac:dyDescent="0.35">
      <c r="B119" s="31">
        <v>44944</v>
      </c>
      <c r="C119" s="40" t="str">
        <f t="shared" si="1"/>
        <v>Jan</v>
      </c>
      <c r="D119" s="27" t="s">
        <v>136</v>
      </c>
      <c r="E119" s="32">
        <v>889</v>
      </c>
      <c r="F119" s="28" t="s">
        <v>480</v>
      </c>
      <c r="G119" s="28" t="s">
        <v>473</v>
      </c>
      <c r="H119" s="26">
        <v>52</v>
      </c>
      <c r="I119" s="35">
        <v>15</v>
      </c>
      <c r="J119" s="35">
        <v>0</v>
      </c>
      <c r="K119" s="35">
        <v>0</v>
      </c>
      <c r="L119" s="35">
        <v>780</v>
      </c>
    </row>
    <row r="120" spans="2:12" x14ac:dyDescent="0.35">
      <c r="B120" s="31">
        <v>44944</v>
      </c>
      <c r="C120" s="40" t="str">
        <f t="shared" si="1"/>
        <v>Jan</v>
      </c>
      <c r="D120" s="27" t="s">
        <v>137</v>
      </c>
      <c r="E120" s="32">
        <v>604</v>
      </c>
      <c r="F120" s="28" t="s">
        <v>489</v>
      </c>
      <c r="G120" s="28" t="s">
        <v>473</v>
      </c>
      <c r="H120" s="26">
        <v>1</v>
      </c>
      <c r="I120" s="35">
        <v>425</v>
      </c>
      <c r="J120" s="35">
        <v>0</v>
      </c>
      <c r="K120" s="35">
        <v>0</v>
      </c>
      <c r="L120" s="35">
        <v>425</v>
      </c>
    </row>
    <row r="121" spans="2:12" x14ac:dyDescent="0.35">
      <c r="B121" s="31">
        <v>44944</v>
      </c>
      <c r="C121" s="40" t="str">
        <f t="shared" si="1"/>
        <v>Jan</v>
      </c>
      <c r="D121" s="27" t="s">
        <v>138</v>
      </c>
      <c r="E121" s="32">
        <v>559</v>
      </c>
      <c r="F121" s="28" t="s">
        <v>480</v>
      </c>
      <c r="G121" s="28" t="s">
        <v>474</v>
      </c>
      <c r="H121" s="26">
        <v>1</v>
      </c>
      <c r="I121" s="35">
        <v>75</v>
      </c>
      <c r="J121" s="35">
        <v>0</v>
      </c>
      <c r="K121" s="35">
        <v>0</v>
      </c>
      <c r="L121" s="35">
        <v>75</v>
      </c>
    </row>
    <row r="122" spans="2:12" x14ac:dyDescent="0.35">
      <c r="B122" s="31">
        <v>44945</v>
      </c>
      <c r="C122" s="40" t="str">
        <f t="shared" si="1"/>
        <v>Jan</v>
      </c>
      <c r="D122" s="27" t="s">
        <v>139</v>
      </c>
      <c r="E122" s="32">
        <v>8587</v>
      </c>
      <c r="F122" s="28" t="s">
        <v>489</v>
      </c>
      <c r="G122" s="28" t="s">
        <v>476</v>
      </c>
      <c r="H122" s="26">
        <v>1</v>
      </c>
      <c r="I122" s="35">
        <v>100</v>
      </c>
      <c r="J122" s="35">
        <v>0</v>
      </c>
      <c r="K122" s="35">
        <v>7.8</v>
      </c>
      <c r="L122" s="35">
        <v>107.8</v>
      </c>
    </row>
    <row r="123" spans="2:12" x14ac:dyDescent="0.35">
      <c r="B123" s="31">
        <v>44945</v>
      </c>
      <c r="C123" s="40" t="str">
        <f t="shared" si="1"/>
        <v>Jan</v>
      </c>
      <c r="D123" s="27" t="s">
        <v>139</v>
      </c>
      <c r="E123" s="32">
        <v>8587</v>
      </c>
      <c r="F123" s="28" t="s">
        <v>482</v>
      </c>
      <c r="G123" s="28" t="s">
        <v>476</v>
      </c>
      <c r="H123" s="26">
        <v>1</v>
      </c>
      <c r="I123" s="35">
        <v>180</v>
      </c>
      <c r="J123" s="35">
        <v>0</v>
      </c>
      <c r="K123" s="35">
        <v>14.04</v>
      </c>
      <c r="L123" s="35">
        <v>194.04</v>
      </c>
    </row>
    <row r="124" spans="2:12" x14ac:dyDescent="0.35">
      <c r="B124" s="31">
        <v>44945</v>
      </c>
      <c r="C124" s="40" t="str">
        <f t="shared" si="1"/>
        <v>Jan</v>
      </c>
      <c r="D124" s="27" t="s">
        <v>140</v>
      </c>
      <c r="E124" s="32">
        <v>845</v>
      </c>
      <c r="F124" s="28" t="s">
        <v>489</v>
      </c>
      <c r="G124" s="28" t="s">
        <v>475</v>
      </c>
      <c r="H124" s="26">
        <v>1</v>
      </c>
      <c r="I124" s="35">
        <v>90</v>
      </c>
      <c r="J124" s="35">
        <v>0</v>
      </c>
      <c r="K124" s="35">
        <v>7.02</v>
      </c>
      <c r="L124" s="35">
        <v>97.02</v>
      </c>
    </row>
    <row r="125" spans="2:12" x14ac:dyDescent="0.35">
      <c r="B125" s="31">
        <v>44945</v>
      </c>
      <c r="C125" s="40" t="str">
        <f t="shared" si="1"/>
        <v>Jan</v>
      </c>
      <c r="D125" s="27" t="s">
        <v>140</v>
      </c>
      <c r="E125" s="32">
        <v>845</v>
      </c>
      <c r="F125" s="28" t="s">
        <v>489</v>
      </c>
      <c r="G125" s="28" t="s">
        <v>475</v>
      </c>
      <c r="H125" s="26">
        <v>1</v>
      </c>
      <c r="I125" s="35">
        <v>130</v>
      </c>
      <c r="J125" s="35">
        <v>0</v>
      </c>
      <c r="K125" s="35">
        <v>10.14</v>
      </c>
      <c r="L125" s="35">
        <v>140.13999999999999</v>
      </c>
    </row>
    <row r="126" spans="2:12" x14ac:dyDescent="0.35">
      <c r="B126" s="31">
        <v>44945</v>
      </c>
      <c r="C126" s="40" t="str">
        <f t="shared" si="1"/>
        <v>Jan</v>
      </c>
      <c r="D126" s="27" t="s">
        <v>140</v>
      </c>
      <c r="E126" s="32">
        <v>845</v>
      </c>
      <c r="F126" s="28" t="s">
        <v>490</v>
      </c>
      <c r="G126" s="28" t="s">
        <v>475</v>
      </c>
      <c r="H126" s="26">
        <v>1</v>
      </c>
      <c r="I126" s="35">
        <v>50</v>
      </c>
      <c r="J126" s="35">
        <v>0</v>
      </c>
      <c r="K126" s="35">
        <v>3.5</v>
      </c>
      <c r="L126" s="35">
        <v>53.5</v>
      </c>
    </row>
    <row r="127" spans="2:12" x14ac:dyDescent="0.35">
      <c r="B127" s="31">
        <v>44945</v>
      </c>
      <c r="C127" s="40" t="str">
        <f t="shared" si="1"/>
        <v>Jan</v>
      </c>
      <c r="D127" s="27" t="s">
        <v>141</v>
      </c>
      <c r="E127" s="32">
        <v>5321</v>
      </c>
      <c r="F127" s="28" t="s">
        <v>490</v>
      </c>
      <c r="G127" s="28" t="s">
        <v>476</v>
      </c>
      <c r="H127" s="26">
        <v>1</v>
      </c>
      <c r="I127" s="35">
        <v>100</v>
      </c>
      <c r="J127" s="35">
        <v>0</v>
      </c>
      <c r="K127" s="35">
        <v>0</v>
      </c>
      <c r="L127" s="35">
        <v>100</v>
      </c>
    </row>
    <row r="128" spans="2:12" x14ac:dyDescent="0.35">
      <c r="B128" s="31">
        <v>44945</v>
      </c>
      <c r="C128" s="40" t="str">
        <f t="shared" si="1"/>
        <v>Jan</v>
      </c>
      <c r="D128" s="27" t="s">
        <v>142</v>
      </c>
      <c r="E128" s="32">
        <v>13258</v>
      </c>
      <c r="F128" s="28" t="s">
        <v>490</v>
      </c>
      <c r="G128" s="28" t="s">
        <v>476</v>
      </c>
      <c r="H128" s="26">
        <v>1</v>
      </c>
      <c r="I128" s="35">
        <v>100</v>
      </c>
      <c r="J128" s="35">
        <v>0</v>
      </c>
      <c r="K128" s="35">
        <v>0</v>
      </c>
      <c r="L128" s="35">
        <v>100</v>
      </c>
    </row>
    <row r="129" spans="2:12" x14ac:dyDescent="0.35">
      <c r="B129" s="31">
        <v>44949</v>
      </c>
      <c r="C129" s="40" t="str">
        <f t="shared" si="1"/>
        <v>Jan</v>
      </c>
      <c r="D129" s="27" t="s">
        <v>143</v>
      </c>
      <c r="E129" s="32">
        <v>13089</v>
      </c>
      <c r="F129" s="28" t="s">
        <v>485</v>
      </c>
      <c r="G129" s="28" t="s">
        <v>473</v>
      </c>
      <c r="H129" s="26">
        <v>36</v>
      </c>
      <c r="I129" s="35">
        <v>0</v>
      </c>
      <c r="J129" s="35">
        <v>0</v>
      </c>
      <c r="K129" s="35">
        <v>0</v>
      </c>
      <c r="L129" s="35">
        <v>0</v>
      </c>
    </row>
    <row r="130" spans="2:12" x14ac:dyDescent="0.35">
      <c r="B130" s="31">
        <v>44949</v>
      </c>
      <c r="C130" s="40" t="str">
        <f t="shared" si="1"/>
        <v>Jan</v>
      </c>
      <c r="D130" s="27" t="s">
        <v>144</v>
      </c>
      <c r="E130" s="32">
        <v>850</v>
      </c>
      <c r="F130" s="28" t="s">
        <v>487</v>
      </c>
      <c r="G130" s="28" t="s">
        <v>473</v>
      </c>
      <c r="H130" s="26">
        <v>1</v>
      </c>
      <c r="I130" s="35">
        <v>275</v>
      </c>
      <c r="J130" s="35">
        <v>0</v>
      </c>
      <c r="K130" s="35">
        <v>21.45</v>
      </c>
      <c r="L130" s="35">
        <v>296.45</v>
      </c>
    </row>
    <row r="131" spans="2:12" x14ac:dyDescent="0.35">
      <c r="B131" s="31">
        <v>44949</v>
      </c>
      <c r="C131" s="40" t="str">
        <f t="shared" si="1"/>
        <v>Jan</v>
      </c>
      <c r="D131" s="27" t="s">
        <v>145</v>
      </c>
      <c r="E131" s="32">
        <v>515</v>
      </c>
      <c r="F131" s="28" t="s">
        <v>490</v>
      </c>
      <c r="G131" s="28" t="s">
        <v>475</v>
      </c>
      <c r="H131" s="26">
        <v>1</v>
      </c>
      <c r="I131" s="35">
        <v>0</v>
      </c>
      <c r="J131" s="35">
        <v>0</v>
      </c>
      <c r="K131" s="35">
        <v>0</v>
      </c>
      <c r="L131" s="35">
        <v>0</v>
      </c>
    </row>
    <row r="132" spans="2:12" x14ac:dyDescent="0.35">
      <c r="B132" s="31">
        <v>44949</v>
      </c>
      <c r="C132" s="40" t="str">
        <f t="shared" si="1"/>
        <v>Jan</v>
      </c>
      <c r="D132" s="27" t="s">
        <v>146</v>
      </c>
      <c r="E132" s="32">
        <v>13273</v>
      </c>
      <c r="F132" s="28" t="s">
        <v>490</v>
      </c>
      <c r="G132" s="28" t="s">
        <v>475</v>
      </c>
      <c r="H132" s="26">
        <v>1</v>
      </c>
      <c r="I132" s="35">
        <v>35</v>
      </c>
      <c r="J132" s="35">
        <v>0</v>
      </c>
      <c r="K132" s="35">
        <v>2.4500000000000002</v>
      </c>
      <c r="L132" s="35">
        <v>37.450000000000003</v>
      </c>
    </row>
    <row r="133" spans="2:12" x14ac:dyDescent="0.35">
      <c r="B133" s="31">
        <v>44949</v>
      </c>
      <c r="C133" s="40" t="str">
        <f t="shared" si="1"/>
        <v>Jan</v>
      </c>
      <c r="D133" s="27" t="s">
        <v>147</v>
      </c>
      <c r="E133" s="32">
        <v>16638</v>
      </c>
      <c r="F133" s="28" t="s">
        <v>480</v>
      </c>
      <c r="G133" s="28" t="s">
        <v>473</v>
      </c>
      <c r="H133" s="26">
        <v>48</v>
      </c>
      <c r="I133" s="35">
        <v>15</v>
      </c>
      <c r="J133" s="35">
        <v>0</v>
      </c>
      <c r="K133" s="35">
        <v>0</v>
      </c>
      <c r="L133" s="35">
        <v>720</v>
      </c>
    </row>
    <row r="134" spans="2:12" x14ac:dyDescent="0.35">
      <c r="B134" s="31">
        <v>44949</v>
      </c>
      <c r="C134" s="40" t="str">
        <f t="shared" ref="C134:C197" si="2">TEXT(B134,"MMM")</f>
        <v>Jan</v>
      </c>
      <c r="D134" s="27" t="s">
        <v>148</v>
      </c>
      <c r="E134" s="32">
        <v>275</v>
      </c>
      <c r="F134" s="28" t="s">
        <v>480</v>
      </c>
      <c r="G134" s="28" t="s">
        <v>473</v>
      </c>
      <c r="H134" s="26">
        <v>6</v>
      </c>
      <c r="I134" s="35">
        <v>15</v>
      </c>
      <c r="J134" s="35">
        <v>0</v>
      </c>
      <c r="K134" s="35">
        <v>0</v>
      </c>
      <c r="L134" s="35">
        <v>90</v>
      </c>
    </row>
    <row r="135" spans="2:12" x14ac:dyDescent="0.35">
      <c r="B135" s="31">
        <v>44949</v>
      </c>
      <c r="C135" s="40" t="str">
        <f t="shared" si="2"/>
        <v>Jan</v>
      </c>
      <c r="D135" s="27" t="s">
        <v>149</v>
      </c>
      <c r="E135" s="32">
        <v>1007</v>
      </c>
      <c r="F135" s="28" t="s">
        <v>480</v>
      </c>
      <c r="G135" s="28" t="s">
        <v>473</v>
      </c>
      <c r="H135" s="26">
        <v>52</v>
      </c>
      <c r="I135" s="35">
        <v>15</v>
      </c>
      <c r="J135" s="35">
        <v>0</v>
      </c>
      <c r="K135" s="35">
        <v>0</v>
      </c>
      <c r="L135" s="35">
        <v>780</v>
      </c>
    </row>
    <row r="136" spans="2:12" x14ac:dyDescent="0.35">
      <c r="B136" s="31">
        <v>44949</v>
      </c>
      <c r="C136" s="40" t="str">
        <f t="shared" si="2"/>
        <v>Jan</v>
      </c>
      <c r="D136" s="27" t="s">
        <v>150</v>
      </c>
      <c r="E136" s="32">
        <v>4270</v>
      </c>
      <c r="F136" s="28" t="s">
        <v>490</v>
      </c>
      <c r="G136" s="28" t="s">
        <v>475</v>
      </c>
      <c r="H136" s="26">
        <v>1</v>
      </c>
      <c r="I136" s="35">
        <v>35</v>
      </c>
      <c r="J136" s="35">
        <v>0</v>
      </c>
      <c r="K136" s="35">
        <v>2.4500000000000002</v>
      </c>
      <c r="L136" s="35">
        <v>37.450000000000003</v>
      </c>
    </row>
    <row r="137" spans="2:12" x14ac:dyDescent="0.35">
      <c r="B137" s="31">
        <v>44949</v>
      </c>
      <c r="C137" s="40" t="str">
        <f t="shared" si="2"/>
        <v>Jan</v>
      </c>
      <c r="D137" s="27" t="s">
        <v>150</v>
      </c>
      <c r="E137" s="32">
        <v>4270</v>
      </c>
      <c r="F137" s="28" t="s">
        <v>482</v>
      </c>
      <c r="G137" s="28" t="s">
        <v>475</v>
      </c>
      <c r="H137" s="26">
        <v>1</v>
      </c>
      <c r="I137" s="35">
        <v>0</v>
      </c>
      <c r="J137" s="35">
        <v>0</v>
      </c>
      <c r="K137" s="35">
        <v>0</v>
      </c>
      <c r="L137" s="35">
        <v>0</v>
      </c>
    </row>
    <row r="138" spans="2:12" x14ac:dyDescent="0.35">
      <c r="B138" s="31">
        <v>44949</v>
      </c>
      <c r="C138" s="40" t="str">
        <f t="shared" si="2"/>
        <v>Jan</v>
      </c>
      <c r="D138" s="27" t="s">
        <v>151</v>
      </c>
      <c r="E138" s="32">
        <v>4158</v>
      </c>
      <c r="F138" s="28" t="s">
        <v>480</v>
      </c>
      <c r="G138" s="28" t="s">
        <v>474</v>
      </c>
      <c r="H138" s="26">
        <v>1</v>
      </c>
      <c r="I138" s="35">
        <v>0</v>
      </c>
      <c r="J138" s="35">
        <v>0</v>
      </c>
      <c r="K138" s="35">
        <v>0</v>
      </c>
      <c r="L138" s="35">
        <v>0</v>
      </c>
    </row>
    <row r="139" spans="2:12" x14ac:dyDescent="0.35">
      <c r="B139" s="31">
        <v>44949</v>
      </c>
      <c r="C139" s="40" t="str">
        <f t="shared" si="2"/>
        <v>Jan</v>
      </c>
      <c r="D139" s="27" t="s">
        <v>152</v>
      </c>
      <c r="E139" s="32">
        <v>16640</v>
      </c>
      <c r="F139" s="28" t="s">
        <v>480</v>
      </c>
      <c r="G139" s="28" t="s">
        <v>473</v>
      </c>
      <c r="H139" s="26">
        <v>48</v>
      </c>
      <c r="I139" s="35">
        <v>15</v>
      </c>
      <c r="J139" s="35">
        <v>0</v>
      </c>
      <c r="K139" s="35">
        <v>0</v>
      </c>
      <c r="L139" s="35">
        <v>720</v>
      </c>
    </row>
    <row r="140" spans="2:12" x14ac:dyDescent="0.35">
      <c r="B140" s="31">
        <v>44950</v>
      </c>
      <c r="C140" s="40" t="str">
        <f t="shared" si="2"/>
        <v>Jan</v>
      </c>
      <c r="D140" s="27" t="s">
        <v>153</v>
      </c>
      <c r="E140" s="32">
        <v>9734</v>
      </c>
      <c r="F140" s="28" t="s">
        <v>491</v>
      </c>
      <c r="G140" s="28" t="s">
        <v>476</v>
      </c>
      <c r="H140" s="26">
        <v>1</v>
      </c>
      <c r="I140" s="35">
        <v>175</v>
      </c>
      <c r="J140" s="35">
        <v>0</v>
      </c>
      <c r="K140" s="35">
        <v>0</v>
      </c>
      <c r="L140" s="35">
        <v>175</v>
      </c>
    </row>
    <row r="141" spans="2:12" x14ac:dyDescent="0.35">
      <c r="B141" s="31">
        <v>44950</v>
      </c>
      <c r="C141" s="40" t="str">
        <f t="shared" si="2"/>
        <v>Jan</v>
      </c>
      <c r="D141" s="27" t="s">
        <v>153</v>
      </c>
      <c r="E141" s="32">
        <v>9734</v>
      </c>
      <c r="F141" s="28" t="s">
        <v>480</v>
      </c>
      <c r="G141" s="28" t="s">
        <v>476</v>
      </c>
      <c r="H141" s="26">
        <v>16</v>
      </c>
      <c r="I141" s="35">
        <v>15</v>
      </c>
      <c r="J141" s="35">
        <v>0</v>
      </c>
      <c r="K141" s="35">
        <v>0</v>
      </c>
      <c r="L141" s="35">
        <v>240</v>
      </c>
    </row>
    <row r="142" spans="2:12" x14ac:dyDescent="0.35">
      <c r="B142" s="31">
        <v>44950</v>
      </c>
      <c r="C142" s="40" t="str">
        <f t="shared" si="2"/>
        <v>Jan</v>
      </c>
      <c r="D142" s="27" t="s">
        <v>154</v>
      </c>
      <c r="E142" s="32">
        <v>13100</v>
      </c>
      <c r="F142" s="28" t="s">
        <v>491</v>
      </c>
      <c r="G142" s="28" t="s">
        <v>475</v>
      </c>
      <c r="H142" s="26">
        <v>1</v>
      </c>
      <c r="I142" s="35">
        <v>350</v>
      </c>
      <c r="J142" s="35">
        <v>0</v>
      </c>
      <c r="K142" s="35">
        <v>24.5</v>
      </c>
      <c r="L142" s="35">
        <v>374.5</v>
      </c>
    </row>
    <row r="143" spans="2:12" x14ac:dyDescent="0.35">
      <c r="B143" s="31">
        <v>44950</v>
      </c>
      <c r="C143" s="40" t="str">
        <f t="shared" si="2"/>
        <v>Jan</v>
      </c>
      <c r="D143" s="27" t="s">
        <v>154</v>
      </c>
      <c r="E143" s="32">
        <v>13100</v>
      </c>
      <c r="F143" s="28" t="s">
        <v>491</v>
      </c>
      <c r="G143" s="28" t="s">
        <v>475</v>
      </c>
      <c r="H143" s="26">
        <v>1</v>
      </c>
      <c r="I143" s="35">
        <v>97</v>
      </c>
      <c r="J143" s="35">
        <v>0</v>
      </c>
      <c r="K143" s="35">
        <v>7.57</v>
      </c>
      <c r="L143" s="35">
        <v>104.57</v>
      </c>
    </row>
    <row r="144" spans="2:12" x14ac:dyDescent="0.35">
      <c r="B144" s="31">
        <v>44950</v>
      </c>
      <c r="C144" s="40" t="str">
        <f t="shared" si="2"/>
        <v>Jan</v>
      </c>
      <c r="D144" s="27" t="s">
        <v>155</v>
      </c>
      <c r="E144" s="32">
        <v>375</v>
      </c>
      <c r="F144" s="28" t="s">
        <v>491</v>
      </c>
      <c r="G144" s="28" t="s">
        <v>475</v>
      </c>
      <c r="H144" s="26">
        <v>1</v>
      </c>
      <c r="I144" s="35">
        <v>15</v>
      </c>
      <c r="J144" s="35">
        <v>0</v>
      </c>
      <c r="K144" s="35">
        <v>1.17</v>
      </c>
      <c r="L144" s="35">
        <v>16.170000000000002</v>
      </c>
    </row>
    <row r="145" spans="2:12" x14ac:dyDescent="0.35">
      <c r="B145" s="31">
        <v>44950</v>
      </c>
      <c r="C145" s="40" t="str">
        <f t="shared" si="2"/>
        <v>Jan</v>
      </c>
      <c r="D145" s="27" t="s">
        <v>155</v>
      </c>
      <c r="E145" s="32">
        <v>375</v>
      </c>
      <c r="F145" s="28" t="s">
        <v>482</v>
      </c>
      <c r="G145" s="28" t="s">
        <v>475</v>
      </c>
      <c r="H145" s="26">
        <v>1</v>
      </c>
      <c r="I145" s="35">
        <v>180</v>
      </c>
      <c r="J145" s="35">
        <v>0</v>
      </c>
      <c r="K145" s="35">
        <v>14.04</v>
      </c>
      <c r="L145" s="35">
        <v>194.04</v>
      </c>
    </row>
    <row r="146" spans="2:12" x14ac:dyDescent="0.35">
      <c r="B146" s="31">
        <v>44950</v>
      </c>
      <c r="C146" s="40" t="str">
        <f t="shared" si="2"/>
        <v>Jan</v>
      </c>
      <c r="D146" s="27" t="s">
        <v>156</v>
      </c>
      <c r="E146" s="32">
        <v>16706</v>
      </c>
      <c r="F146" s="28" t="s">
        <v>482</v>
      </c>
      <c r="G146" s="28" t="s">
        <v>475</v>
      </c>
      <c r="H146" s="26">
        <v>1</v>
      </c>
      <c r="I146" s="35">
        <v>180</v>
      </c>
      <c r="J146" s="35">
        <v>0</v>
      </c>
      <c r="K146" s="35">
        <v>14.04</v>
      </c>
      <c r="L146" s="35">
        <v>194.04</v>
      </c>
    </row>
    <row r="147" spans="2:12" x14ac:dyDescent="0.35">
      <c r="B147" s="31">
        <v>44950</v>
      </c>
      <c r="C147" s="40" t="str">
        <f t="shared" si="2"/>
        <v>Jan</v>
      </c>
      <c r="D147" s="27" t="s">
        <v>156</v>
      </c>
      <c r="E147" s="32">
        <v>16706</v>
      </c>
      <c r="F147" s="28" t="s">
        <v>482</v>
      </c>
      <c r="G147" s="28" t="s">
        <v>475</v>
      </c>
      <c r="H147" s="26">
        <v>1</v>
      </c>
      <c r="I147" s="35">
        <v>145</v>
      </c>
      <c r="J147" s="35">
        <v>0</v>
      </c>
      <c r="K147" s="35">
        <v>11.31</v>
      </c>
      <c r="L147" s="35">
        <v>156.31</v>
      </c>
    </row>
    <row r="148" spans="2:12" x14ac:dyDescent="0.35">
      <c r="B148" s="31">
        <v>44950</v>
      </c>
      <c r="C148" s="40" t="str">
        <f t="shared" si="2"/>
        <v>Jan</v>
      </c>
      <c r="D148" s="27" t="s">
        <v>157</v>
      </c>
      <c r="E148" s="32">
        <v>151</v>
      </c>
      <c r="F148" s="28" t="s">
        <v>481</v>
      </c>
      <c r="G148" s="28" t="s">
        <v>474</v>
      </c>
      <c r="H148" s="26">
        <v>1</v>
      </c>
      <c r="I148" s="35">
        <v>148</v>
      </c>
      <c r="J148" s="35">
        <v>0</v>
      </c>
      <c r="K148" s="35">
        <v>11.54</v>
      </c>
      <c r="L148" s="35">
        <v>159.54</v>
      </c>
    </row>
    <row r="149" spans="2:12" x14ac:dyDescent="0.35">
      <c r="B149" s="31">
        <v>44950</v>
      </c>
      <c r="C149" s="40" t="str">
        <f t="shared" si="2"/>
        <v>Jan</v>
      </c>
      <c r="D149" s="27" t="s">
        <v>157</v>
      </c>
      <c r="E149" s="32">
        <v>151</v>
      </c>
      <c r="F149" s="28" t="s">
        <v>491</v>
      </c>
      <c r="G149" s="28" t="s">
        <v>474</v>
      </c>
      <c r="H149" s="26">
        <v>1</v>
      </c>
      <c r="I149" s="35">
        <v>65</v>
      </c>
      <c r="J149" s="35">
        <v>0</v>
      </c>
      <c r="K149" s="35">
        <v>5.07</v>
      </c>
      <c r="L149" s="35">
        <v>70.069999999999993</v>
      </c>
    </row>
    <row r="150" spans="2:12" x14ac:dyDescent="0.35">
      <c r="B150" s="31">
        <v>44951</v>
      </c>
      <c r="C150" s="40" t="str">
        <f t="shared" si="2"/>
        <v>Jan</v>
      </c>
      <c r="D150" s="27" t="s">
        <v>158</v>
      </c>
      <c r="E150" s="32">
        <v>5369</v>
      </c>
      <c r="F150" s="28" t="s">
        <v>481</v>
      </c>
      <c r="G150" s="28" t="s">
        <v>477</v>
      </c>
      <c r="H150" s="26">
        <v>1</v>
      </c>
      <c r="I150" s="35">
        <v>45</v>
      </c>
      <c r="J150" s="35">
        <v>22.5</v>
      </c>
      <c r="K150" s="35">
        <v>1.76</v>
      </c>
      <c r="L150" s="35">
        <v>24.26</v>
      </c>
    </row>
    <row r="151" spans="2:12" x14ac:dyDescent="0.35">
      <c r="B151" s="31">
        <v>44951</v>
      </c>
      <c r="C151" s="40" t="str">
        <f t="shared" si="2"/>
        <v>Jan</v>
      </c>
      <c r="D151" s="27" t="s">
        <v>158</v>
      </c>
      <c r="E151" s="32">
        <v>5369</v>
      </c>
      <c r="F151" s="28" t="s">
        <v>485</v>
      </c>
      <c r="G151" s="28" t="s">
        <v>477</v>
      </c>
      <c r="H151" s="26">
        <v>1</v>
      </c>
      <c r="I151" s="35">
        <v>168</v>
      </c>
      <c r="J151" s="35">
        <v>84</v>
      </c>
      <c r="K151" s="35">
        <v>6.55</v>
      </c>
      <c r="L151" s="35">
        <v>90.55</v>
      </c>
    </row>
    <row r="152" spans="2:12" x14ac:dyDescent="0.35">
      <c r="B152" s="31">
        <v>44951</v>
      </c>
      <c r="C152" s="40" t="str">
        <f t="shared" si="2"/>
        <v>Jan</v>
      </c>
      <c r="D152" s="27" t="s">
        <v>159</v>
      </c>
      <c r="E152" s="32">
        <v>4278</v>
      </c>
      <c r="F152" s="28" t="s">
        <v>491</v>
      </c>
      <c r="G152" s="28" t="s">
        <v>477</v>
      </c>
      <c r="H152" s="26">
        <v>1</v>
      </c>
      <c r="I152" s="35">
        <v>97</v>
      </c>
      <c r="J152" s="35">
        <v>48.5</v>
      </c>
      <c r="K152" s="35">
        <v>3.78</v>
      </c>
      <c r="L152" s="35">
        <v>52.28</v>
      </c>
    </row>
    <row r="153" spans="2:12" x14ac:dyDescent="0.35">
      <c r="B153" s="31">
        <v>44952</v>
      </c>
      <c r="C153" s="40" t="str">
        <f t="shared" si="2"/>
        <v>Jan</v>
      </c>
      <c r="D153" s="27" t="s">
        <v>160</v>
      </c>
      <c r="E153" s="32">
        <v>5313</v>
      </c>
      <c r="F153" s="28" t="s">
        <v>482</v>
      </c>
      <c r="G153" s="28" t="s">
        <v>475</v>
      </c>
      <c r="H153" s="26">
        <v>1</v>
      </c>
      <c r="I153" s="35">
        <v>180</v>
      </c>
      <c r="J153" s="35">
        <v>0</v>
      </c>
      <c r="K153" s="35">
        <v>14.04</v>
      </c>
      <c r="L153" s="35">
        <v>194.04</v>
      </c>
    </row>
    <row r="154" spans="2:12" x14ac:dyDescent="0.35">
      <c r="B154" s="31">
        <v>44952</v>
      </c>
      <c r="C154" s="40" t="str">
        <f t="shared" si="2"/>
        <v>Jan</v>
      </c>
      <c r="D154" s="27" t="s">
        <v>160</v>
      </c>
      <c r="E154" s="32">
        <v>5313</v>
      </c>
      <c r="F154" s="28" t="s">
        <v>490</v>
      </c>
      <c r="G154" s="28" t="s">
        <v>475</v>
      </c>
      <c r="H154" s="26">
        <v>1</v>
      </c>
      <c r="I154" s="35">
        <v>50</v>
      </c>
      <c r="J154" s="35">
        <v>0</v>
      </c>
      <c r="K154" s="35">
        <v>3.5</v>
      </c>
      <c r="L154" s="35">
        <v>53.5</v>
      </c>
    </row>
    <row r="155" spans="2:12" x14ac:dyDescent="0.35">
      <c r="B155" s="31">
        <v>44952</v>
      </c>
      <c r="C155" s="40" t="str">
        <f t="shared" si="2"/>
        <v>Jan</v>
      </c>
      <c r="D155" s="27" t="s">
        <v>161</v>
      </c>
      <c r="E155" s="32">
        <v>15408</v>
      </c>
      <c r="F155" s="28" t="s">
        <v>480</v>
      </c>
      <c r="G155" s="28" t="s">
        <v>476</v>
      </c>
      <c r="H155" s="26">
        <v>5</v>
      </c>
      <c r="I155" s="35">
        <v>15</v>
      </c>
      <c r="J155" s="35">
        <v>0</v>
      </c>
      <c r="K155" s="35">
        <v>0</v>
      </c>
      <c r="L155" s="35">
        <v>75</v>
      </c>
    </row>
    <row r="156" spans="2:12" x14ac:dyDescent="0.35">
      <c r="B156" s="31">
        <v>44952</v>
      </c>
      <c r="C156" s="40" t="str">
        <f t="shared" si="2"/>
        <v>Jan</v>
      </c>
      <c r="D156" s="27" t="s">
        <v>162</v>
      </c>
      <c r="E156" s="32">
        <v>15417</v>
      </c>
      <c r="F156" s="28" t="s">
        <v>482</v>
      </c>
      <c r="G156" s="28" t="s">
        <v>476</v>
      </c>
      <c r="H156" s="26">
        <v>1</v>
      </c>
      <c r="I156" s="35">
        <v>50</v>
      </c>
      <c r="J156" s="35">
        <v>0</v>
      </c>
      <c r="K156" s="35">
        <v>3.9</v>
      </c>
      <c r="L156" s="35">
        <v>53.9</v>
      </c>
    </row>
    <row r="157" spans="2:12" x14ac:dyDescent="0.35">
      <c r="B157" s="31">
        <v>44952</v>
      </c>
      <c r="C157" s="40" t="str">
        <f t="shared" si="2"/>
        <v>Jan</v>
      </c>
      <c r="D157" s="27" t="s">
        <v>162</v>
      </c>
      <c r="E157" s="32">
        <v>15417</v>
      </c>
      <c r="F157" s="28" t="s">
        <v>491</v>
      </c>
      <c r="G157" s="28" t="s">
        <v>476</v>
      </c>
      <c r="H157" s="26">
        <v>1</v>
      </c>
      <c r="I157" s="35">
        <v>2</v>
      </c>
      <c r="J157" s="35">
        <v>0</v>
      </c>
      <c r="K157" s="35">
        <v>0.16</v>
      </c>
      <c r="L157" s="35">
        <v>2.16</v>
      </c>
    </row>
    <row r="158" spans="2:12" x14ac:dyDescent="0.35">
      <c r="B158" s="31">
        <v>44952</v>
      </c>
      <c r="C158" s="40" t="str">
        <f t="shared" si="2"/>
        <v>Jan</v>
      </c>
      <c r="D158" s="27" t="s">
        <v>163</v>
      </c>
      <c r="E158" s="32">
        <v>13073</v>
      </c>
      <c r="F158" s="28" t="s">
        <v>485</v>
      </c>
      <c r="G158" s="28" t="s">
        <v>475</v>
      </c>
      <c r="H158" s="26">
        <v>1</v>
      </c>
      <c r="I158" s="35">
        <v>168</v>
      </c>
      <c r="J158" s="35">
        <v>84</v>
      </c>
      <c r="K158" s="35">
        <v>6.55</v>
      </c>
      <c r="L158" s="35">
        <v>90.55</v>
      </c>
    </row>
    <row r="159" spans="2:12" x14ac:dyDescent="0.35">
      <c r="B159" s="31">
        <v>44952</v>
      </c>
      <c r="C159" s="40" t="str">
        <f t="shared" si="2"/>
        <v>Jan</v>
      </c>
      <c r="D159" s="27" t="s">
        <v>163</v>
      </c>
      <c r="E159" s="32">
        <v>13073</v>
      </c>
      <c r="F159" s="28" t="s">
        <v>492</v>
      </c>
      <c r="G159" s="28" t="s">
        <v>475</v>
      </c>
      <c r="H159" s="26">
        <v>1</v>
      </c>
      <c r="I159" s="35">
        <v>12</v>
      </c>
      <c r="J159" s="35">
        <v>6</v>
      </c>
      <c r="K159" s="35">
        <v>0.47</v>
      </c>
      <c r="L159" s="35">
        <v>6.47</v>
      </c>
    </row>
    <row r="160" spans="2:12" x14ac:dyDescent="0.35">
      <c r="B160" s="31">
        <v>44952</v>
      </c>
      <c r="C160" s="40" t="str">
        <f t="shared" si="2"/>
        <v>Jan</v>
      </c>
      <c r="D160" s="27" t="s">
        <v>163</v>
      </c>
      <c r="E160" s="32">
        <v>13073</v>
      </c>
      <c r="F160" s="28" t="s">
        <v>490</v>
      </c>
      <c r="G160" s="28" t="s">
        <v>475</v>
      </c>
      <c r="H160" s="26">
        <v>1</v>
      </c>
      <c r="I160" s="35">
        <v>5</v>
      </c>
      <c r="J160" s="35">
        <v>0</v>
      </c>
      <c r="K160" s="35">
        <v>0.35</v>
      </c>
      <c r="L160" s="35">
        <v>5.35</v>
      </c>
    </row>
    <row r="161" spans="2:12" x14ac:dyDescent="0.35">
      <c r="B161" s="31">
        <v>44952</v>
      </c>
      <c r="C161" s="40" t="str">
        <f t="shared" si="2"/>
        <v>Jan</v>
      </c>
      <c r="D161" s="27" t="s">
        <v>164</v>
      </c>
      <c r="E161" s="32">
        <v>16722</v>
      </c>
      <c r="F161" s="28" t="s">
        <v>484</v>
      </c>
      <c r="G161" s="28" t="s">
        <v>474</v>
      </c>
      <c r="H161" s="26">
        <v>1</v>
      </c>
      <c r="I161" s="35">
        <v>94.99</v>
      </c>
      <c r="J161" s="35">
        <v>0</v>
      </c>
      <c r="K161" s="35">
        <v>7.41</v>
      </c>
      <c r="L161" s="35">
        <v>102.39999999999999</v>
      </c>
    </row>
    <row r="162" spans="2:12" x14ac:dyDescent="0.35">
      <c r="B162" s="31">
        <v>44952</v>
      </c>
      <c r="C162" s="40" t="str">
        <f t="shared" si="2"/>
        <v>Jan</v>
      </c>
      <c r="D162" s="27" t="s">
        <v>165</v>
      </c>
      <c r="E162" s="32">
        <v>8577</v>
      </c>
      <c r="F162" s="28" t="s">
        <v>481</v>
      </c>
      <c r="G162" s="28" t="s">
        <v>474</v>
      </c>
      <c r="H162" s="26">
        <v>1</v>
      </c>
      <c r="I162" s="35">
        <v>160</v>
      </c>
      <c r="J162" s="35">
        <v>80</v>
      </c>
      <c r="K162" s="35">
        <v>6.24</v>
      </c>
      <c r="L162" s="35">
        <v>86.24</v>
      </c>
    </row>
    <row r="163" spans="2:12" x14ac:dyDescent="0.35">
      <c r="B163" s="31">
        <v>44952</v>
      </c>
      <c r="C163" s="40" t="str">
        <f t="shared" si="2"/>
        <v>Jan</v>
      </c>
      <c r="D163" s="27" t="s">
        <v>165</v>
      </c>
      <c r="E163" s="32">
        <v>8577</v>
      </c>
      <c r="F163" s="28" t="s">
        <v>489</v>
      </c>
      <c r="G163" s="28" t="s">
        <v>474</v>
      </c>
      <c r="H163" s="26">
        <v>1</v>
      </c>
      <c r="I163" s="35">
        <v>130</v>
      </c>
      <c r="J163" s="35">
        <v>65</v>
      </c>
      <c r="K163" s="35">
        <v>5.07</v>
      </c>
      <c r="L163" s="35">
        <v>70.069999999999993</v>
      </c>
    </row>
    <row r="164" spans="2:12" x14ac:dyDescent="0.35">
      <c r="B164" s="31">
        <v>44952</v>
      </c>
      <c r="C164" s="40" t="str">
        <f t="shared" si="2"/>
        <v>Jan</v>
      </c>
      <c r="D164" s="27" t="s">
        <v>165</v>
      </c>
      <c r="E164" s="32">
        <v>8577</v>
      </c>
      <c r="F164" s="28" t="s">
        <v>481</v>
      </c>
      <c r="G164" s="28" t="s">
        <v>474</v>
      </c>
      <c r="H164" s="26">
        <v>1</v>
      </c>
      <c r="I164" s="35">
        <v>155</v>
      </c>
      <c r="J164" s="35">
        <v>77.5</v>
      </c>
      <c r="K164" s="35">
        <v>6.05</v>
      </c>
      <c r="L164" s="35">
        <v>83.55</v>
      </c>
    </row>
    <row r="165" spans="2:12" x14ac:dyDescent="0.35">
      <c r="B165" s="31">
        <v>44952</v>
      </c>
      <c r="C165" s="40" t="str">
        <f t="shared" si="2"/>
        <v>Jan</v>
      </c>
      <c r="D165" s="27" t="s">
        <v>166</v>
      </c>
      <c r="E165" s="32">
        <v>3071</v>
      </c>
      <c r="F165" s="28" t="s">
        <v>492</v>
      </c>
      <c r="G165" s="28" t="s">
        <v>476</v>
      </c>
      <c r="H165" s="26">
        <v>1</v>
      </c>
      <c r="I165" s="35">
        <v>0</v>
      </c>
      <c r="J165" s="35">
        <v>0</v>
      </c>
      <c r="K165" s="35">
        <v>0</v>
      </c>
      <c r="L165" s="35">
        <v>0</v>
      </c>
    </row>
    <row r="166" spans="2:12" x14ac:dyDescent="0.35">
      <c r="B166" s="31">
        <v>44953</v>
      </c>
      <c r="C166" s="40" t="str">
        <f t="shared" si="2"/>
        <v>Jan</v>
      </c>
      <c r="D166" s="27" t="s">
        <v>167</v>
      </c>
      <c r="E166" s="32">
        <v>15481</v>
      </c>
      <c r="F166" s="28" t="s">
        <v>480</v>
      </c>
      <c r="G166" s="28" t="s">
        <v>476</v>
      </c>
      <c r="H166" s="26">
        <v>20</v>
      </c>
      <c r="I166" s="35">
        <v>15</v>
      </c>
      <c r="J166" s="35">
        <v>0</v>
      </c>
      <c r="K166" s="35">
        <v>0</v>
      </c>
      <c r="L166" s="35">
        <v>300</v>
      </c>
    </row>
    <row r="167" spans="2:12" x14ac:dyDescent="0.35">
      <c r="B167" s="31">
        <v>44953</v>
      </c>
      <c r="C167" s="40" t="str">
        <f t="shared" si="2"/>
        <v>Jan</v>
      </c>
      <c r="D167" s="27" t="s">
        <v>168</v>
      </c>
      <c r="E167" s="32">
        <v>10818</v>
      </c>
      <c r="F167" s="28" t="s">
        <v>490</v>
      </c>
      <c r="G167" s="28" t="s">
        <v>476</v>
      </c>
      <c r="H167" s="26">
        <v>1</v>
      </c>
      <c r="I167" s="35">
        <v>50</v>
      </c>
      <c r="J167" s="35">
        <v>0</v>
      </c>
      <c r="K167" s="35">
        <v>3.5</v>
      </c>
      <c r="L167" s="35">
        <v>53.5</v>
      </c>
    </row>
    <row r="168" spans="2:12" x14ac:dyDescent="0.35">
      <c r="B168" s="31">
        <v>44953</v>
      </c>
      <c r="C168" s="40" t="str">
        <f t="shared" si="2"/>
        <v>Jan</v>
      </c>
      <c r="D168" s="27" t="s">
        <v>168</v>
      </c>
      <c r="E168" s="32">
        <v>10818</v>
      </c>
      <c r="F168" s="28" t="s">
        <v>482</v>
      </c>
      <c r="G168" s="28" t="s">
        <v>476</v>
      </c>
      <c r="H168" s="26">
        <v>1</v>
      </c>
      <c r="I168" s="35">
        <v>180</v>
      </c>
      <c r="J168" s="35">
        <v>0</v>
      </c>
      <c r="K168" s="35">
        <v>14.04</v>
      </c>
      <c r="L168" s="35">
        <v>194.04</v>
      </c>
    </row>
    <row r="169" spans="2:12" x14ac:dyDescent="0.35">
      <c r="B169" s="31">
        <v>44953</v>
      </c>
      <c r="C169" s="40" t="str">
        <f t="shared" si="2"/>
        <v>Jan</v>
      </c>
      <c r="D169" s="27" t="s">
        <v>168</v>
      </c>
      <c r="E169" s="32">
        <v>10818</v>
      </c>
      <c r="F169" s="28" t="s">
        <v>489</v>
      </c>
      <c r="G169" s="28" t="s">
        <v>476</v>
      </c>
      <c r="H169" s="26">
        <v>1</v>
      </c>
      <c r="I169" s="35">
        <v>100</v>
      </c>
      <c r="J169" s="35">
        <v>0</v>
      </c>
      <c r="K169" s="35">
        <v>7.8</v>
      </c>
      <c r="L169" s="35">
        <v>107.8</v>
      </c>
    </row>
    <row r="170" spans="2:12" x14ac:dyDescent="0.35">
      <c r="B170" s="31">
        <v>44953</v>
      </c>
      <c r="C170" s="40" t="str">
        <f t="shared" si="2"/>
        <v>Jan</v>
      </c>
      <c r="D170" s="27" t="s">
        <v>169</v>
      </c>
      <c r="E170" s="32">
        <v>187</v>
      </c>
      <c r="F170" s="28" t="s">
        <v>492</v>
      </c>
      <c r="G170" s="28" t="s">
        <v>476</v>
      </c>
      <c r="H170" s="26">
        <v>1</v>
      </c>
      <c r="I170" s="35">
        <v>34</v>
      </c>
      <c r="J170" s="35">
        <v>0</v>
      </c>
      <c r="K170" s="35">
        <v>2.65</v>
      </c>
      <c r="L170" s="35">
        <v>36.65</v>
      </c>
    </row>
    <row r="171" spans="2:12" x14ac:dyDescent="0.35">
      <c r="B171" s="31">
        <v>44953</v>
      </c>
      <c r="C171" s="40" t="str">
        <f t="shared" si="2"/>
        <v>Jan</v>
      </c>
      <c r="D171" s="27" t="s">
        <v>169</v>
      </c>
      <c r="E171" s="32">
        <v>187</v>
      </c>
      <c r="F171" s="28" t="s">
        <v>492</v>
      </c>
      <c r="G171" s="28" t="s">
        <v>476</v>
      </c>
      <c r="H171" s="26">
        <v>1</v>
      </c>
      <c r="I171" s="35">
        <v>70</v>
      </c>
      <c r="J171" s="35">
        <v>0</v>
      </c>
      <c r="K171" s="35">
        <v>5.46</v>
      </c>
      <c r="L171" s="35">
        <v>75.459999999999994</v>
      </c>
    </row>
    <row r="172" spans="2:12" x14ac:dyDescent="0.35">
      <c r="B172" s="31">
        <v>44956</v>
      </c>
      <c r="C172" s="40" t="str">
        <f t="shared" si="2"/>
        <v>Jan</v>
      </c>
      <c r="D172" s="27" t="s">
        <v>170</v>
      </c>
      <c r="E172" s="32">
        <v>999</v>
      </c>
      <c r="F172" s="28" t="s">
        <v>480</v>
      </c>
      <c r="G172" s="28" t="s">
        <v>473</v>
      </c>
      <c r="H172" s="26">
        <v>36</v>
      </c>
      <c r="I172" s="35">
        <v>15</v>
      </c>
      <c r="J172" s="35">
        <v>0</v>
      </c>
      <c r="K172" s="35">
        <v>0</v>
      </c>
      <c r="L172" s="35">
        <v>540</v>
      </c>
    </row>
    <row r="173" spans="2:12" x14ac:dyDescent="0.35">
      <c r="B173" s="31">
        <v>44956</v>
      </c>
      <c r="C173" s="40" t="str">
        <f t="shared" si="2"/>
        <v>Jan</v>
      </c>
      <c r="D173" s="27" t="s">
        <v>171</v>
      </c>
      <c r="E173" s="32">
        <v>13323</v>
      </c>
      <c r="F173" s="28" t="s">
        <v>482</v>
      </c>
      <c r="G173" s="28" t="s">
        <v>475</v>
      </c>
      <c r="H173" s="26">
        <v>1</v>
      </c>
      <c r="I173" s="35">
        <v>180</v>
      </c>
      <c r="J173" s="35">
        <v>0</v>
      </c>
      <c r="K173" s="35">
        <v>14.04</v>
      </c>
      <c r="L173" s="35">
        <v>194.04</v>
      </c>
    </row>
    <row r="174" spans="2:12" x14ac:dyDescent="0.35">
      <c r="B174" s="31">
        <v>44956</v>
      </c>
      <c r="C174" s="40" t="str">
        <f t="shared" si="2"/>
        <v>Jan</v>
      </c>
      <c r="D174" s="27" t="s">
        <v>171</v>
      </c>
      <c r="E174" s="32">
        <v>13323</v>
      </c>
      <c r="F174" s="28" t="s">
        <v>485</v>
      </c>
      <c r="G174" s="28" t="s">
        <v>475</v>
      </c>
      <c r="H174" s="26">
        <v>1</v>
      </c>
      <c r="I174" s="35">
        <v>169</v>
      </c>
      <c r="J174" s="35">
        <v>0</v>
      </c>
      <c r="K174" s="35">
        <v>13.18</v>
      </c>
      <c r="L174" s="35">
        <v>182.18</v>
      </c>
    </row>
    <row r="175" spans="2:12" x14ac:dyDescent="0.35">
      <c r="B175" s="31">
        <v>44956</v>
      </c>
      <c r="C175" s="40" t="str">
        <f t="shared" si="2"/>
        <v>Jan</v>
      </c>
      <c r="D175" s="27" t="s">
        <v>172</v>
      </c>
      <c r="E175" s="32">
        <v>8590</v>
      </c>
      <c r="F175" s="28" t="s">
        <v>486</v>
      </c>
      <c r="G175" s="28" t="s">
        <v>473</v>
      </c>
      <c r="H175" s="26">
        <v>1</v>
      </c>
      <c r="I175" s="35">
        <v>650</v>
      </c>
      <c r="J175" s="35">
        <v>0</v>
      </c>
      <c r="K175" s="35">
        <v>0</v>
      </c>
      <c r="L175" s="35">
        <v>650</v>
      </c>
    </row>
    <row r="176" spans="2:12" x14ac:dyDescent="0.35">
      <c r="B176" s="31">
        <v>44956</v>
      </c>
      <c r="C176" s="40" t="str">
        <f t="shared" si="2"/>
        <v>Jan</v>
      </c>
      <c r="D176" s="27" t="s">
        <v>173</v>
      </c>
      <c r="E176" s="32">
        <v>13037</v>
      </c>
      <c r="F176" s="28" t="s">
        <v>480</v>
      </c>
      <c r="G176" s="28" t="s">
        <v>473</v>
      </c>
      <c r="H176" s="26">
        <v>48</v>
      </c>
      <c r="I176" s="35">
        <v>15</v>
      </c>
      <c r="J176" s="35">
        <v>0</v>
      </c>
      <c r="K176" s="35">
        <v>0</v>
      </c>
      <c r="L176" s="35">
        <v>720</v>
      </c>
    </row>
    <row r="177" spans="2:12" x14ac:dyDescent="0.35">
      <c r="B177" s="31">
        <v>44956</v>
      </c>
      <c r="C177" s="40" t="str">
        <f t="shared" si="2"/>
        <v>Jan</v>
      </c>
      <c r="D177" s="27" t="s">
        <v>174</v>
      </c>
      <c r="E177" s="32">
        <v>65</v>
      </c>
      <c r="F177" s="28" t="s">
        <v>485</v>
      </c>
      <c r="G177" s="28" t="s">
        <v>473</v>
      </c>
      <c r="H177" s="26">
        <v>38</v>
      </c>
      <c r="I177" s="35">
        <v>15</v>
      </c>
      <c r="J177" s="35">
        <v>0</v>
      </c>
      <c r="K177" s="35">
        <v>0</v>
      </c>
      <c r="L177" s="35">
        <v>570</v>
      </c>
    </row>
    <row r="178" spans="2:12" x14ac:dyDescent="0.35">
      <c r="B178" s="31">
        <v>44956</v>
      </c>
      <c r="C178" s="40" t="str">
        <f t="shared" si="2"/>
        <v>Jan</v>
      </c>
      <c r="D178" s="27" t="s">
        <v>175</v>
      </c>
      <c r="E178" s="32">
        <v>3091</v>
      </c>
      <c r="F178" s="28" t="s">
        <v>485</v>
      </c>
      <c r="G178" s="28" t="s">
        <v>473</v>
      </c>
      <c r="H178" s="26">
        <v>52</v>
      </c>
      <c r="I178" s="35">
        <v>15</v>
      </c>
      <c r="J178" s="35">
        <v>0</v>
      </c>
      <c r="K178" s="35">
        <v>0</v>
      </c>
      <c r="L178" s="35">
        <v>780</v>
      </c>
    </row>
    <row r="179" spans="2:12" x14ac:dyDescent="0.35">
      <c r="B179" s="31">
        <v>44956</v>
      </c>
      <c r="C179" s="40" t="str">
        <f t="shared" si="2"/>
        <v>Jan</v>
      </c>
      <c r="D179" s="27" t="s">
        <v>176</v>
      </c>
      <c r="E179" s="32">
        <v>16688</v>
      </c>
      <c r="F179" s="28" t="s">
        <v>480</v>
      </c>
      <c r="G179" s="28" t="s">
        <v>473</v>
      </c>
      <c r="H179" s="26">
        <v>1</v>
      </c>
      <c r="I179" s="35">
        <v>0</v>
      </c>
      <c r="J179" s="35">
        <v>0</v>
      </c>
      <c r="K179" s="35">
        <v>0</v>
      </c>
      <c r="L179" s="35">
        <v>0</v>
      </c>
    </row>
    <row r="180" spans="2:12" x14ac:dyDescent="0.35">
      <c r="B180" s="31">
        <v>44956</v>
      </c>
      <c r="C180" s="40" t="str">
        <f t="shared" si="2"/>
        <v>Jan</v>
      </c>
      <c r="D180" s="27" t="s">
        <v>177</v>
      </c>
      <c r="E180" s="32">
        <v>10811</v>
      </c>
      <c r="F180" s="28" t="s">
        <v>480</v>
      </c>
      <c r="G180" s="28" t="s">
        <v>473</v>
      </c>
      <c r="H180" s="26">
        <v>48</v>
      </c>
      <c r="I180" s="35">
        <v>15</v>
      </c>
      <c r="J180" s="35">
        <v>0</v>
      </c>
      <c r="K180" s="35">
        <v>0</v>
      </c>
      <c r="L180" s="35">
        <v>720</v>
      </c>
    </row>
    <row r="181" spans="2:12" x14ac:dyDescent="0.35">
      <c r="B181" s="31">
        <v>44956</v>
      </c>
      <c r="C181" s="40" t="str">
        <f t="shared" si="2"/>
        <v>Jan</v>
      </c>
      <c r="D181" s="27" t="s">
        <v>178</v>
      </c>
      <c r="E181" s="32">
        <v>16701</v>
      </c>
      <c r="F181" s="28" t="s">
        <v>492</v>
      </c>
      <c r="G181" s="28" t="s">
        <v>475</v>
      </c>
      <c r="H181" s="26">
        <v>1</v>
      </c>
      <c r="I181" s="35">
        <v>95</v>
      </c>
      <c r="J181" s="35">
        <v>0</v>
      </c>
      <c r="K181" s="35">
        <v>7.41</v>
      </c>
      <c r="L181" s="35">
        <v>102.41</v>
      </c>
    </row>
    <row r="182" spans="2:12" x14ac:dyDescent="0.35">
      <c r="B182" s="31">
        <v>44956</v>
      </c>
      <c r="C182" s="40" t="str">
        <f t="shared" si="2"/>
        <v>Jan</v>
      </c>
      <c r="D182" s="27" t="s">
        <v>179</v>
      </c>
      <c r="E182" s="32">
        <v>10854</v>
      </c>
      <c r="F182" s="28" t="s">
        <v>480</v>
      </c>
      <c r="G182" s="28" t="s">
        <v>473</v>
      </c>
      <c r="H182" s="26">
        <v>6</v>
      </c>
      <c r="I182" s="35">
        <v>15</v>
      </c>
      <c r="J182" s="35">
        <v>0</v>
      </c>
      <c r="K182" s="35">
        <v>0</v>
      </c>
      <c r="L182" s="35">
        <v>90</v>
      </c>
    </row>
    <row r="183" spans="2:12" x14ac:dyDescent="0.35">
      <c r="B183" s="31">
        <v>44956</v>
      </c>
      <c r="C183" s="40" t="str">
        <f t="shared" si="2"/>
        <v>Jan</v>
      </c>
      <c r="D183" s="27" t="s">
        <v>180</v>
      </c>
      <c r="E183" s="32">
        <v>13202</v>
      </c>
      <c r="F183" s="28" t="s">
        <v>493</v>
      </c>
      <c r="G183" s="28" t="s">
        <v>474</v>
      </c>
      <c r="H183" s="26">
        <v>1</v>
      </c>
      <c r="I183" s="35">
        <v>129</v>
      </c>
      <c r="J183" s="35">
        <v>0</v>
      </c>
      <c r="K183" s="35">
        <v>10.06</v>
      </c>
      <c r="L183" s="35">
        <v>139.06</v>
      </c>
    </row>
    <row r="184" spans="2:12" x14ac:dyDescent="0.35">
      <c r="B184" s="31">
        <v>44956</v>
      </c>
      <c r="C184" s="40" t="str">
        <f t="shared" si="2"/>
        <v>Jan</v>
      </c>
      <c r="D184" s="27" t="s">
        <v>180</v>
      </c>
      <c r="E184" s="32">
        <v>13202</v>
      </c>
      <c r="F184" s="28" t="s">
        <v>488</v>
      </c>
      <c r="G184" s="28" t="s">
        <v>474</v>
      </c>
      <c r="H184" s="26">
        <v>1</v>
      </c>
      <c r="I184" s="35">
        <v>68</v>
      </c>
      <c r="J184" s="35">
        <v>0</v>
      </c>
      <c r="K184" s="35">
        <v>5.3</v>
      </c>
      <c r="L184" s="35">
        <v>73.3</v>
      </c>
    </row>
    <row r="185" spans="2:12" x14ac:dyDescent="0.35">
      <c r="B185" s="31">
        <v>44956</v>
      </c>
      <c r="C185" s="40" t="str">
        <f t="shared" si="2"/>
        <v>Jan</v>
      </c>
      <c r="D185" s="27" t="s">
        <v>180</v>
      </c>
      <c r="E185" s="32">
        <v>13202</v>
      </c>
      <c r="F185" s="28" t="s">
        <v>481</v>
      </c>
      <c r="G185" s="28" t="s">
        <v>474</v>
      </c>
      <c r="H185" s="26">
        <v>1</v>
      </c>
      <c r="I185" s="35">
        <v>155</v>
      </c>
      <c r="J185" s="35">
        <v>0</v>
      </c>
      <c r="K185" s="35">
        <v>12.09</v>
      </c>
      <c r="L185" s="35">
        <v>167.09</v>
      </c>
    </row>
    <row r="186" spans="2:12" x14ac:dyDescent="0.35">
      <c r="B186" s="31">
        <v>44956</v>
      </c>
      <c r="C186" s="40" t="str">
        <f t="shared" si="2"/>
        <v>Jan</v>
      </c>
      <c r="D186" s="27" t="s">
        <v>181</v>
      </c>
      <c r="E186" s="32">
        <v>8590</v>
      </c>
      <c r="F186" s="28" t="s">
        <v>487</v>
      </c>
      <c r="G186" s="28" t="s">
        <v>474</v>
      </c>
      <c r="H186" s="26">
        <v>1</v>
      </c>
      <c r="I186" s="35">
        <v>12.5</v>
      </c>
      <c r="J186" s="35">
        <v>0</v>
      </c>
      <c r="K186" s="35">
        <v>0.98</v>
      </c>
      <c r="L186" s="35">
        <v>13.48</v>
      </c>
    </row>
    <row r="187" spans="2:12" x14ac:dyDescent="0.35">
      <c r="B187" s="31">
        <v>44957</v>
      </c>
      <c r="C187" s="40" t="str">
        <f t="shared" si="2"/>
        <v>Jan</v>
      </c>
      <c r="D187" s="27" t="s">
        <v>182</v>
      </c>
      <c r="E187" s="32">
        <v>13190</v>
      </c>
      <c r="F187" s="28" t="s">
        <v>490</v>
      </c>
      <c r="G187" s="28" t="s">
        <v>476</v>
      </c>
      <c r="H187" s="26">
        <v>1</v>
      </c>
      <c r="I187" s="35">
        <v>100</v>
      </c>
      <c r="J187" s="35">
        <v>0</v>
      </c>
      <c r="K187" s="35">
        <v>0</v>
      </c>
      <c r="L187" s="35">
        <v>100</v>
      </c>
    </row>
    <row r="188" spans="2:12" x14ac:dyDescent="0.35">
      <c r="B188" s="31">
        <v>44957</v>
      </c>
      <c r="C188" s="40" t="str">
        <f t="shared" si="2"/>
        <v>Jan</v>
      </c>
      <c r="D188" s="27" t="s">
        <v>183</v>
      </c>
      <c r="E188" s="32">
        <v>876</v>
      </c>
      <c r="F188" s="28" t="s">
        <v>485</v>
      </c>
      <c r="G188" s="28" t="s">
        <v>476</v>
      </c>
      <c r="H188" s="26">
        <v>2</v>
      </c>
      <c r="I188" s="35">
        <v>15</v>
      </c>
      <c r="J188" s="35">
        <v>0</v>
      </c>
      <c r="K188" s="35">
        <v>0</v>
      </c>
      <c r="L188" s="35">
        <v>30</v>
      </c>
    </row>
    <row r="189" spans="2:12" x14ac:dyDescent="0.35">
      <c r="B189" s="31">
        <v>44957</v>
      </c>
      <c r="C189" s="40" t="str">
        <f t="shared" si="2"/>
        <v>Jan</v>
      </c>
      <c r="D189" s="27" t="s">
        <v>184</v>
      </c>
      <c r="E189" s="32">
        <v>173</v>
      </c>
      <c r="F189" s="28" t="s">
        <v>493</v>
      </c>
      <c r="G189" s="28" t="s">
        <v>475</v>
      </c>
      <c r="H189" s="26">
        <v>1</v>
      </c>
      <c r="I189" s="35">
        <v>0</v>
      </c>
      <c r="J189" s="35">
        <v>0</v>
      </c>
      <c r="K189" s="35">
        <v>0</v>
      </c>
      <c r="L189" s="35">
        <v>0</v>
      </c>
    </row>
    <row r="190" spans="2:12" x14ac:dyDescent="0.35">
      <c r="B190" s="31">
        <v>44957</v>
      </c>
      <c r="C190" s="40" t="str">
        <f t="shared" si="2"/>
        <v>Jan</v>
      </c>
      <c r="D190" s="27" t="s">
        <v>184</v>
      </c>
      <c r="E190" s="32">
        <v>173</v>
      </c>
      <c r="F190" s="28" t="s">
        <v>493</v>
      </c>
      <c r="G190" s="28" t="s">
        <v>475</v>
      </c>
      <c r="H190" s="26">
        <v>1</v>
      </c>
      <c r="I190" s="35">
        <v>165</v>
      </c>
      <c r="J190" s="35">
        <v>0</v>
      </c>
      <c r="K190" s="35">
        <v>12.87</v>
      </c>
      <c r="L190" s="35">
        <v>177.87</v>
      </c>
    </row>
    <row r="191" spans="2:12" x14ac:dyDescent="0.35">
      <c r="B191" s="31">
        <v>44957</v>
      </c>
      <c r="C191" s="40" t="str">
        <f t="shared" si="2"/>
        <v>Jan</v>
      </c>
      <c r="D191" s="27" t="s">
        <v>185</v>
      </c>
      <c r="E191" s="32">
        <v>13013</v>
      </c>
      <c r="F191" s="28" t="s">
        <v>493</v>
      </c>
      <c r="G191" s="28" t="s">
        <v>475</v>
      </c>
      <c r="H191" s="26">
        <v>1</v>
      </c>
      <c r="I191" s="35">
        <v>165</v>
      </c>
      <c r="J191" s="35">
        <v>24.75</v>
      </c>
      <c r="K191" s="35">
        <v>10.94</v>
      </c>
      <c r="L191" s="35">
        <v>151.19</v>
      </c>
    </row>
    <row r="192" spans="2:12" x14ac:dyDescent="0.35">
      <c r="B192" s="31">
        <v>44957</v>
      </c>
      <c r="C192" s="40" t="str">
        <f t="shared" si="2"/>
        <v>Jan</v>
      </c>
      <c r="D192" s="27" t="s">
        <v>185</v>
      </c>
      <c r="E192" s="32">
        <v>13013</v>
      </c>
      <c r="F192" s="28" t="s">
        <v>493</v>
      </c>
      <c r="G192" s="28" t="s">
        <v>475</v>
      </c>
      <c r="H192" s="26">
        <v>1</v>
      </c>
      <c r="I192" s="35">
        <v>0</v>
      </c>
      <c r="J192" s="35">
        <v>0</v>
      </c>
      <c r="K192" s="35">
        <v>0</v>
      </c>
      <c r="L192" s="35">
        <v>0</v>
      </c>
    </row>
    <row r="193" spans="2:12" x14ac:dyDescent="0.35">
      <c r="B193" s="31">
        <v>44958</v>
      </c>
      <c r="C193" s="40" t="str">
        <f t="shared" si="2"/>
        <v>Feb</v>
      </c>
      <c r="D193" s="27" t="s">
        <v>186</v>
      </c>
      <c r="E193" s="32">
        <v>4270</v>
      </c>
      <c r="F193" s="28" t="s">
        <v>493</v>
      </c>
      <c r="G193" s="28" t="s">
        <v>473</v>
      </c>
      <c r="H193" s="26">
        <v>1</v>
      </c>
      <c r="I193" s="35">
        <v>1000</v>
      </c>
      <c r="J193" s="35">
        <v>0</v>
      </c>
      <c r="K193" s="35">
        <v>0</v>
      </c>
      <c r="L193" s="35">
        <v>1000</v>
      </c>
    </row>
    <row r="194" spans="2:12" x14ac:dyDescent="0.35">
      <c r="B194" s="31">
        <v>44959</v>
      </c>
      <c r="C194" s="40" t="str">
        <f t="shared" si="2"/>
        <v>Feb</v>
      </c>
      <c r="D194" s="27" t="s">
        <v>187</v>
      </c>
      <c r="E194" s="32">
        <v>13013</v>
      </c>
      <c r="F194" s="28" t="s">
        <v>480</v>
      </c>
      <c r="G194" s="28" t="s">
        <v>474</v>
      </c>
      <c r="H194" s="26">
        <v>1</v>
      </c>
      <c r="I194" s="35">
        <v>0</v>
      </c>
      <c r="J194" s="35">
        <v>0</v>
      </c>
      <c r="K194" s="35">
        <v>0</v>
      </c>
      <c r="L194" s="35">
        <v>0</v>
      </c>
    </row>
    <row r="195" spans="2:12" x14ac:dyDescent="0.35">
      <c r="B195" s="31">
        <v>44959</v>
      </c>
      <c r="C195" s="40" t="str">
        <f t="shared" si="2"/>
        <v>Feb</v>
      </c>
      <c r="D195" s="27" t="s">
        <v>188</v>
      </c>
      <c r="E195" s="32">
        <v>13165</v>
      </c>
      <c r="F195" s="28" t="s">
        <v>485</v>
      </c>
      <c r="G195" s="28" t="s">
        <v>474</v>
      </c>
      <c r="H195" s="26">
        <v>1</v>
      </c>
      <c r="I195" s="35">
        <v>169</v>
      </c>
      <c r="J195" s="35">
        <v>84.5</v>
      </c>
      <c r="K195" s="35">
        <v>6.59</v>
      </c>
      <c r="L195" s="35">
        <v>91.09</v>
      </c>
    </row>
    <row r="196" spans="2:12" x14ac:dyDescent="0.35">
      <c r="B196" s="31">
        <v>44959</v>
      </c>
      <c r="C196" s="40" t="str">
        <f t="shared" si="2"/>
        <v>Feb</v>
      </c>
      <c r="D196" s="27" t="s">
        <v>188</v>
      </c>
      <c r="E196" s="32">
        <v>13165</v>
      </c>
      <c r="F196" s="28" t="s">
        <v>493</v>
      </c>
      <c r="G196" s="28" t="s">
        <v>474</v>
      </c>
      <c r="H196" s="26">
        <v>1</v>
      </c>
      <c r="I196" s="35">
        <v>165</v>
      </c>
      <c r="J196" s="35">
        <v>82.5</v>
      </c>
      <c r="K196" s="35">
        <v>6.44</v>
      </c>
      <c r="L196" s="35">
        <v>88.94</v>
      </c>
    </row>
    <row r="197" spans="2:12" x14ac:dyDescent="0.35">
      <c r="B197" s="31">
        <v>44959</v>
      </c>
      <c r="C197" s="40" t="str">
        <f t="shared" si="2"/>
        <v>Feb</v>
      </c>
      <c r="D197" s="27" t="s">
        <v>188</v>
      </c>
      <c r="E197" s="32">
        <v>13165</v>
      </c>
      <c r="F197" s="28" t="s">
        <v>481</v>
      </c>
      <c r="G197" s="28" t="s">
        <v>474</v>
      </c>
      <c r="H197" s="26">
        <v>1</v>
      </c>
      <c r="I197" s="35">
        <v>155</v>
      </c>
      <c r="J197" s="35">
        <v>77.5</v>
      </c>
      <c r="K197" s="35">
        <v>6.05</v>
      </c>
      <c r="L197" s="35">
        <v>83.55</v>
      </c>
    </row>
    <row r="198" spans="2:12" x14ac:dyDescent="0.35">
      <c r="B198" s="31">
        <v>44959</v>
      </c>
      <c r="C198" s="40" t="str">
        <f t="shared" ref="C198:C261" si="3">TEXT(B198,"MMM")</f>
        <v>Feb</v>
      </c>
      <c r="D198" s="27" t="s">
        <v>188</v>
      </c>
      <c r="E198" s="32">
        <v>13165</v>
      </c>
      <c r="F198" s="28" t="s">
        <v>482</v>
      </c>
      <c r="G198" s="28" t="s">
        <v>474</v>
      </c>
      <c r="H198" s="26">
        <v>1</v>
      </c>
      <c r="I198" s="35">
        <v>154</v>
      </c>
      <c r="J198" s="35">
        <v>77</v>
      </c>
      <c r="K198" s="35">
        <v>6.01</v>
      </c>
      <c r="L198" s="35">
        <v>83.01</v>
      </c>
    </row>
    <row r="199" spans="2:12" x14ac:dyDescent="0.35">
      <c r="B199" s="31">
        <v>44959</v>
      </c>
      <c r="C199" s="40" t="str">
        <f t="shared" si="3"/>
        <v>Feb</v>
      </c>
      <c r="D199" s="27" t="s">
        <v>188</v>
      </c>
      <c r="E199" s="32">
        <v>13165</v>
      </c>
      <c r="F199" s="28" t="s">
        <v>488</v>
      </c>
      <c r="G199" s="28" t="s">
        <v>474</v>
      </c>
      <c r="H199" s="26">
        <v>1</v>
      </c>
      <c r="I199" s="35">
        <v>68</v>
      </c>
      <c r="J199" s="35">
        <v>34</v>
      </c>
      <c r="K199" s="35">
        <v>2.65</v>
      </c>
      <c r="L199" s="35">
        <v>36.65</v>
      </c>
    </row>
    <row r="200" spans="2:12" x14ac:dyDescent="0.35">
      <c r="B200" s="31">
        <v>44959</v>
      </c>
      <c r="C200" s="40" t="str">
        <f t="shared" si="3"/>
        <v>Feb</v>
      </c>
      <c r="D200" s="27" t="s">
        <v>188</v>
      </c>
      <c r="E200" s="32">
        <v>13165</v>
      </c>
      <c r="F200" s="28" t="s">
        <v>481</v>
      </c>
      <c r="G200" s="28" t="s">
        <v>474</v>
      </c>
      <c r="H200" s="26">
        <v>1</v>
      </c>
      <c r="I200" s="35">
        <v>47</v>
      </c>
      <c r="J200" s="35">
        <v>23.5</v>
      </c>
      <c r="K200" s="35">
        <v>1.83</v>
      </c>
      <c r="L200" s="35">
        <v>25.33</v>
      </c>
    </row>
    <row r="201" spans="2:12" x14ac:dyDescent="0.35">
      <c r="B201" s="31">
        <v>44959</v>
      </c>
      <c r="C201" s="40" t="str">
        <f t="shared" si="3"/>
        <v>Feb</v>
      </c>
      <c r="D201" s="27" t="s">
        <v>188</v>
      </c>
      <c r="E201" s="32">
        <v>13165</v>
      </c>
      <c r="F201" s="28" t="s">
        <v>493</v>
      </c>
      <c r="G201" s="28" t="s">
        <v>474</v>
      </c>
      <c r="H201" s="26">
        <v>1</v>
      </c>
      <c r="I201" s="35">
        <v>150</v>
      </c>
      <c r="J201" s="35">
        <v>75</v>
      </c>
      <c r="K201" s="35">
        <v>5.85</v>
      </c>
      <c r="L201" s="35">
        <v>80.849999999999994</v>
      </c>
    </row>
    <row r="202" spans="2:12" x14ac:dyDescent="0.35">
      <c r="B202" s="31">
        <v>44959</v>
      </c>
      <c r="C202" s="40" t="str">
        <f t="shared" si="3"/>
        <v>Feb</v>
      </c>
      <c r="D202" s="27" t="s">
        <v>188</v>
      </c>
      <c r="E202" s="32">
        <v>13165</v>
      </c>
      <c r="F202" s="28" t="s">
        <v>489</v>
      </c>
      <c r="G202" s="28" t="s">
        <v>474</v>
      </c>
      <c r="H202" s="26">
        <v>1</v>
      </c>
      <c r="I202" s="35">
        <v>106</v>
      </c>
      <c r="J202" s="35">
        <v>53</v>
      </c>
      <c r="K202" s="35">
        <v>4.13</v>
      </c>
      <c r="L202" s="35">
        <v>57.13</v>
      </c>
    </row>
    <row r="203" spans="2:12" x14ac:dyDescent="0.35">
      <c r="B203" s="31">
        <v>44960</v>
      </c>
      <c r="C203" s="40" t="str">
        <f t="shared" si="3"/>
        <v>Feb</v>
      </c>
      <c r="D203" s="27" t="s">
        <v>189</v>
      </c>
      <c r="E203" s="32">
        <v>13089</v>
      </c>
      <c r="F203" s="28" t="s">
        <v>482</v>
      </c>
      <c r="G203" s="28" t="s">
        <v>476</v>
      </c>
      <c r="H203" s="26">
        <v>1</v>
      </c>
      <c r="I203" s="35">
        <v>180</v>
      </c>
      <c r="J203" s="35">
        <v>0</v>
      </c>
      <c r="K203" s="35">
        <v>14.04</v>
      </c>
      <c r="L203" s="35">
        <v>194.04</v>
      </c>
    </row>
    <row r="204" spans="2:12" x14ac:dyDescent="0.35">
      <c r="B204" s="31">
        <v>44960</v>
      </c>
      <c r="C204" s="40" t="str">
        <f t="shared" si="3"/>
        <v>Feb</v>
      </c>
      <c r="D204" s="27" t="s">
        <v>190</v>
      </c>
      <c r="E204" s="32">
        <v>15373</v>
      </c>
      <c r="F204" s="28" t="s">
        <v>482</v>
      </c>
      <c r="G204" s="28" t="s">
        <v>476</v>
      </c>
      <c r="H204" s="26">
        <v>1</v>
      </c>
      <c r="I204" s="35">
        <v>50</v>
      </c>
      <c r="J204" s="35">
        <v>0</v>
      </c>
      <c r="K204" s="35">
        <v>3.9</v>
      </c>
      <c r="L204" s="35">
        <v>53.9</v>
      </c>
    </row>
    <row r="205" spans="2:12" x14ac:dyDescent="0.35">
      <c r="B205" s="31">
        <v>44960</v>
      </c>
      <c r="C205" s="40" t="str">
        <f t="shared" si="3"/>
        <v>Feb</v>
      </c>
      <c r="D205" s="27" t="s">
        <v>190</v>
      </c>
      <c r="E205" s="32">
        <v>15373</v>
      </c>
      <c r="F205" s="28" t="s">
        <v>493</v>
      </c>
      <c r="G205" s="28" t="s">
        <v>476</v>
      </c>
      <c r="H205" s="26">
        <v>1</v>
      </c>
      <c r="I205" s="35">
        <v>50</v>
      </c>
      <c r="J205" s="35">
        <v>0</v>
      </c>
      <c r="K205" s="35">
        <v>0</v>
      </c>
      <c r="L205" s="35">
        <v>50</v>
      </c>
    </row>
    <row r="206" spans="2:12" x14ac:dyDescent="0.35">
      <c r="B206" s="31">
        <v>44960</v>
      </c>
      <c r="C206" s="40" t="str">
        <f t="shared" si="3"/>
        <v>Feb</v>
      </c>
      <c r="D206" s="27" t="s">
        <v>190</v>
      </c>
      <c r="E206" s="32">
        <v>15373</v>
      </c>
      <c r="F206" s="28" t="s">
        <v>490</v>
      </c>
      <c r="G206" s="28" t="s">
        <v>476</v>
      </c>
      <c r="H206" s="26">
        <v>1</v>
      </c>
      <c r="I206" s="35">
        <v>5</v>
      </c>
      <c r="J206" s="35">
        <v>0</v>
      </c>
      <c r="K206" s="35">
        <v>0.35</v>
      </c>
      <c r="L206" s="35">
        <v>5.35</v>
      </c>
    </row>
    <row r="207" spans="2:12" x14ac:dyDescent="0.35">
      <c r="B207" s="31">
        <v>44960</v>
      </c>
      <c r="C207" s="40" t="str">
        <f t="shared" si="3"/>
        <v>Feb</v>
      </c>
      <c r="D207" s="27" t="s">
        <v>190</v>
      </c>
      <c r="E207" s="32">
        <v>15373</v>
      </c>
      <c r="F207" s="28" t="s">
        <v>480</v>
      </c>
      <c r="G207" s="28" t="s">
        <v>476</v>
      </c>
      <c r="H207" s="26">
        <v>56</v>
      </c>
      <c r="I207" s="35">
        <v>6.5</v>
      </c>
      <c r="J207" s="35">
        <v>0</v>
      </c>
      <c r="K207" s="35">
        <v>0</v>
      </c>
      <c r="L207" s="35">
        <v>364</v>
      </c>
    </row>
    <row r="208" spans="2:12" x14ac:dyDescent="0.35">
      <c r="B208" s="31">
        <v>44960</v>
      </c>
      <c r="C208" s="40" t="str">
        <f t="shared" si="3"/>
        <v>Feb</v>
      </c>
      <c r="D208" s="27" t="s">
        <v>191</v>
      </c>
      <c r="E208" s="32">
        <v>173</v>
      </c>
      <c r="F208" s="28" t="s">
        <v>480</v>
      </c>
      <c r="G208" s="28" t="s">
        <v>474</v>
      </c>
      <c r="H208" s="26">
        <v>1</v>
      </c>
      <c r="I208" s="35">
        <v>0</v>
      </c>
      <c r="J208" s="35">
        <v>0</v>
      </c>
      <c r="K208" s="35">
        <v>0</v>
      </c>
      <c r="L208" s="35">
        <v>0</v>
      </c>
    </row>
    <row r="209" spans="2:12" x14ac:dyDescent="0.35">
      <c r="B209" s="31">
        <v>44960</v>
      </c>
      <c r="C209" s="40" t="str">
        <f t="shared" si="3"/>
        <v>Feb</v>
      </c>
      <c r="D209" s="27" t="s">
        <v>192</v>
      </c>
      <c r="E209" s="32">
        <v>16755</v>
      </c>
      <c r="F209" s="28" t="s">
        <v>494</v>
      </c>
      <c r="G209" s="28" t="s">
        <v>474</v>
      </c>
      <c r="H209" s="26">
        <v>1</v>
      </c>
      <c r="I209" s="35">
        <v>36</v>
      </c>
      <c r="J209" s="35">
        <v>0</v>
      </c>
      <c r="K209" s="35">
        <v>2.81</v>
      </c>
      <c r="L209" s="35">
        <v>38.81</v>
      </c>
    </row>
    <row r="210" spans="2:12" x14ac:dyDescent="0.35">
      <c r="B210" s="31">
        <v>44960</v>
      </c>
      <c r="C210" s="40" t="str">
        <f t="shared" si="3"/>
        <v>Feb</v>
      </c>
      <c r="D210" s="27" t="s">
        <v>192</v>
      </c>
      <c r="E210" s="32">
        <v>16755</v>
      </c>
      <c r="F210" s="28" t="s">
        <v>481</v>
      </c>
      <c r="G210" s="28" t="s">
        <v>474</v>
      </c>
      <c r="H210" s="26">
        <v>1</v>
      </c>
      <c r="I210" s="35">
        <v>47</v>
      </c>
      <c r="J210" s="35">
        <v>0</v>
      </c>
      <c r="K210" s="35">
        <v>3.67</v>
      </c>
      <c r="L210" s="35">
        <v>50.67</v>
      </c>
    </row>
    <row r="211" spans="2:12" x14ac:dyDescent="0.35">
      <c r="B211" s="31">
        <v>44960</v>
      </c>
      <c r="C211" s="40" t="str">
        <f t="shared" si="3"/>
        <v>Feb</v>
      </c>
      <c r="D211" s="27" t="s">
        <v>192</v>
      </c>
      <c r="E211" s="32">
        <v>16755</v>
      </c>
      <c r="F211" s="28" t="s">
        <v>482</v>
      </c>
      <c r="G211" s="28" t="s">
        <v>474</v>
      </c>
      <c r="H211" s="26">
        <v>1</v>
      </c>
      <c r="I211" s="35">
        <v>154</v>
      </c>
      <c r="J211" s="35">
        <v>0</v>
      </c>
      <c r="K211" s="35">
        <v>12.01</v>
      </c>
      <c r="L211" s="35">
        <v>166.01</v>
      </c>
    </row>
    <row r="212" spans="2:12" x14ac:dyDescent="0.35">
      <c r="B212" s="31">
        <v>44960</v>
      </c>
      <c r="C212" s="40" t="str">
        <f t="shared" si="3"/>
        <v>Feb</v>
      </c>
      <c r="D212" s="27" t="s">
        <v>193</v>
      </c>
      <c r="E212" s="32">
        <v>15417</v>
      </c>
      <c r="F212" s="28" t="s">
        <v>494</v>
      </c>
      <c r="G212" s="28" t="s">
        <v>476</v>
      </c>
      <c r="H212" s="26">
        <v>1</v>
      </c>
      <c r="I212" s="35">
        <v>0</v>
      </c>
      <c r="J212" s="35">
        <v>0</v>
      </c>
      <c r="K212" s="35">
        <v>0</v>
      </c>
      <c r="L212" s="35">
        <v>0</v>
      </c>
    </row>
    <row r="213" spans="2:12" x14ac:dyDescent="0.35">
      <c r="B213" s="31">
        <v>44963</v>
      </c>
      <c r="C213" s="40" t="str">
        <f t="shared" si="3"/>
        <v>Feb</v>
      </c>
      <c r="D213" s="27" t="s">
        <v>194</v>
      </c>
      <c r="E213" s="32">
        <v>958</v>
      </c>
      <c r="F213" s="28" t="s">
        <v>494</v>
      </c>
      <c r="G213" s="28" t="s">
        <v>473</v>
      </c>
      <c r="H213" s="26">
        <v>1</v>
      </c>
      <c r="I213" s="35">
        <v>200</v>
      </c>
      <c r="J213" s="35">
        <v>0</v>
      </c>
      <c r="K213" s="35">
        <v>0</v>
      </c>
      <c r="L213" s="35">
        <v>200</v>
      </c>
    </row>
    <row r="214" spans="2:12" x14ac:dyDescent="0.35">
      <c r="B214" s="31">
        <v>44963</v>
      </c>
      <c r="C214" s="40" t="str">
        <f t="shared" si="3"/>
        <v>Feb</v>
      </c>
      <c r="D214" s="27" t="s">
        <v>195</v>
      </c>
      <c r="E214" s="32">
        <v>247</v>
      </c>
      <c r="F214" s="28" t="s">
        <v>483</v>
      </c>
      <c r="G214" s="28" t="s">
        <v>473</v>
      </c>
      <c r="H214" s="26">
        <v>34</v>
      </c>
      <c r="I214" s="35">
        <v>12</v>
      </c>
      <c r="J214" s="35">
        <v>0</v>
      </c>
      <c r="K214" s="35">
        <v>0</v>
      </c>
      <c r="L214" s="35">
        <v>408</v>
      </c>
    </row>
    <row r="215" spans="2:12" x14ac:dyDescent="0.35">
      <c r="B215" s="31">
        <v>44963</v>
      </c>
      <c r="C215" s="40" t="str">
        <f t="shared" si="3"/>
        <v>Feb</v>
      </c>
      <c r="D215" s="27" t="s">
        <v>196</v>
      </c>
      <c r="E215" s="32">
        <v>13249</v>
      </c>
      <c r="F215" s="28" t="s">
        <v>489</v>
      </c>
      <c r="G215" s="28" t="s">
        <v>473</v>
      </c>
      <c r="H215" s="26">
        <v>2</v>
      </c>
      <c r="I215" s="35">
        <v>425</v>
      </c>
      <c r="J215" s="35">
        <v>0</v>
      </c>
      <c r="K215" s="35">
        <v>0</v>
      </c>
      <c r="L215" s="35">
        <v>850</v>
      </c>
    </row>
    <row r="216" spans="2:12" x14ac:dyDescent="0.35">
      <c r="B216" s="31">
        <v>44963</v>
      </c>
      <c r="C216" s="40" t="str">
        <f t="shared" si="3"/>
        <v>Feb</v>
      </c>
      <c r="D216" s="27" t="s">
        <v>196</v>
      </c>
      <c r="E216" s="32">
        <v>13249</v>
      </c>
      <c r="F216" s="28" t="s">
        <v>494</v>
      </c>
      <c r="G216" s="28" t="s">
        <v>473</v>
      </c>
      <c r="H216" s="26">
        <v>1</v>
      </c>
      <c r="I216" s="35">
        <v>675</v>
      </c>
      <c r="J216" s="35">
        <v>0</v>
      </c>
      <c r="K216" s="35">
        <v>0</v>
      </c>
      <c r="L216" s="35">
        <v>675</v>
      </c>
    </row>
    <row r="217" spans="2:12" x14ac:dyDescent="0.35">
      <c r="B217" s="31">
        <v>44963</v>
      </c>
      <c r="C217" s="40" t="str">
        <f t="shared" si="3"/>
        <v>Feb</v>
      </c>
      <c r="D217" s="27" t="s">
        <v>196</v>
      </c>
      <c r="E217" s="32">
        <v>13249</v>
      </c>
      <c r="F217" s="28" t="s">
        <v>486</v>
      </c>
      <c r="G217" s="28" t="s">
        <v>473</v>
      </c>
      <c r="H217" s="26">
        <v>2</v>
      </c>
      <c r="I217" s="35">
        <v>750</v>
      </c>
      <c r="J217" s="35">
        <v>0</v>
      </c>
      <c r="K217" s="35">
        <v>0</v>
      </c>
      <c r="L217" s="35">
        <v>1500</v>
      </c>
    </row>
    <row r="218" spans="2:12" x14ac:dyDescent="0.35">
      <c r="B218" s="31">
        <v>44963</v>
      </c>
      <c r="C218" s="40" t="str">
        <f t="shared" si="3"/>
        <v>Feb</v>
      </c>
      <c r="D218" s="27" t="s">
        <v>196</v>
      </c>
      <c r="E218" s="32">
        <v>13249</v>
      </c>
      <c r="F218" s="28" t="s">
        <v>487</v>
      </c>
      <c r="G218" s="28" t="s">
        <v>473</v>
      </c>
      <c r="H218" s="26">
        <v>1</v>
      </c>
      <c r="I218" s="35">
        <v>12.5</v>
      </c>
      <c r="J218" s="35">
        <v>0</v>
      </c>
      <c r="K218" s="35">
        <v>0.98</v>
      </c>
      <c r="L218" s="35">
        <v>13.48</v>
      </c>
    </row>
    <row r="219" spans="2:12" x14ac:dyDescent="0.35">
      <c r="B219" s="31">
        <v>44963</v>
      </c>
      <c r="C219" s="40" t="str">
        <f t="shared" si="3"/>
        <v>Feb</v>
      </c>
      <c r="D219" s="27" t="s">
        <v>197</v>
      </c>
      <c r="E219" s="32">
        <v>9736</v>
      </c>
      <c r="F219" s="28" t="s">
        <v>487</v>
      </c>
      <c r="G219" s="28" t="s">
        <v>473</v>
      </c>
      <c r="H219" s="26">
        <v>1</v>
      </c>
      <c r="I219" s="35">
        <v>12.5</v>
      </c>
      <c r="J219" s="35">
        <v>1.88</v>
      </c>
      <c r="K219" s="35">
        <v>0.83</v>
      </c>
      <c r="L219" s="35">
        <v>11.450000000000001</v>
      </c>
    </row>
    <row r="220" spans="2:12" x14ac:dyDescent="0.35">
      <c r="B220" s="31">
        <v>44963</v>
      </c>
      <c r="C220" s="40" t="str">
        <f t="shared" si="3"/>
        <v>Feb</v>
      </c>
      <c r="D220" s="27" t="s">
        <v>197</v>
      </c>
      <c r="E220" s="32">
        <v>9736</v>
      </c>
      <c r="F220" s="28" t="s">
        <v>484</v>
      </c>
      <c r="G220" s="28" t="s">
        <v>473</v>
      </c>
      <c r="H220" s="26">
        <v>3</v>
      </c>
      <c r="I220" s="35">
        <v>825</v>
      </c>
      <c r="J220" s="35">
        <v>0</v>
      </c>
      <c r="K220" s="35">
        <v>0</v>
      </c>
      <c r="L220" s="35">
        <v>2475</v>
      </c>
    </row>
    <row r="221" spans="2:12" x14ac:dyDescent="0.35">
      <c r="B221" s="31">
        <v>44963</v>
      </c>
      <c r="C221" s="40" t="str">
        <f t="shared" si="3"/>
        <v>Feb</v>
      </c>
      <c r="D221" s="27" t="s">
        <v>197</v>
      </c>
      <c r="E221" s="32">
        <v>9736</v>
      </c>
      <c r="F221" s="28" t="s">
        <v>483</v>
      </c>
      <c r="G221" s="28" t="s">
        <v>473</v>
      </c>
      <c r="H221" s="26">
        <v>1</v>
      </c>
      <c r="I221" s="35">
        <v>825</v>
      </c>
      <c r="J221" s="35">
        <v>0</v>
      </c>
      <c r="K221" s="35">
        <v>0</v>
      </c>
      <c r="L221" s="35">
        <v>825</v>
      </c>
    </row>
    <row r="222" spans="2:12" x14ac:dyDescent="0.35">
      <c r="B222" s="31">
        <v>44963</v>
      </c>
      <c r="C222" s="40" t="str">
        <f t="shared" si="3"/>
        <v>Feb</v>
      </c>
      <c r="D222" s="27" t="s">
        <v>197</v>
      </c>
      <c r="E222" s="32">
        <v>9736</v>
      </c>
      <c r="F222" s="28" t="s">
        <v>483</v>
      </c>
      <c r="G222" s="28" t="s">
        <v>473</v>
      </c>
      <c r="H222" s="26">
        <v>12</v>
      </c>
      <c r="I222" s="35">
        <v>12</v>
      </c>
      <c r="J222" s="35">
        <v>0</v>
      </c>
      <c r="K222" s="35">
        <v>0</v>
      </c>
      <c r="L222" s="35">
        <v>144</v>
      </c>
    </row>
    <row r="223" spans="2:12" x14ac:dyDescent="0.35">
      <c r="B223" s="31">
        <v>44963</v>
      </c>
      <c r="C223" s="40" t="str">
        <f t="shared" si="3"/>
        <v>Feb</v>
      </c>
      <c r="D223" s="27" t="s">
        <v>198</v>
      </c>
      <c r="E223" s="32">
        <v>247</v>
      </c>
      <c r="F223" s="28" t="s">
        <v>480</v>
      </c>
      <c r="G223" s="28" t="s">
        <v>474</v>
      </c>
      <c r="H223" s="26">
        <v>12</v>
      </c>
      <c r="I223" s="35">
        <v>0</v>
      </c>
      <c r="J223" s="35">
        <v>0</v>
      </c>
      <c r="K223" s="35">
        <v>0</v>
      </c>
      <c r="L223" s="35">
        <v>0</v>
      </c>
    </row>
    <row r="224" spans="2:12" x14ac:dyDescent="0.35">
      <c r="B224" s="31">
        <v>44963</v>
      </c>
      <c r="C224" s="40" t="str">
        <f t="shared" si="3"/>
        <v>Feb</v>
      </c>
      <c r="D224" s="27" t="s">
        <v>199</v>
      </c>
      <c r="E224" s="32">
        <v>920</v>
      </c>
      <c r="F224" s="28" t="s">
        <v>480</v>
      </c>
      <c r="G224" s="28" t="s">
        <v>474</v>
      </c>
      <c r="H224" s="26">
        <v>1</v>
      </c>
      <c r="I224" s="35">
        <v>0</v>
      </c>
      <c r="J224" s="35">
        <v>0</v>
      </c>
      <c r="K224" s="35">
        <v>0</v>
      </c>
      <c r="L224" s="35">
        <v>0</v>
      </c>
    </row>
    <row r="225" spans="2:12" x14ac:dyDescent="0.35">
      <c r="B225" s="31">
        <v>44964</v>
      </c>
      <c r="C225" s="40" t="str">
        <f t="shared" si="3"/>
        <v>Feb</v>
      </c>
      <c r="D225" s="27" t="s">
        <v>200</v>
      </c>
      <c r="E225" s="32">
        <v>15445</v>
      </c>
      <c r="F225" s="28" t="s">
        <v>494</v>
      </c>
      <c r="G225" s="28" t="s">
        <v>476</v>
      </c>
      <c r="H225" s="26">
        <v>1</v>
      </c>
      <c r="I225" s="35">
        <v>750</v>
      </c>
      <c r="J225" s="35">
        <v>0</v>
      </c>
      <c r="K225" s="35">
        <v>58.5</v>
      </c>
      <c r="L225" s="35">
        <v>808.5</v>
      </c>
    </row>
    <row r="226" spans="2:12" x14ac:dyDescent="0.35">
      <c r="B226" s="31">
        <v>44964</v>
      </c>
      <c r="C226" s="40" t="str">
        <f t="shared" si="3"/>
        <v>Feb</v>
      </c>
      <c r="D226" s="27" t="s">
        <v>201</v>
      </c>
      <c r="E226" s="32">
        <v>15396</v>
      </c>
      <c r="F226" s="28" t="s">
        <v>482</v>
      </c>
      <c r="G226" s="28" t="s">
        <v>476</v>
      </c>
      <c r="H226" s="26">
        <v>1</v>
      </c>
      <c r="I226" s="35">
        <v>180</v>
      </c>
      <c r="J226" s="35">
        <v>0</v>
      </c>
      <c r="K226" s="35">
        <v>14.04</v>
      </c>
      <c r="L226" s="35">
        <v>194.04</v>
      </c>
    </row>
    <row r="227" spans="2:12" x14ac:dyDescent="0.35">
      <c r="B227" s="31">
        <v>44964</v>
      </c>
      <c r="C227" s="40" t="str">
        <f t="shared" si="3"/>
        <v>Feb</v>
      </c>
      <c r="D227" s="27" t="s">
        <v>201</v>
      </c>
      <c r="E227" s="32">
        <v>15396</v>
      </c>
      <c r="F227" s="28" t="s">
        <v>480</v>
      </c>
      <c r="G227" s="28" t="s">
        <v>476</v>
      </c>
      <c r="H227" s="26">
        <v>14</v>
      </c>
      <c r="I227" s="35">
        <v>15</v>
      </c>
      <c r="J227" s="35">
        <v>0</v>
      </c>
      <c r="K227" s="35">
        <v>0</v>
      </c>
      <c r="L227" s="35">
        <v>210</v>
      </c>
    </row>
    <row r="228" spans="2:12" x14ac:dyDescent="0.35">
      <c r="B228" s="31">
        <v>44964</v>
      </c>
      <c r="C228" s="40" t="str">
        <f t="shared" si="3"/>
        <v>Feb</v>
      </c>
      <c r="D228" s="27" t="s">
        <v>202</v>
      </c>
      <c r="E228" s="32">
        <v>13161</v>
      </c>
      <c r="F228" s="28" t="s">
        <v>495</v>
      </c>
      <c r="G228" s="28" t="s">
        <v>475</v>
      </c>
      <c r="H228" s="26">
        <v>1</v>
      </c>
      <c r="I228" s="35">
        <v>37</v>
      </c>
      <c r="J228" s="35">
        <v>0</v>
      </c>
      <c r="K228" s="35">
        <v>2.89</v>
      </c>
      <c r="L228" s="35">
        <v>39.89</v>
      </c>
    </row>
    <row r="229" spans="2:12" x14ac:dyDescent="0.35">
      <c r="B229" s="31">
        <v>44964</v>
      </c>
      <c r="C229" s="40" t="str">
        <f t="shared" si="3"/>
        <v>Feb</v>
      </c>
      <c r="D229" s="27" t="s">
        <v>203</v>
      </c>
      <c r="E229" s="32">
        <v>15490</v>
      </c>
      <c r="F229" s="28" t="s">
        <v>480</v>
      </c>
      <c r="G229" s="28" t="s">
        <v>474</v>
      </c>
      <c r="H229" s="26">
        <v>1</v>
      </c>
      <c r="I229" s="35">
        <v>75</v>
      </c>
      <c r="J229" s="35">
        <v>0</v>
      </c>
      <c r="K229" s="35">
        <v>0</v>
      </c>
      <c r="L229" s="35">
        <v>75</v>
      </c>
    </row>
    <row r="230" spans="2:12" x14ac:dyDescent="0.35">
      <c r="B230" s="31">
        <v>44965</v>
      </c>
      <c r="C230" s="40" t="str">
        <f t="shared" si="3"/>
        <v>Feb</v>
      </c>
      <c r="D230" s="27" t="s">
        <v>204</v>
      </c>
      <c r="E230" s="32">
        <v>94</v>
      </c>
      <c r="F230" s="28" t="s">
        <v>480</v>
      </c>
      <c r="G230" s="28" t="s">
        <v>473</v>
      </c>
      <c r="H230" s="26">
        <v>32</v>
      </c>
      <c r="I230" s="35">
        <v>15</v>
      </c>
      <c r="J230" s="35">
        <v>0</v>
      </c>
      <c r="K230" s="35">
        <v>0</v>
      </c>
      <c r="L230" s="35">
        <v>480</v>
      </c>
    </row>
    <row r="231" spans="2:12" x14ac:dyDescent="0.35">
      <c r="B231" s="31">
        <v>44965</v>
      </c>
      <c r="C231" s="40" t="str">
        <f t="shared" si="3"/>
        <v>Feb</v>
      </c>
      <c r="D231" s="27" t="s">
        <v>205</v>
      </c>
      <c r="E231" s="32">
        <v>13359</v>
      </c>
      <c r="F231" s="28" t="s">
        <v>480</v>
      </c>
      <c r="G231" s="28" t="s">
        <v>473</v>
      </c>
      <c r="H231" s="26">
        <v>24</v>
      </c>
      <c r="I231" s="35">
        <v>15</v>
      </c>
      <c r="J231" s="35">
        <v>0</v>
      </c>
      <c r="K231" s="35">
        <v>0</v>
      </c>
      <c r="L231" s="35">
        <v>360</v>
      </c>
    </row>
    <row r="232" spans="2:12" x14ac:dyDescent="0.35">
      <c r="B232" s="31">
        <v>44965</v>
      </c>
      <c r="C232" s="40" t="str">
        <f t="shared" si="3"/>
        <v>Feb</v>
      </c>
      <c r="D232" s="27" t="s">
        <v>206</v>
      </c>
      <c r="E232" s="32">
        <v>227</v>
      </c>
      <c r="F232" s="28" t="s">
        <v>480</v>
      </c>
      <c r="G232" s="28" t="s">
        <v>473</v>
      </c>
      <c r="H232" s="26">
        <v>60</v>
      </c>
      <c r="I232" s="35">
        <v>15</v>
      </c>
      <c r="J232" s="35">
        <v>0</v>
      </c>
      <c r="K232" s="35">
        <v>0</v>
      </c>
      <c r="L232" s="35">
        <v>900</v>
      </c>
    </row>
    <row r="233" spans="2:12" x14ac:dyDescent="0.35">
      <c r="B233" s="31">
        <v>44965</v>
      </c>
      <c r="C233" s="40" t="str">
        <f t="shared" si="3"/>
        <v>Feb</v>
      </c>
      <c r="D233" s="27" t="s">
        <v>207</v>
      </c>
      <c r="E233" s="32">
        <v>8548</v>
      </c>
      <c r="F233" s="28" t="s">
        <v>482</v>
      </c>
      <c r="G233" s="28" t="s">
        <v>475</v>
      </c>
      <c r="H233" s="26">
        <v>1</v>
      </c>
      <c r="I233" s="35">
        <v>154</v>
      </c>
      <c r="J233" s="35">
        <v>23.1</v>
      </c>
      <c r="K233" s="35">
        <v>10.210000000000001</v>
      </c>
      <c r="L233" s="35">
        <v>141.11000000000001</v>
      </c>
    </row>
    <row r="234" spans="2:12" x14ac:dyDescent="0.35">
      <c r="B234" s="31">
        <v>44965</v>
      </c>
      <c r="C234" s="40" t="str">
        <f t="shared" si="3"/>
        <v>Feb</v>
      </c>
      <c r="D234" s="27" t="s">
        <v>207</v>
      </c>
      <c r="E234" s="32">
        <v>8548</v>
      </c>
      <c r="F234" s="28" t="s">
        <v>481</v>
      </c>
      <c r="G234" s="28" t="s">
        <v>475</v>
      </c>
      <c r="H234" s="26">
        <v>1</v>
      </c>
      <c r="I234" s="35">
        <v>155</v>
      </c>
      <c r="J234" s="35">
        <v>23.25</v>
      </c>
      <c r="K234" s="35">
        <v>10.28</v>
      </c>
      <c r="L234" s="35">
        <v>142.03</v>
      </c>
    </row>
    <row r="235" spans="2:12" x14ac:dyDescent="0.35">
      <c r="B235" s="31">
        <v>44965</v>
      </c>
      <c r="C235" s="40" t="str">
        <f t="shared" si="3"/>
        <v>Feb</v>
      </c>
      <c r="D235" s="27" t="s">
        <v>207</v>
      </c>
      <c r="E235" s="32">
        <v>8548</v>
      </c>
      <c r="F235" s="28" t="s">
        <v>481</v>
      </c>
      <c r="G235" s="28" t="s">
        <v>475</v>
      </c>
      <c r="H235" s="26">
        <v>1</v>
      </c>
      <c r="I235" s="35">
        <v>47</v>
      </c>
      <c r="J235" s="35">
        <v>7.05</v>
      </c>
      <c r="K235" s="35">
        <v>3.12</v>
      </c>
      <c r="L235" s="35">
        <v>43.07</v>
      </c>
    </row>
    <row r="236" spans="2:12" x14ac:dyDescent="0.35">
      <c r="B236" s="31">
        <v>44965</v>
      </c>
      <c r="C236" s="40" t="str">
        <f t="shared" si="3"/>
        <v>Feb</v>
      </c>
      <c r="D236" s="27" t="s">
        <v>208</v>
      </c>
      <c r="E236" s="32">
        <v>16780</v>
      </c>
      <c r="F236" s="28" t="s">
        <v>482</v>
      </c>
      <c r="G236" s="28" t="s">
        <v>475</v>
      </c>
      <c r="H236" s="26">
        <v>1</v>
      </c>
      <c r="I236" s="35">
        <v>180</v>
      </c>
      <c r="J236" s="35">
        <v>0</v>
      </c>
      <c r="K236" s="35">
        <v>14.04</v>
      </c>
      <c r="L236" s="35">
        <v>194.04</v>
      </c>
    </row>
    <row r="237" spans="2:12" x14ac:dyDescent="0.35">
      <c r="B237" s="31">
        <v>44965</v>
      </c>
      <c r="C237" s="40" t="str">
        <f t="shared" si="3"/>
        <v>Feb</v>
      </c>
      <c r="D237" s="27" t="s">
        <v>209</v>
      </c>
      <c r="E237" s="32">
        <v>559</v>
      </c>
      <c r="F237" s="28" t="s">
        <v>480</v>
      </c>
      <c r="G237" s="28" t="s">
        <v>474</v>
      </c>
      <c r="H237" s="26">
        <v>1</v>
      </c>
      <c r="I237" s="35">
        <v>75</v>
      </c>
      <c r="J237" s="35">
        <v>0</v>
      </c>
      <c r="K237" s="35">
        <v>0</v>
      </c>
      <c r="L237" s="35">
        <v>75</v>
      </c>
    </row>
    <row r="238" spans="2:12" x14ac:dyDescent="0.35">
      <c r="B238" s="31">
        <v>44965</v>
      </c>
      <c r="C238" s="40" t="str">
        <f t="shared" si="3"/>
        <v>Feb</v>
      </c>
      <c r="D238" s="27" t="s">
        <v>210</v>
      </c>
      <c r="E238" s="32">
        <v>234</v>
      </c>
      <c r="F238" s="28" t="s">
        <v>480</v>
      </c>
      <c r="G238" s="28" t="s">
        <v>473</v>
      </c>
      <c r="H238" s="26">
        <v>24</v>
      </c>
      <c r="I238" s="35">
        <v>15</v>
      </c>
      <c r="J238" s="35">
        <v>0</v>
      </c>
      <c r="K238" s="35">
        <v>0</v>
      </c>
      <c r="L238" s="35">
        <v>360</v>
      </c>
    </row>
    <row r="239" spans="2:12" x14ac:dyDescent="0.35">
      <c r="B239" s="31">
        <v>44966</v>
      </c>
      <c r="C239" s="40" t="str">
        <f t="shared" si="3"/>
        <v>Feb</v>
      </c>
      <c r="D239" s="27" t="s">
        <v>211</v>
      </c>
      <c r="E239" s="32">
        <v>16530</v>
      </c>
      <c r="F239" s="28" t="s">
        <v>482</v>
      </c>
      <c r="G239" s="28" t="s">
        <v>475</v>
      </c>
      <c r="H239" s="26">
        <v>1</v>
      </c>
      <c r="I239" s="35">
        <v>180</v>
      </c>
      <c r="J239" s="35">
        <v>45</v>
      </c>
      <c r="K239" s="35">
        <v>10.53</v>
      </c>
      <c r="L239" s="35">
        <v>145.53</v>
      </c>
    </row>
    <row r="240" spans="2:12" x14ac:dyDescent="0.35">
      <c r="B240" s="31">
        <v>44966</v>
      </c>
      <c r="C240" s="40" t="str">
        <f t="shared" si="3"/>
        <v>Feb</v>
      </c>
      <c r="D240" s="27" t="s">
        <v>212</v>
      </c>
      <c r="E240" s="32">
        <v>16716</v>
      </c>
      <c r="F240" s="28" t="s">
        <v>491</v>
      </c>
      <c r="G240" s="28" t="s">
        <v>475</v>
      </c>
      <c r="H240" s="26">
        <v>1</v>
      </c>
      <c r="I240" s="35">
        <v>350</v>
      </c>
      <c r="J240" s="35">
        <v>0</v>
      </c>
      <c r="K240" s="35">
        <v>24.5</v>
      </c>
      <c r="L240" s="35">
        <v>374.5</v>
      </c>
    </row>
    <row r="241" spans="2:12" x14ac:dyDescent="0.35">
      <c r="B241" s="31">
        <v>44966</v>
      </c>
      <c r="C241" s="40" t="str">
        <f t="shared" si="3"/>
        <v>Feb</v>
      </c>
      <c r="D241" s="27" t="s">
        <v>213</v>
      </c>
      <c r="E241" s="32">
        <v>4120</v>
      </c>
      <c r="F241" s="28" t="s">
        <v>486</v>
      </c>
      <c r="G241" s="28" t="s">
        <v>476</v>
      </c>
      <c r="H241" s="26">
        <v>2</v>
      </c>
      <c r="I241" s="35">
        <v>650</v>
      </c>
      <c r="J241" s="35">
        <v>150</v>
      </c>
      <c r="K241" s="35">
        <v>0</v>
      </c>
      <c r="L241" s="35">
        <v>1150</v>
      </c>
    </row>
    <row r="242" spans="2:12" x14ac:dyDescent="0.35">
      <c r="B242" s="31">
        <v>44966</v>
      </c>
      <c r="C242" s="40" t="str">
        <f t="shared" si="3"/>
        <v>Feb</v>
      </c>
      <c r="D242" s="27" t="s">
        <v>214</v>
      </c>
      <c r="E242" s="32">
        <v>13282</v>
      </c>
      <c r="F242" s="28" t="s">
        <v>482</v>
      </c>
      <c r="G242" s="28" t="s">
        <v>475</v>
      </c>
      <c r="H242" s="26">
        <v>1</v>
      </c>
      <c r="I242" s="35">
        <v>50</v>
      </c>
      <c r="J242" s="35">
        <v>0</v>
      </c>
      <c r="K242" s="35">
        <v>3.9</v>
      </c>
      <c r="L242" s="35">
        <v>53.9</v>
      </c>
    </row>
    <row r="243" spans="2:12" x14ac:dyDescent="0.35">
      <c r="B243" s="31">
        <v>44966</v>
      </c>
      <c r="C243" s="40" t="str">
        <f t="shared" si="3"/>
        <v>Feb</v>
      </c>
      <c r="D243" s="27" t="s">
        <v>215</v>
      </c>
      <c r="E243" s="32">
        <v>629</v>
      </c>
      <c r="F243" s="28" t="s">
        <v>482</v>
      </c>
      <c r="G243" s="28" t="s">
        <v>476</v>
      </c>
      <c r="H243" s="26">
        <v>1</v>
      </c>
      <c r="I243" s="35">
        <v>180</v>
      </c>
      <c r="J243" s="35">
        <v>0</v>
      </c>
      <c r="K243" s="35">
        <v>14.04</v>
      </c>
      <c r="L243" s="35">
        <v>194.04</v>
      </c>
    </row>
    <row r="244" spans="2:12" x14ac:dyDescent="0.35">
      <c r="B244" s="31">
        <v>44966</v>
      </c>
      <c r="C244" s="40" t="str">
        <f t="shared" si="3"/>
        <v>Feb</v>
      </c>
      <c r="D244" s="27" t="s">
        <v>216</v>
      </c>
      <c r="E244" s="32">
        <v>201</v>
      </c>
      <c r="F244" s="28" t="s">
        <v>491</v>
      </c>
      <c r="G244" s="28" t="s">
        <v>474</v>
      </c>
      <c r="H244" s="26">
        <v>1</v>
      </c>
      <c r="I244" s="35">
        <v>175</v>
      </c>
      <c r="J244" s="35">
        <v>87.5</v>
      </c>
      <c r="K244" s="35">
        <v>0</v>
      </c>
      <c r="L244" s="35">
        <v>87.5</v>
      </c>
    </row>
    <row r="245" spans="2:12" x14ac:dyDescent="0.35">
      <c r="B245" s="31">
        <v>44966</v>
      </c>
      <c r="C245" s="40" t="str">
        <f t="shared" si="3"/>
        <v>Feb</v>
      </c>
      <c r="D245" s="27" t="s">
        <v>217</v>
      </c>
      <c r="E245" s="32">
        <v>151</v>
      </c>
      <c r="F245" s="28" t="s">
        <v>495</v>
      </c>
      <c r="G245" s="28" t="s">
        <v>474</v>
      </c>
      <c r="H245" s="26">
        <v>1</v>
      </c>
      <c r="I245" s="35">
        <v>130</v>
      </c>
      <c r="J245" s="35">
        <v>0</v>
      </c>
      <c r="K245" s="35">
        <v>10.14</v>
      </c>
      <c r="L245" s="35">
        <v>140.13999999999999</v>
      </c>
    </row>
    <row r="246" spans="2:12" x14ac:dyDescent="0.35">
      <c r="B246" s="31">
        <v>44967</v>
      </c>
      <c r="C246" s="40" t="str">
        <f t="shared" si="3"/>
        <v>Feb</v>
      </c>
      <c r="D246" s="27" t="s">
        <v>218</v>
      </c>
      <c r="E246" s="32">
        <v>15438</v>
      </c>
      <c r="F246" s="28" t="s">
        <v>480</v>
      </c>
      <c r="G246" s="28" t="s">
        <v>476</v>
      </c>
      <c r="H246" s="26">
        <v>22</v>
      </c>
      <c r="I246" s="35">
        <v>15</v>
      </c>
      <c r="J246" s="35">
        <v>0</v>
      </c>
      <c r="K246" s="35">
        <v>0</v>
      </c>
      <c r="L246" s="35">
        <v>330</v>
      </c>
    </row>
    <row r="247" spans="2:12" x14ac:dyDescent="0.35">
      <c r="B247" s="31">
        <v>44967</v>
      </c>
      <c r="C247" s="40" t="str">
        <f t="shared" si="3"/>
        <v>Feb</v>
      </c>
      <c r="D247" s="27" t="s">
        <v>219</v>
      </c>
      <c r="E247" s="32">
        <v>15481</v>
      </c>
      <c r="F247" s="28" t="s">
        <v>482</v>
      </c>
      <c r="G247" s="28" t="s">
        <v>476</v>
      </c>
      <c r="H247" s="26">
        <v>7</v>
      </c>
      <c r="I247" s="35">
        <v>15</v>
      </c>
      <c r="J247" s="35">
        <v>0</v>
      </c>
      <c r="K247" s="35">
        <v>0</v>
      </c>
      <c r="L247" s="35">
        <v>105</v>
      </c>
    </row>
    <row r="248" spans="2:12" x14ac:dyDescent="0.35">
      <c r="B248" s="31">
        <v>44967</v>
      </c>
      <c r="C248" s="40" t="str">
        <f t="shared" si="3"/>
        <v>Feb</v>
      </c>
      <c r="D248" s="27" t="s">
        <v>220</v>
      </c>
      <c r="E248" s="32">
        <v>8577</v>
      </c>
      <c r="F248" s="28" t="s">
        <v>485</v>
      </c>
      <c r="G248" s="28" t="s">
        <v>474</v>
      </c>
      <c r="H248" s="26">
        <v>1</v>
      </c>
      <c r="I248" s="35">
        <v>169</v>
      </c>
      <c r="J248" s="35">
        <v>84.5</v>
      </c>
      <c r="K248" s="35">
        <v>6.59</v>
      </c>
      <c r="L248" s="35">
        <v>91.09</v>
      </c>
    </row>
    <row r="249" spans="2:12" x14ac:dyDescent="0.35">
      <c r="B249" s="31">
        <v>44967</v>
      </c>
      <c r="C249" s="40" t="str">
        <f t="shared" si="3"/>
        <v>Feb</v>
      </c>
      <c r="D249" s="27" t="s">
        <v>221</v>
      </c>
      <c r="E249" s="32">
        <v>12925</v>
      </c>
      <c r="F249" s="28" t="s">
        <v>492</v>
      </c>
      <c r="G249" s="28" t="s">
        <v>476</v>
      </c>
      <c r="H249" s="26">
        <v>1</v>
      </c>
      <c r="I249" s="35">
        <v>50</v>
      </c>
      <c r="J249" s="35">
        <v>0</v>
      </c>
      <c r="K249" s="35">
        <v>3.9</v>
      </c>
      <c r="L249" s="35">
        <v>53.9</v>
      </c>
    </row>
    <row r="250" spans="2:12" x14ac:dyDescent="0.35">
      <c r="B250" s="31">
        <v>44970</v>
      </c>
      <c r="C250" s="40" t="str">
        <f t="shared" si="3"/>
        <v>Feb</v>
      </c>
      <c r="D250" s="27" t="s">
        <v>222</v>
      </c>
      <c r="E250" s="32">
        <v>271</v>
      </c>
      <c r="F250" s="28" t="s">
        <v>480</v>
      </c>
      <c r="G250" s="28" t="s">
        <v>473</v>
      </c>
      <c r="H250" s="26">
        <v>36</v>
      </c>
      <c r="I250" s="35">
        <v>15</v>
      </c>
      <c r="J250" s="35">
        <v>0</v>
      </c>
      <c r="K250" s="35">
        <v>0</v>
      </c>
      <c r="L250" s="35">
        <v>540</v>
      </c>
    </row>
    <row r="251" spans="2:12" x14ac:dyDescent="0.35">
      <c r="B251" s="31">
        <v>44970</v>
      </c>
      <c r="C251" s="40" t="str">
        <f t="shared" si="3"/>
        <v>Feb</v>
      </c>
      <c r="D251" s="27" t="s">
        <v>223</v>
      </c>
      <c r="E251" s="32">
        <v>930</v>
      </c>
      <c r="F251" s="28" t="s">
        <v>495</v>
      </c>
      <c r="G251" s="28" t="s">
        <v>473</v>
      </c>
      <c r="H251" s="26">
        <v>1</v>
      </c>
      <c r="I251" s="35">
        <v>275</v>
      </c>
      <c r="J251" s="35">
        <v>0</v>
      </c>
      <c r="K251" s="35">
        <v>21.45</v>
      </c>
      <c r="L251" s="35">
        <v>296.45</v>
      </c>
    </row>
    <row r="252" spans="2:12" x14ac:dyDescent="0.35">
      <c r="B252" s="31">
        <v>44970</v>
      </c>
      <c r="C252" s="40" t="str">
        <f t="shared" si="3"/>
        <v>Feb</v>
      </c>
      <c r="D252" s="27" t="s">
        <v>224</v>
      </c>
      <c r="E252" s="32">
        <v>345</v>
      </c>
      <c r="F252" s="28" t="s">
        <v>490</v>
      </c>
      <c r="G252" s="28" t="s">
        <v>475</v>
      </c>
      <c r="H252" s="26">
        <v>1</v>
      </c>
      <c r="I252" s="35">
        <v>5</v>
      </c>
      <c r="J252" s="35">
        <v>0</v>
      </c>
      <c r="K252" s="35">
        <v>0.35</v>
      </c>
      <c r="L252" s="35">
        <v>5.35</v>
      </c>
    </row>
    <row r="253" spans="2:12" x14ac:dyDescent="0.35">
      <c r="B253" s="31">
        <v>44970</v>
      </c>
      <c r="C253" s="40" t="str">
        <f t="shared" si="3"/>
        <v>Feb</v>
      </c>
      <c r="D253" s="27" t="s">
        <v>224</v>
      </c>
      <c r="E253" s="32">
        <v>345</v>
      </c>
      <c r="F253" s="28" t="s">
        <v>495</v>
      </c>
      <c r="G253" s="28" t="s">
        <v>475</v>
      </c>
      <c r="H253" s="26">
        <v>1</v>
      </c>
      <c r="I253" s="35">
        <v>5</v>
      </c>
      <c r="J253" s="35">
        <v>0</v>
      </c>
      <c r="K253" s="35">
        <v>0.35</v>
      </c>
      <c r="L253" s="35">
        <v>5.35</v>
      </c>
    </row>
    <row r="254" spans="2:12" x14ac:dyDescent="0.35">
      <c r="B254" s="31">
        <v>44970</v>
      </c>
      <c r="C254" s="40" t="str">
        <f t="shared" si="3"/>
        <v>Feb</v>
      </c>
      <c r="D254" s="27" t="s">
        <v>225</v>
      </c>
      <c r="E254" s="32">
        <v>8590</v>
      </c>
      <c r="F254" s="28" t="s">
        <v>495</v>
      </c>
      <c r="G254" s="28" t="s">
        <v>473</v>
      </c>
      <c r="H254" s="26">
        <v>1</v>
      </c>
      <c r="I254" s="35">
        <v>0</v>
      </c>
      <c r="J254" s="35">
        <v>0</v>
      </c>
      <c r="K254" s="35">
        <v>0</v>
      </c>
      <c r="L254" s="35">
        <v>0</v>
      </c>
    </row>
    <row r="255" spans="2:12" x14ac:dyDescent="0.35">
      <c r="B255" s="31">
        <v>44970</v>
      </c>
      <c r="C255" s="40" t="str">
        <f t="shared" si="3"/>
        <v>Feb</v>
      </c>
      <c r="D255" s="27" t="s">
        <v>226</v>
      </c>
      <c r="E255" s="32">
        <v>13175</v>
      </c>
      <c r="F255" s="28" t="s">
        <v>480</v>
      </c>
      <c r="G255" s="28" t="s">
        <v>473</v>
      </c>
      <c r="H255" s="26">
        <v>66</v>
      </c>
      <c r="I255" s="35">
        <v>15</v>
      </c>
      <c r="J255" s="35">
        <v>0</v>
      </c>
      <c r="K255" s="35">
        <v>0</v>
      </c>
      <c r="L255" s="35">
        <v>990</v>
      </c>
    </row>
    <row r="256" spans="2:12" x14ac:dyDescent="0.35">
      <c r="B256" s="31">
        <v>44970</v>
      </c>
      <c r="C256" s="40" t="str">
        <f t="shared" si="3"/>
        <v>Feb</v>
      </c>
      <c r="D256" s="27" t="s">
        <v>227</v>
      </c>
      <c r="E256" s="32">
        <v>5376</v>
      </c>
      <c r="F256" s="28" t="s">
        <v>480</v>
      </c>
      <c r="G256" s="28" t="s">
        <v>473</v>
      </c>
      <c r="H256" s="26">
        <v>50</v>
      </c>
      <c r="I256" s="35">
        <v>15</v>
      </c>
      <c r="J256" s="35">
        <v>0</v>
      </c>
      <c r="K256" s="35">
        <v>0</v>
      </c>
      <c r="L256" s="35">
        <v>750</v>
      </c>
    </row>
    <row r="257" spans="2:12" x14ac:dyDescent="0.35">
      <c r="B257" s="31">
        <v>44970</v>
      </c>
      <c r="C257" s="40" t="str">
        <f t="shared" si="3"/>
        <v>Feb</v>
      </c>
      <c r="D257" s="27" t="s">
        <v>227</v>
      </c>
      <c r="E257" s="32">
        <v>5376</v>
      </c>
      <c r="F257" s="28" t="s">
        <v>496</v>
      </c>
      <c r="G257" s="28" t="s">
        <v>473</v>
      </c>
      <c r="H257" s="26">
        <v>1</v>
      </c>
      <c r="I257" s="35">
        <v>20</v>
      </c>
      <c r="J257" s="35">
        <v>0</v>
      </c>
      <c r="K257" s="35">
        <v>1.56</v>
      </c>
      <c r="L257" s="35">
        <v>21.56</v>
      </c>
    </row>
    <row r="258" spans="2:12" x14ac:dyDescent="0.35">
      <c r="B258" s="31">
        <v>44970</v>
      </c>
      <c r="C258" s="40" t="str">
        <f t="shared" si="3"/>
        <v>Feb</v>
      </c>
      <c r="D258" s="27" t="s">
        <v>228</v>
      </c>
      <c r="E258" s="32">
        <v>16787</v>
      </c>
      <c r="F258" s="28" t="s">
        <v>496</v>
      </c>
      <c r="G258" s="28" t="s">
        <v>473</v>
      </c>
      <c r="H258" s="26">
        <v>1</v>
      </c>
      <c r="I258" s="35">
        <v>0</v>
      </c>
      <c r="J258" s="35">
        <v>0</v>
      </c>
      <c r="K258" s="35">
        <v>0</v>
      </c>
      <c r="L258" s="35">
        <v>0</v>
      </c>
    </row>
    <row r="259" spans="2:12" x14ac:dyDescent="0.35">
      <c r="B259" s="31">
        <v>44970</v>
      </c>
      <c r="C259" s="40" t="str">
        <f t="shared" si="3"/>
        <v>Feb</v>
      </c>
      <c r="D259" s="27" t="s">
        <v>229</v>
      </c>
      <c r="E259" s="32">
        <v>1007</v>
      </c>
      <c r="F259" s="28" t="s">
        <v>483</v>
      </c>
      <c r="G259" s="28" t="s">
        <v>473</v>
      </c>
      <c r="H259" s="26">
        <v>1</v>
      </c>
      <c r="I259" s="35">
        <v>1000</v>
      </c>
      <c r="J259" s="35">
        <v>0</v>
      </c>
      <c r="K259" s="35">
        <v>0</v>
      </c>
      <c r="L259" s="35">
        <v>1000</v>
      </c>
    </row>
    <row r="260" spans="2:12" x14ac:dyDescent="0.35">
      <c r="B260" s="31">
        <v>44970</v>
      </c>
      <c r="C260" s="40" t="str">
        <f t="shared" si="3"/>
        <v>Feb</v>
      </c>
      <c r="D260" s="27" t="s">
        <v>230</v>
      </c>
      <c r="E260" s="32">
        <v>12898</v>
      </c>
      <c r="F260" s="28" t="s">
        <v>480</v>
      </c>
      <c r="G260" s="28" t="s">
        <v>474</v>
      </c>
      <c r="H260" s="26">
        <v>1</v>
      </c>
      <c r="I260" s="35">
        <v>0</v>
      </c>
      <c r="J260" s="35">
        <v>0</v>
      </c>
      <c r="K260" s="35">
        <v>0</v>
      </c>
      <c r="L260" s="35">
        <v>0</v>
      </c>
    </row>
    <row r="261" spans="2:12" x14ac:dyDescent="0.35">
      <c r="B261" s="31">
        <v>44970</v>
      </c>
      <c r="C261" s="40" t="str">
        <f t="shared" si="3"/>
        <v>Feb</v>
      </c>
      <c r="D261" s="27" t="s">
        <v>231</v>
      </c>
      <c r="E261" s="32">
        <v>13351</v>
      </c>
      <c r="F261" s="28" t="s">
        <v>496</v>
      </c>
      <c r="G261" s="28" t="s">
        <v>475</v>
      </c>
      <c r="H261" s="26">
        <v>1</v>
      </c>
      <c r="I261" s="35">
        <v>95</v>
      </c>
      <c r="J261" s="35">
        <v>0</v>
      </c>
      <c r="K261" s="35">
        <v>7.41</v>
      </c>
      <c r="L261" s="35">
        <v>102.41</v>
      </c>
    </row>
    <row r="262" spans="2:12" x14ac:dyDescent="0.35">
      <c r="B262" s="31">
        <v>44971</v>
      </c>
      <c r="C262" s="40" t="str">
        <f t="shared" ref="C262:C325" si="4">TEXT(B262,"MMM")</f>
        <v>Feb</v>
      </c>
      <c r="D262" s="27" t="s">
        <v>232</v>
      </c>
      <c r="E262" s="32">
        <v>8656</v>
      </c>
      <c r="F262" s="28" t="s">
        <v>487</v>
      </c>
      <c r="G262" s="28" t="s">
        <v>476</v>
      </c>
      <c r="H262" s="26">
        <v>1</v>
      </c>
      <c r="I262" s="35">
        <v>50</v>
      </c>
      <c r="J262" s="35">
        <v>0</v>
      </c>
      <c r="K262" s="35">
        <v>3.9</v>
      </c>
      <c r="L262" s="35">
        <v>53.9</v>
      </c>
    </row>
    <row r="263" spans="2:12" x14ac:dyDescent="0.35">
      <c r="B263" s="31">
        <v>44971</v>
      </c>
      <c r="C263" s="40" t="str">
        <f t="shared" si="4"/>
        <v>Feb</v>
      </c>
      <c r="D263" s="27" t="s">
        <v>233</v>
      </c>
      <c r="E263" s="32">
        <v>845</v>
      </c>
      <c r="F263" s="28" t="s">
        <v>482</v>
      </c>
      <c r="G263" s="28" t="s">
        <v>475</v>
      </c>
      <c r="H263" s="26">
        <v>1</v>
      </c>
      <c r="I263" s="35">
        <v>180</v>
      </c>
      <c r="J263" s="35">
        <v>0</v>
      </c>
      <c r="K263" s="35">
        <v>14.04</v>
      </c>
      <c r="L263" s="35">
        <v>194.04</v>
      </c>
    </row>
    <row r="264" spans="2:12" x14ac:dyDescent="0.35">
      <c r="B264" s="31">
        <v>44971</v>
      </c>
      <c r="C264" s="40" t="str">
        <f t="shared" si="4"/>
        <v>Feb</v>
      </c>
      <c r="D264" s="27" t="s">
        <v>234</v>
      </c>
      <c r="E264" s="32">
        <v>4270</v>
      </c>
      <c r="F264" s="28" t="s">
        <v>480</v>
      </c>
      <c r="G264" s="28" t="s">
        <v>474</v>
      </c>
      <c r="H264" s="26">
        <v>1</v>
      </c>
      <c r="I264" s="35">
        <v>0</v>
      </c>
      <c r="J264" s="35">
        <v>0</v>
      </c>
      <c r="K264" s="35">
        <v>0</v>
      </c>
      <c r="L264" s="35">
        <v>0</v>
      </c>
    </row>
    <row r="265" spans="2:12" x14ac:dyDescent="0.35">
      <c r="B265" s="31">
        <v>44971</v>
      </c>
      <c r="C265" s="40" t="str">
        <f t="shared" si="4"/>
        <v>Feb</v>
      </c>
      <c r="D265" s="27" t="s">
        <v>235</v>
      </c>
      <c r="E265" s="32">
        <v>10810</v>
      </c>
      <c r="F265" s="28" t="s">
        <v>496</v>
      </c>
      <c r="G265" s="28" t="s">
        <v>476</v>
      </c>
      <c r="H265" s="26">
        <v>1</v>
      </c>
      <c r="I265" s="35">
        <v>0</v>
      </c>
      <c r="J265" s="35">
        <v>0</v>
      </c>
      <c r="K265" s="35">
        <v>0</v>
      </c>
      <c r="L265" s="35">
        <v>0</v>
      </c>
    </row>
    <row r="266" spans="2:12" x14ac:dyDescent="0.35">
      <c r="B266" s="31">
        <v>44971</v>
      </c>
      <c r="C266" s="40" t="str">
        <f t="shared" si="4"/>
        <v>Feb</v>
      </c>
      <c r="D266" s="27" t="s">
        <v>236</v>
      </c>
      <c r="E266" s="32">
        <v>8533</v>
      </c>
      <c r="F266" s="28" t="s">
        <v>481</v>
      </c>
      <c r="G266" s="28" t="s">
        <v>474</v>
      </c>
      <c r="H266" s="26">
        <v>1</v>
      </c>
      <c r="I266" s="35">
        <v>155</v>
      </c>
      <c r="J266" s="35">
        <v>77.5</v>
      </c>
      <c r="K266" s="35">
        <v>6.05</v>
      </c>
      <c r="L266" s="35">
        <v>83.55</v>
      </c>
    </row>
    <row r="267" spans="2:12" x14ac:dyDescent="0.35">
      <c r="B267" s="31">
        <v>44971</v>
      </c>
      <c r="C267" s="40" t="str">
        <f t="shared" si="4"/>
        <v>Feb</v>
      </c>
      <c r="D267" s="27" t="s">
        <v>237</v>
      </c>
      <c r="E267" s="32">
        <v>9736</v>
      </c>
      <c r="F267" s="28" t="s">
        <v>481</v>
      </c>
      <c r="G267" s="28" t="s">
        <v>475</v>
      </c>
      <c r="H267" s="26">
        <v>1</v>
      </c>
      <c r="I267" s="35">
        <v>155</v>
      </c>
      <c r="J267" s="35">
        <v>23.25</v>
      </c>
      <c r="K267" s="35">
        <v>10.28</v>
      </c>
      <c r="L267" s="35">
        <v>142.03</v>
      </c>
    </row>
    <row r="268" spans="2:12" x14ac:dyDescent="0.35">
      <c r="B268" s="31">
        <v>44971</v>
      </c>
      <c r="C268" s="40" t="str">
        <f t="shared" si="4"/>
        <v>Feb</v>
      </c>
      <c r="D268" s="27" t="s">
        <v>237</v>
      </c>
      <c r="E268" s="32">
        <v>9736</v>
      </c>
      <c r="F268" s="28" t="s">
        <v>493</v>
      </c>
      <c r="G268" s="28" t="s">
        <v>475</v>
      </c>
      <c r="H268" s="26">
        <v>1</v>
      </c>
      <c r="I268" s="35">
        <v>150</v>
      </c>
      <c r="J268" s="35">
        <v>22.5</v>
      </c>
      <c r="K268" s="35">
        <v>9.9499999999999993</v>
      </c>
      <c r="L268" s="35">
        <v>137.44999999999999</v>
      </c>
    </row>
    <row r="269" spans="2:12" x14ac:dyDescent="0.35">
      <c r="B269" s="31">
        <v>44971</v>
      </c>
      <c r="C269" s="40" t="str">
        <f t="shared" si="4"/>
        <v>Feb</v>
      </c>
      <c r="D269" s="27" t="s">
        <v>237</v>
      </c>
      <c r="E269" s="32">
        <v>9736</v>
      </c>
      <c r="F269" s="28" t="s">
        <v>496</v>
      </c>
      <c r="G269" s="28" t="s">
        <v>475</v>
      </c>
      <c r="H269" s="26">
        <v>1</v>
      </c>
      <c r="I269" s="35">
        <v>150</v>
      </c>
      <c r="J269" s="35">
        <v>0</v>
      </c>
      <c r="K269" s="35">
        <v>10.5</v>
      </c>
      <c r="L269" s="35">
        <v>160.5</v>
      </c>
    </row>
    <row r="270" spans="2:12" x14ac:dyDescent="0.35">
      <c r="B270" s="31">
        <v>44972</v>
      </c>
      <c r="C270" s="40" t="str">
        <f t="shared" si="4"/>
        <v>Feb</v>
      </c>
      <c r="D270" s="27" t="s">
        <v>238</v>
      </c>
      <c r="E270" s="32">
        <v>2043</v>
      </c>
      <c r="F270" s="28" t="s">
        <v>480</v>
      </c>
      <c r="G270" s="28" t="s">
        <v>474</v>
      </c>
      <c r="H270" s="26">
        <v>-1</v>
      </c>
      <c r="I270" s="35">
        <v>-75</v>
      </c>
      <c r="J270" s="35">
        <v>0</v>
      </c>
      <c r="K270" s="35">
        <v>0</v>
      </c>
      <c r="L270" s="35">
        <v>-75</v>
      </c>
    </row>
    <row r="271" spans="2:12" x14ac:dyDescent="0.35">
      <c r="B271" s="31">
        <v>44972</v>
      </c>
      <c r="C271" s="40" t="str">
        <f t="shared" si="4"/>
        <v>Feb</v>
      </c>
      <c r="D271" s="27" t="s">
        <v>239</v>
      </c>
      <c r="E271" s="32">
        <v>534</v>
      </c>
      <c r="F271" s="28" t="s">
        <v>480</v>
      </c>
      <c r="G271" s="28" t="s">
        <v>473</v>
      </c>
      <c r="H271" s="26">
        <v>24</v>
      </c>
      <c r="I271" s="35">
        <v>15</v>
      </c>
      <c r="J271" s="35">
        <v>0</v>
      </c>
      <c r="K271" s="35">
        <v>0</v>
      </c>
      <c r="L271" s="35">
        <v>360</v>
      </c>
    </row>
    <row r="272" spans="2:12" x14ac:dyDescent="0.35">
      <c r="B272" s="31">
        <v>44972</v>
      </c>
      <c r="C272" s="40" t="str">
        <f t="shared" si="4"/>
        <v>Feb</v>
      </c>
      <c r="D272" s="27" t="s">
        <v>240</v>
      </c>
      <c r="E272" s="32">
        <v>209</v>
      </c>
      <c r="F272" s="28" t="s">
        <v>480</v>
      </c>
      <c r="G272" s="28" t="s">
        <v>473</v>
      </c>
      <c r="H272" s="26">
        <v>20</v>
      </c>
      <c r="I272" s="35">
        <v>15</v>
      </c>
      <c r="J272" s="35">
        <v>0</v>
      </c>
      <c r="K272" s="35">
        <v>0</v>
      </c>
      <c r="L272" s="35">
        <v>300</v>
      </c>
    </row>
    <row r="273" spans="2:12" x14ac:dyDescent="0.35">
      <c r="B273" s="31">
        <v>44972</v>
      </c>
      <c r="C273" s="40" t="str">
        <f t="shared" si="4"/>
        <v>Feb</v>
      </c>
      <c r="D273" s="27" t="s">
        <v>241</v>
      </c>
      <c r="E273" s="32">
        <v>518</v>
      </c>
      <c r="F273" s="28" t="s">
        <v>485</v>
      </c>
      <c r="G273" s="28" t="s">
        <v>473</v>
      </c>
      <c r="H273" s="26">
        <v>36</v>
      </c>
      <c r="I273" s="35">
        <v>15</v>
      </c>
      <c r="J273" s="35">
        <v>0</v>
      </c>
      <c r="K273" s="35">
        <v>0</v>
      </c>
      <c r="L273" s="35">
        <v>540</v>
      </c>
    </row>
    <row r="274" spans="2:12" x14ac:dyDescent="0.35">
      <c r="B274" s="31">
        <v>44972</v>
      </c>
      <c r="C274" s="40" t="str">
        <f t="shared" si="4"/>
        <v>Feb</v>
      </c>
      <c r="D274" s="27" t="s">
        <v>242</v>
      </c>
      <c r="E274" s="32">
        <v>566</v>
      </c>
      <c r="F274" s="28" t="s">
        <v>497</v>
      </c>
      <c r="G274" s="28" t="s">
        <v>473</v>
      </c>
      <c r="H274" s="26">
        <v>1</v>
      </c>
      <c r="I274" s="35">
        <v>1950</v>
      </c>
      <c r="J274" s="35">
        <v>0</v>
      </c>
      <c r="K274" s="35">
        <v>152.1</v>
      </c>
      <c r="L274" s="35">
        <v>2102.1</v>
      </c>
    </row>
    <row r="275" spans="2:12" x14ac:dyDescent="0.35">
      <c r="B275" s="31">
        <v>44972</v>
      </c>
      <c r="C275" s="40" t="str">
        <f t="shared" si="4"/>
        <v>Feb</v>
      </c>
      <c r="D275" s="27" t="s">
        <v>243</v>
      </c>
      <c r="E275" s="32">
        <v>7478</v>
      </c>
      <c r="F275" s="28" t="s">
        <v>495</v>
      </c>
      <c r="G275" s="28" t="s">
        <v>475</v>
      </c>
      <c r="H275" s="26">
        <v>1</v>
      </c>
      <c r="I275" s="35">
        <v>37</v>
      </c>
      <c r="J275" s="35">
        <v>0</v>
      </c>
      <c r="K275" s="35">
        <v>2.89</v>
      </c>
      <c r="L275" s="35">
        <v>39.89</v>
      </c>
    </row>
    <row r="276" spans="2:12" x14ac:dyDescent="0.35">
      <c r="B276" s="31">
        <v>44972</v>
      </c>
      <c r="C276" s="40" t="str">
        <f t="shared" si="4"/>
        <v>Feb</v>
      </c>
      <c r="D276" s="27" t="s">
        <v>243</v>
      </c>
      <c r="E276" s="32">
        <v>7478</v>
      </c>
      <c r="F276" s="28" t="s">
        <v>495</v>
      </c>
      <c r="G276" s="28" t="s">
        <v>475</v>
      </c>
      <c r="H276" s="26">
        <v>1</v>
      </c>
      <c r="I276" s="35">
        <v>80</v>
      </c>
      <c r="J276" s="35">
        <v>0</v>
      </c>
      <c r="K276" s="35">
        <v>5.6</v>
      </c>
      <c r="L276" s="35">
        <v>85.6</v>
      </c>
    </row>
    <row r="277" spans="2:12" x14ac:dyDescent="0.35">
      <c r="B277" s="31">
        <v>44972</v>
      </c>
      <c r="C277" s="40" t="str">
        <f t="shared" si="4"/>
        <v>Feb</v>
      </c>
      <c r="D277" s="27" t="s">
        <v>244</v>
      </c>
      <c r="E277" s="32">
        <v>15523</v>
      </c>
      <c r="F277" s="28" t="s">
        <v>495</v>
      </c>
      <c r="G277" s="28" t="s">
        <v>475</v>
      </c>
      <c r="H277" s="26">
        <v>1</v>
      </c>
      <c r="I277" s="35">
        <v>80</v>
      </c>
      <c r="J277" s="35">
        <v>0</v>
      </c>
      <c r="K277" s="35">
        <v>5.6</v>
      </c>
      <c r="L277" s="35">
        <v>85.6</v>
      </c>
    </row>
    <row r="278" spans="2:12" x14ac:dyDescent="0.35">
      <c r="B278" s="31">
        <v>44972</v>
      </c>
      <c r="C278" s="40" t="str">
        <f t="shared" si="4"/>
        <v>Feb</v>
      </c>
      <c r="D278" s="27" t="s">
        <v>245</v>
      </c>
      <c r="E278" s="32">
        <v>9736</v>
      </c>
      <c r="F278" s="28" t="s">
        <v>480</v>
      </c>
      <c r="G278" s="28" t="s">
        <v>474</v>
      </c>
      <c r="H278" s="26">
        <v>1</v>
      </c>
      <c r="I278" s="35">
        <v>0</v>
      </c>
      <c r="J278" s="35">
        <v>0</v>
      </c>
      <c r="K278" s="35">
        <v>0</v>
      </c>
      <c r="L278" s="35">
        <v>0</v>
      </c>
    </row>
    <row r="279" spans="2:12" x14ac:dyDescent="0.35">
      <c r="B279" s="31">
        <v>44972</v>
      </c>
      <c r="C279" s="40" t="str">
        <f t="shared" si="4"/>
        <v>Feb</v>
      </c>
      <c r="D279" s="27" t="s">
        <v>246</v>
      </c>
      <c r="E279" s="32">
        <v>4158</v>
      </c>
      <c r="F279" s="28" t="s">
        <v>481</v>
      </c>
      <c r="G279" s="28" t="s">
        <v>473</v>
      </c>
      <c r="H279" s="26">
        <v>1</v>
      </c>
      <c r="I279" s="35">
        <v>3250</v>
      </c>
      <c r="J279" s="35">
        <v>0</v>
      </c>
      <c r="K279" s="35">
        <v>0</v>
      </c>
      <c r="L279" s="35">
        <v>3250</v>
      </c>
    </row>
    <row r="280" spans="2:12" x14ac:dyDescent="0.35">
      <c r="B280" s="31">
        <v>44972</v>
      </c>
      <c r="C280" s="40" t="str">
        <f t="shared" si="4"/>
        <v>Feb</v>
      </c>
      <c r="D280" s="27" t="s">
        <v>247</v>
      </c>
      <c r="E280" s="32">
        <v>775</v>
      </c>
      <c r="F280" s="28" t="s">
        <v>497</v>
      </c>
      <c r="G280" s="28" t="s">
        <v>474</v>
      </c>
      <c r="H280" s="26">
        <v>2</v>
      </c>
      <c r="I280" s="35">
        <v>49</v>
      </c>
      <c r="J280" s="35">
        <v>0</v>
      </c>
      <c r="K280" s="35">
        <v>7.64</v>
      </c>
      <c r="L280" s="35">
        <v>105.64</v>
      </c>
    </row>
    <row r="281" spans="2:12" x14ac:dyDescent="0.35">
      <c r="B281" s="31">
        <v>44972</v>
      </c>
      <c r="C281" s="40" t="str">
        <f t="shared" si="4"/>
        <v>Feb</v>
      </c>
      <c r="D281" s="27" t="s">
        <v>248</v>
      </c>
      <c r="E281" s="32">
        <v>5369</v>
      </c>
      <c r="F281" s="28" t="s">
        <v>490</v>
      </c>
      <c r="G281" s="28" t="s">
        <v>475</v>
      </c>
      <c r="H281" s="26">
        <v>1</v>
      </c>
      <c r="I281" s="35">
        <v>5</v>
      </c>
      <c r="J281" s="35">
        <v>0</v>
      </c>
      <c r="K281" s="35">
        <v>0.35</v>
      </c>
      <c r="L281" s="35">
        <v>5.35</v>
      </c>
    </row>
    <row r="282" spans="2:12" x14ac:dyDescent="0.35">
      <c r="B282" s="31">
        <v>44972</v>
      </c>
      <c r="C282" s="40" t="str">
        <f t="shared" si="4"/>
        <v>Feb</v>
      </c>
      <c r="D282" s="27" t="s">
        <v>248</v>
      </c>
      <c r="E282" s="32">
        <v>5369</v>
      </c>
      <c r="F282" s="28" t="s">
        <v>490</v>
      </c>
      <c r="G282" s="28" t="s">
        <v>475</v>
      </c>
      <c r="H282" s="26">
        <v>1</v>
      </c>
      <c r="I282" s="35">
        <v>5</v>
      </c>
      <c r="J282" s="35">
        <v>0</v>
      </c>
      <c r="K282" s="35">
        <v>0.35</v>
      </c>
      <c r="L282" s="35">
        <v>5.35</v>
      </c>
    </row>
    <row r="283" spans="2:12" x14ac:dyDescent="0.35">
      <c r="B283" s="31">
        <v>44972</v>
      </c>
      <c r="C283" s="40" t="str">
        <f t="shared" si="4"/>
        <v>Feb</v>
      </c>
      <c r="D283" s="27" t="s">
        <v>249</v>
      </c>
      <c r="E283" s="32">
        <v>4158</v>
      </c>
      <c r="F283" s="28" t="s">
        <v>497</v>
      </c>
      <c r="G283" s="28" t="s">
        <v>474</v>
      </c>
      <c r="H283" s="26">
        <v>1</v>
      </c>
      <c r="I283" s="35">
        <v>49</v>
      </c>
      <c r="J283" s="35">
        <v>0</v>
      </c>
      <c r="K283" s="35">
        <v>3.82</v>
      </c>
      <c r="L283" s="35">
        <v>52.82</v>
      </c>
    </row>
    <row r="284" spans="2:12" x14ac:dyDescent="0.35">
      <c r="B284" s="31">
        <v>44972</v>
      </c>
      <c r="C284" s="40" t="str">
        <f t="shared" si="4"/>
        <v>Feb</v>
      </c>
      <c r="D284" s="27" t="s">
        <v>249</v>
      </c>
      <c r="E284" s="32">
        <v>4158</v>
      </c>
      <c r="F284" s="28" t="s">
        <v>497</v>
      </c>
      <c r="G284" s="28" t="s">
        <v>473</v>
      </c>
      <c r="H284" s="26">
        <v>1</v>
      </c>
      <c r="I284" s="35">
        <v>600</v>
      </c>
      <c r="J284" s="35">
        <v>0</v>
      </c>
      <c r="K284" s="35">
        <v>0</v>
      </c>
      <c r="L284" s="35">
        <v>600</v>
      </c>
    </row>
    <row r="285" spans="2:12" x14ac:dyDescent="0.35">
      <c r="B285" s="31">
        <v>44973</v>
      </c>
      <c r="C285" s="40" t="str">
        <f t="shared" si="4"/>
        <v>Feb</v>
      </c>
      <c r="D285" s="27" t="s">
        <v>250</v>
      </c>
      <c r="E285" s="32">
        <v>16791</v>
      </c>
      <c r="F285" s="28" t="s">
        <v>490</v>
      </c>
      <c r="G285" s="28" t="s">
        <v>476</v>
      </c>
      <c r="H285" s="26">
        <v>1</v>
      </c>
      <c r="I285" s="35">
        <v>100</v>
      </c>
      <c r="J285" s="35">
        <v>0</v>
      </c>
      <c r="K285" s="35">
        <v>0</v>
      </c>
      <c r="L285" s="35">
        <v>100</v>
      </c>
    </row>
    <row r="286" spans="2:12" x14ac:dyDescent="0.35">
      <c r="B286" s="31">
        <v>44973</v>
      </c>
      <c r="C286" s="40" t="str">
        <f t="shared" si="4"/>
        <v>Feb</v>
      </c>
      <c r="D286" s="27" t="s">
        <v>251</v>
      </c>
      <c r="E286" s="32">
        <v>13073</v>
      </c>
      <c r="F286" s="28" t="s">
        <v>489</v>
      </c>
      <c r="G286" s="28" t="s">
        <v>474</v>
      </c>
      <c r="H286" s="26">
        <v>1</v>
      </c>
      <c r="I286" s="35">
        <v>106</v>
      </c>
      <c r="J286" s="35">
        <v>53</v>
      </c>
      <c r="K286" s="35">
        <v>4.13</v>
      </c>
      <c r="L286" s="35">
        <v>57.13</v>
      </c>
    </row>
    <row r="287" spans="2:12" x14ac:dyDescent="0.35">
      <c r="B287" s="31">
        <v>44973</v>
      </c>
      <c r="C287" s="40" t="str">
        <f t="shared" si="4"/>
        <v>Feb</v>
      </c>
      <c r="D287" s="27" t="s">
        <v>252</v>
      </c>
      <c r="E287" s="32">
        <v>13073</v>
      </c>
      <c r="F287" s="28" t="s">
        <v>481</v>
      </c>
      <c r="G287" s="28" t="s">
        <v>474</v>
      </c>
      <c r="H287" s="26">
        <v>1</v>
      </c>
      <c r="I287" s="35">
        <v>155</v>
      </c>
      <c r="J287" s="35">
        <v>77.5</v>
      </c>
      <c r="K287" s="35">
        <v>6.05</v>
      </c>
      <c r="L287" s="35">
        <v>83.55</v>
      </c>
    </row>
    <row r="288" spans="2:12" x14ac:dyDescent="0.35">
      <c r="B288" s="31">
        <v>44973</v>
      </c>
      <c r="C288" s="40" t="str">
        <f t="shared" si="4"/>
        <v>Feb</v>
      </c>
      <c r="D288" s="27" t="s">
        <v>252</v>
      </c>
      <c r="E288" s="32">
        <v>13073</v>
      </c>
      <c r="F288" s="28" t="s">
        <v>488</v>
      </c>
      <c r="G288" s="28" t="s">
        <v>474</v>
      </c>
      <c r="H288" s="26">
        <v>1</v>
      </c>
      <c r="I288" s="35">
        <v>100</v>
      </c>
      <c r="J288" s="35">
        <v>50</v>
      </c>
      <c r="K288" s="35">
        <v>3.9</v>
      </c>
      <c r="L288" s="35">
        <v>53.9</v>
      </c>
    </row>
    <row r="289" spans="2:12" x14ac:dyDescent="0.35">
      <c r="B289" s="31">
        <v>44973</v>
      </c>
      <c r="C289" s="40" t="str">
        <f t="shared" si="4"/>
        <v>Feb</v>
      </c>
      <c r="D289" s="27" t="s">
        <v>253</v>
      </c>
      <c r="E289" s="32">
        <v>15417</v>
      </c>
      <c r="F289" s="28" t="s">
        <v>480</v>
      </c>
      <c r="G289" s="28" t="s">
        <v>476</v>
      </c>
      <c r="H289" s="26">
        <v>1</v>
      </c>
      <c r="I289" s="35">
        <v>0</v>
      </c>
      <c r="J289" s="35">
        <v>0</v>
      </c>
      <c r="K289" s="35">
        <v>0</v>
      </c>
      <c r="L289" s="35">
        <v>0</v>
      </c>
    </row>
    <row r="290" spans="2:12" x14ac:dyDescent="0.35">
      <c r="B290" s="31">
        <v>44973</v>
      </c>
      <c r="C290" s="40" t="str">
        <f t="shared" si="4"/>
        <v>Feb</v>
      </c>
      <c r="D290" s="27" t="s">
        <v>254</v>
      </c>
      <c r="E290" s="32">
        <v>16552</v>
      </c>
      <c r="F290" s="28" t="s">
        <v>480</v>
      </c>
      <c r="G290" s="28" t="s">
        <v>474</v>
      </c>
      <c r="H290" s="26">
        <v>1</v>
      </c>
      <c r="I290" s="35">
        <v>75</v>
      </c>
      <c r="J290" s="35">
        <v>0</v>
      </c>
      <c r="K290" s="35">
        <v>0</v>
      </c>
      <c r="L290" s="35">
        <v>75</v>
      </c>
    </row>
    <row r="291" spans="2:12" x14ac:dyDescent="0.35">
      <c r="B291" s="31">
        <v>44974</v>
      </c>
      <c r="C291" s="40" t="str">
        <f t="shared" si="4"/>
        <v>Feb</v>
      </c>
      <c r="D291" s="27" t="s">
        <v>255</v>
      </c>
      <c r="E291" s="32">
        <v>12877</v>
      </c>
      <c r="F291" s="28" t="s">
        <v>490</v>
      </c>
      <c r="G291" s="28" t="s">
        <v>475</v>
      </c>
      <c r="H291" s="26">
        <v>1</v>
      </c>
      <c r="I291" s="35">
        <v>50</v>
      </c>
      <c r="J291" s="35">
        <v>0</v>
      </c>
      <c r="K291" s="35">
        <v>3.5</v>
      </c>
      <c r="L291" s="35">
        <v>53.5</v>
      </c>
    </row>
    <row r="292" spans="2:12" x14ac:dyDescent="0.35">
      <c r="B292" s="31">
        <v>44974</v>
      </c>
      <c r="C292" s="40" t="str">
        <f t="shared" si="4"/>
        <v>Feb</v>
      </c>
      <c r="D292" s="27" t="s">
        <v>255</v>
      </c>
      <c r="E292" s="32">
        <v>12877</v>
      </c>
      <c r="F292" s="28" t="s">
        <v>497</v>
      </c>
      <c r="G292" s="28" t="s">
        <v>475</v>
      </c>
      <c r="H292" s="26">
        <v>1</v>
      </c>
      <c r="I292" s="35">
        <v>125</v>
      </c>
      <c r="J292" s="35">
        <v>0</v>
      </c>
      <c r="K292" s="35">
        <v>8.75</v>
      </c>
      <c r="L292" s="35">
        <v>133.75</v>
      </c>
    </row>
    <row r="293" spans="2:12" x14ac:dyDescent="0.35">
      <c r="B293" s="31">
        <v>44977</v>
      </c>
      <c r="C293" s="40" t="str">
        <f t="shared" si="4"/>
        <v>Feb</v>
      </c>
      <c r="D293" s="27" t="s">
        <v>256</v>
      </c>
      <c r="E293" s="32">
        <v>4118</v>
      </c>
      <c r="F293" s="28" t="s">
        <v>483</v>
      </c>
      <c r="G293" s="28" t="s">
        <v>473</v>
      </c>
      <c r="H293" s="26">
        <v>36</v>
      </c>
      <c r="I293" s="35">
        <v>12</v>
      </c>
      <c r="J293" s="35">
        <v>0</v>
      </c>
      <c r="K293" s="35">
        <v>0</v>
      </c>
      <c r="L293" s="35">
        <v>432</v>
      </c>
    </row>
    <row r="294" spans="2:12" x14ac:dyDescent="0.35">
      <c r="B294" s="31">
        <v>44977</v>
      </c>
      <c r="C294" s="40" t="str">
        <f t="shared" si="4"/>
        <v>Feb</v>
      </c>
      <c r="D294" s="27" t="s">
        <v>257</v>
      </c>
      <c r="E294" s="32">
        <v>704</v>
      </c>
      <c r="F294" s="28" t="s">
        <v>483</v>
      </c>
      <c r="G294" s="28" t="s">
        <v>473</v>
      </c>
      <c r="H294" s="26">
        <v>32</v>
      </c>
      <c r="I294" s="35">
        <v>12</v>
      </c>
      <c r="J294" s="35">
        <v>0</v>
      </c>
      <c r="K294" s="35">
        <v>0</v>
      </c>
      <c r="L294" s="35">
        <v>384</v>
      </c>
    </row>
    <row r="295" spans="2:12" x14ac:dyDescent="0.35">
      <c r="B295" s="31">
        <v>44977</v>
      </c>
      <c r="C295" s="40" t="str">
        <f t="shared" si="4"/>
        <v>Feb</v>
      </c>
      <c r="D295" s="27" t="s">
        <v>258</v>
      </c>
      <c r="E295" s="32">
        <v>881</v>
      </c>
      <c r="F295" s="28" t="s">
        <v>483</v>
      </c>
      <c r="G295" s="28" t="s">
        <v>473</v>
      </c>
      <c r="H295" s="26">
        <v>18</v>
      </c>
      <c r="I295" s="35">
        <v>12</v>
      </c>
      <c r="J295" s="35">
        <v>0</v>
      </c>
      <c r="K295" s="35">
        <v>0</v>
      </c>
      <c r="L295" s="35">
        <v>216</v>
      </c>
    </row>
    <row r="296" spans="2:12" x14ac:dyDescent="0.35">
      <c r="B296" s="31">
        <v>44977</v>
      </c>
      <c r="C296" s="40" t="str">
        <f t="shared" si="4"/>
        <v>Feb</v>
      </c>
      <c r="D296" s="27" t="s">
        <v>259</v>
      </c>
      <c r="E296" s="32">
        <v>10857</v>
      </c>
      <c r="F296" s="28" t="s">
        <v>487</v>
      </c>
      <c r="G296" s="28" t="s">
        <v>473</v>
      </c>
      <c r="H296" s="26">
        <v>40</v>
      </c>
      <c r="I296" s="35">
        <v>12</v>
      </c>
      <c r="J296" s="35">
        <v>0</v>
      </c>
      <c r="K296" s="35">
        <v>0</v>
      </c>
      <c r="L296" s="35">
        <v>480</v>
      </c>
    </row>
    <row r="297" spans="2:12" x14ac:dyDescent="0.35">
      <c r="B297" s="31">
        <v>44977</v>
      </c>
      <c r="C297" s="40" t="str">
        <f t="shared" si="4"/>
        <v>Feb</v>
      </c>
      <c r="D297" s="27" t="s">
        <v>260</v>
      </c>
      <c r="E297" s="32">
        <v>98</v>
      </c>
      <c r="F297" s="28" t="s">
        <v>483</v>
      </c>
      <c r="G297" s="28" t="s">
        <v>473</v>
      </c>
      <c r="H297" s="26">
        <v>27</v>
      </c>
      <c r="I297" s="35">
        <v>12</v>
      </c>
      <c r="J297" s="35">
        <v>0</v>
      </c>
      <c r="K297" s="35">
        <v>0</v>
      </c>
      <c r="L297" s="35">
        <v>324</v>
      </c>
    </row>
    <row r="298" spans="2:12" x14ac:dyDescent="0.35">
      <c r="B298" s="31">
        <v>44977</v>
      </c>
      <c r="C298" s="40" t="str">
        <f t="shared" si="4"/>
        <v>Feb</v>
      </c>
      <c r="D298" s="27" t="s">
        <v>261</v>
      </c>
      <c r="E298" s="32">
        <v>289</v>
      </c>
      <c r="F298" s="28" t="s">
        <v>483</v>
      </c>
      <c r="G298" s="28" t="s">
        <v>473</v>
      </c>
      <c r="H298" s="26">
        <v>16</v>
      </c>
      <c r="I298" s="35">
        <v>12</v>
      </c>
      <c r="J298" s="35">
        <v>0</v>
      </c>
      <c r="K298" s="35">
        <v>0</v>
      </c>
      <c r="L298" s="35">
        <v>192</v>
      </c>
    </row>
    <row r="299" spans="2:12" x14ac:dyDescent="0.35">
      <c r="B299" s="31">
        <v>44977</v>
      </c>
      <c r="C299" s="40" t="str">
        <f t="shared" si="4"/>
        <v>Feb</v>
      </c>
      <c r="D299" s="27" t="s">
        <v>262</v>
      </c>
      <c r="E299" s="32">
        <v>4199</v>
      </c>
      <c r="F299" s="28" t="s">
        <v>483</v>
      </c>
      <c r="G299" s="28" t="s">
        <v>473</v>
      </c>
      <c r="H299" s="26">
        <v>42</v>
      </c>
      <c r="I299" s="35">
        <v>12</v>
      </c>
      <c r="J299" s="35">
        <v>0</v>
      </c>
      <c r="K299" s="35">
        <v>0</v>
      </c>
      <c r="L299" s="35">
        <v>504</v>
      </c>
    </row>
    <row r="300" spans="2:12" x14ac:dyDescent="0.35">
      <c r="B300" s="31">
        <v>44977</v>
      </c>
      <c r="C300" s="40" t="str">
        <f t="shared" si="4"/>
        <v>Feb</v>
      </c>
      <c r="D300" s="27" t="s">
        <v>263</v>
      </c>
      <c r="E300" s="32">
        <v>8664</v>
      </c>
      <c r="F300" s="28" t="s">
        <v>483</v>
      </c>
      <c r="G300" s="28" t="s">
        <v>473</v>
      </c>
      <c r="H300" s="26">
        <v>34</v>
      </c>
      <c r="I300" s="35">
        <v>12</v>
      </c>
      <c r="J300" s="35">
        <v>0</v>
      </c>
      <c r="K300" s="35">
        <v>0</v>
      </c>
      <c r="L300" s="35">
        <v>408</v>
      </c>
    </row>
    <row r="301" spans="2:12" x14ac:dyDescent="0.35">
      <c r="B301" s="31">
        <v>44977</v>
      </c>
      <c r="C301" s="40" t="str">
        <f t="shared" si="4"/>
        <v>Feb</v>
      </c>
      <c r="D301" s="27" t="s">
        <v>264</v>
      </c>
      <c r="E301" s="32">
        <v>18088</v>
      </c>
      <c r="F301" s="28" t="s">
        <v>483</v>
      </c>
      <c r="G301" s="28" t="s">
        <v>473</v>
      </c>
      <c r="H301" s="26">
        <v>18</v>
      </c>
      <c r="I301" s="35">
        <v>12</v>
      </c>
      <c r="J301" s="35">
        <v>0</v>
      </c>
      <c r="K301" s="35">
        <v>0</v>
      </c>
      <c r="L301" s="35">
        <v>216</v>
      </c>
    </row>
    <row r="302" spans="2:12" x14ac:dyDescent="0.35">
      <c r="B302" s="31">
        <v>44977</v>
      </c>
      <c r="C302" s="40" t="str">
        <f t="shared" si="4"/>
        <v>Feb</v>
      </c>
      <c r="D302" s="27" t="s">
        <v>265</v>
      </c>
      <c r="E302" s="32">
        <v>6418</v>
      </c>
      <c r="F302" s="28" t="s">
        <v>483</v>
      </c>
      <c r="G302" s="28" t="s">
        <v>473</v>
      </c>
      <c r="H302" s="26">
        <v>40</v>
      </c>
      <c r="I302" s="35">
        <v>12</v>
      </c>
      <c r="J302" s="35">
        <v>0</v>
      </c>
      <c r="K302" s="35">
        <v>0</v>
      </c>
      <c r="L302" s="35">
        <v>480</v>
      </c>
    </row>
    <row r="303" spans="2:12" x14ac:dyDescent="0.35">
      <c r="B303" s="31">
        <v>44977</v>
      </c>
      <c r="C303" s="40" t="str">
        <f t="shared" si="4"/>
        <v>Feb</v>
      </c>
      <c r="D303" s="27" t="s">
        <v>266</v>
      </c>
      <c r="E303" s="32">
        <v>16747</v>
      </c>
      <c r="F303" s="28" t="s">
        <v>483</v>
      </c>
      <c r="G303" s="28" t="s">
        <v>473</v>
      </c>
      <c r="H303" s="26">
        <v>46</v>
      </c>
      <c r="I303" s="35">
        <v>12</v>
      </c>
      <c r="J303" s="35">
        <v>0</v>
      </c>
      <c r="K303" s="35">
        <v>0</v>
      </c>
      <c r="L303" s="35">
        <v>552</v>
      </c>
    </row>
    <row r="304" spans="2:12" x14ac:dyDescent="0.35">
      <c r="B304" s="31">
        <v>44977</v>
      </c>
      <c r="C304" s="40" t="str">
        <f t="shared" si="4"/>
        <v>Feb</v>
      </c>
      <c r="D304" s="27" t="s">
        <v>267</v>
      </c>
      <c r="E304" s="32">
        <v>80</v>
      </c>
      <c r="F304" s="28" t="s">
        <v>487</v>
      </c>
      <c r="G304" s="28" t="s">
        <v>473</v>
      </c>
      <c r="H304" s="26">
        <v>36</v>
      </c>
      <c r="I304" s="35">
        <v>12</v>
      </c>
      <c r="J304" s="35">
        <v>0</v>
      </c>
      <c r="K304" s="35">
        <v>0</v>
      </c>
      <c r="L304" s="35">
        <v>432</v>
      </c>
    </row>
    <row r="305" spans="2:12" x14ac:dyDescent="0.35">
      <c r="B305" s="31">
        <v>44977</v>
      </c>
      <c r="C305" s="40" t="str">
        <f t="shared" si="4"/>
        <v>Feb</v>
      </c>
      <c r="D305" s="27" t="s">
        <v>268</v>
      </c>
      <c r="E305" s="32">
        <v>8618</v>
      </c>
      <c r="F305" s="28" t="s">
        <v>498</v>
      </c>
      <c r="G305" s="28" t="s">
        <v>473</v>
      </c>
      <c r="H305" s="26">
        <v>1</v>
      </c>
      <c r="I305" s="35">
        <v>20</v>
      </c>
      <c r="J305" s="35">
        <v>0</v>
      </c>
      <c r="K305" s="35">
        <v>0</v>
      </c>
      <c r="L305" s="35">
        <v>20</v>
      </c>
    </row>
    <row r="306" spans="2:12" x14ac:dyDescent="0.35">
      <c r="B306" s="31">
        <v>44977</v>
      </c>
      <c r="C306" s="40" t="str">
        <f t="shared" si="4"/>
        <v>Feb</v>
      </c>
      <c r="D306" s="27" t="s">
        <v>268</v>
      </c>
      <c r="E306" s="32">
        <v>8618</v>
      </c>
      <c r="F306" s="28" t="s">
        <v>485</v>
      </c>
      <c r="G306" s="28" t="s">
        <v>473</v>
      </c>
      <c r="H306" s="26">
        <v>30</v>
      </c>
      <c r="I306" s="35">
        <v>15</v>
      </c>
      <c r="J306" s="35">
        <v>0</v>
      </c>
      <c r="K306" s="35">
        <v>0</v>
      </c>
      <c r="L306" s="35">
        <v>450</v>
      </c>
    </row>
    <row r="307" spans="2:12" x14ac:dyDescent="0.35">
      <c r="B307" s="31">
        <v>44978</v>
      </c>
      <c r="C307" s="40" t="str">
        <f t="shared" si="4"/>
        <v>Feb</v>
      </c>
      <c r="D307" s="27" t="s">
        <v>269</v>
      </c>
      <c r="E307" s="32">
        <v>72</v>
      </c>
      <c r="F307" s="28" t="s">
        <v>483</v>
      </c>
      <c r="G307" s="28" t="s">
        <v>476</v>
      </c>
      <c r="H307" s="26">
        <v>12</v>
      </c>
      <c r="I307" s="35">
        <v>12</v>
      </c>
      <c r="J307" s="35">
        <v>0</v>
      </c>
      <c r="K307" s="35">
        <v>0</v>
      </c>
      <c r="L307" s="35">
        <v>144</v>
      </c>
    </row>
    <row r="308" spans="2:12" x14ac:dyDescent="0.35">
      <c r="B308" s="31">
        <v>44978</v>
      </c>
      <c r="C308" s="40" t="str">
        <f t="shared" si="4"/>
        <v>Feb</v>
      </c>
      <c r="D308" s="27" t="s">
        <v>270</v>
      </c>
      <c r="E308" s="32">
        <v>5356</v>
      </c>
      <c r="F308" s="28" t="s">
        <v>483</v>
      </c>
      <c r="G308" s="28" t="s">
        <v>476</v>
      </c>
      <c r="H308" s="26">
        <v>56</v>
      </c>
      <c r="I308" s="35">
        <v>12</v>
      </c>
      <c r="J308" s="35">
        <v>0</v>
      </c>
      <c r="K308" s="35">
        <v>0</v>
      </c>
      <c r="L308" s="35">
        <v>672</v>
      </c>
    </row>
    <row r="309" spans="2:12" x14ac:dyDescent="0.35">
      <c r="B309" s="31">
        <v>44978</v>
      </c>
      <c r="C309" s="40" t="str">
        <f t="shared" si="4"/>
        <v>Feb</v>
      </c>
      <c r="D309" s="27" t="s">
        <v>271</v>
      </c>
      <c r="E309" s="32">
        <v>10826</v>
      </c>
      <c r="F309" s="28" t="s">
        <v>483</v>
      </c>
      <c r="G309" s="28" t="s">
        <v>476</v>
      </c>
      <c r="H309" s="26">
        <v>24</v>
      </c>
      <c r="I309" s="35">
        <v>12</v>
      </c>
      <c r="J309" s="35">
        <v>0</v>
      </c>
      <c r="K309" s="35">
        <v>0</v>
      </c>
      <c r="L309" s="35">
        <v>288</v>
      </c>
    </row>
    <row r="310" spans="2:12" x14ac:dyDescent="0.35">
      <c r="B310" s="31">
        <v>44978</v>
      </c>
      <c r="C310" s="40" t="str">
        <f t="shared" si="4"/>
        <v>Feb</v>
      </c>
      <c r="D310" s="27" t="s">
        <v>272</v>
      </c>
      <c r="E310" s="32">
        <v>4158</v>
      </c>
      <c r="F310" s="28" t="s">
        <v>480</v>
      </c>
      <c r="G310" s="28" t="s">
        <v>474</v>
      </c>
      <c r="H310" s="26">
        <v>1</v>
      </c>
      <c r="I310" s="35">
        <v>0</v>
      </c>
      <c r="J310" s="35">
        <v>0</v>
      </c>
      <c r="K310" s="35">
        <v>0</v>
      </c>
      <c r="L310" s="35">
        <v>0</v>
      </c>
    </row>
    <row r="311" spans="2:12" x14ac:dyDescent="0.35">
      <c r="B311" s="31">
        <v>44978</v>
      </c>
      <c r="C311" s="40" t="str">
        <f t="shared" si="4"/>
        <v>Feb</v>
      </c>
      <c r="D311" s="27" t="s">
        <v>273</v>
      </c>
      <c r="E311" s="32">
        <v>5323</v>
      </c>
      <c r="F311" s="28" t="s">
        <v>481</v>
      </c>
      <c r="G311" s="28" t="s">
        <v>474</v>
      </c>
      <c r="H311" s="26">
        <v>2</v>
      </c>
      <c r="I311" s="35">
        <v>47</v>
      </c>
      <c r="J311" s="35">
        <v>47</v>
      </c>
      <c r="K311" s="35">
        <v>3.67</v>
      </c>
      <c r="L311" s="35">
        <v>50.67</v>
      </c>
    </row>
    <row r="312" spans="2:12" x14ac:dyDescent="0.35">
      <c r="B312" s="31">
        <v>44979</v>
      </c>
      <c r="C312" s="40" t="str">
        <f t="shared" si="4"/>
        <v>Feb</v>
      </c>
      <c r="D312" s="27" t="s">
        <v>274</v>
      </c>
      <c r="E312" s="32">
        <v>10808</v>
      </c>
      <c r="F312" s="28" t="s">
        <v>496</v>
      </c>
      <c r="G312" s="28" t="s">
        <v>473</v>
      </c>
      <c r="H312" s="26">
        <v>1</v>
      </c>
      <c r="I312" s="35">
        <v>150</v>
      </c>
      <c r="J312" s="35">
        <v>0</v>
      </c>
      <c r="K312" s="35">
        <v>11.7</v>
      </c>
      <c r="L312" s="35">
        <v>161.69999999999999</v>
      </c>
    </row>
    <row r="313" spans="2:12" x14ac:dyDescent="0.35">
      <c r="B313" s="31">
        <v>44979</v>
      </c>
      <c r="C313" s="40" t="str">
        <f t="shared" si="4"/>
        <v>Feb</v>
      </c>
      <c r="D313" s="27" t="s">
        <v>275</v>
      </c>
      <c r="E313" s="32">
        <v>3067</v>
      </c>
      <c r="F313" s="28" t="s">
        <v>480</v>
      </c>
      <c r="G313" s="28" t="s">
        <v>473</v>
      </c>
      <c r="H313" s="26">
        <v>30</v>
      </c>
      <c r="I313" s="35">
        <v>12</v>
      </c>
      <c r="J313" s="35">
        <v>0</v>
      </c>
      <c r="K313" s="35">
        <v>0</v>
      </c>
      <c r="L313" s="35">
        <v>360</v>
      </c>
    </row>
    <row r="314" spans="2:12" x14ac:dyDescent="0.35">
      <c r="B314" s="31">
        <v>44979</v>
      </c>
      <c r="C314" s="40" t="str">
        <f t="shared" si="4"/>
        <v>Feb</v>
      </c>
      <c r="D314" s="27" t="s">
        <v>276</v>
      </c>
      <c r="E314" s="32">
        <v>13320</v>
      </c>
      <c r="F314" s="28" t="s">
        <v>491</v>
      </c>
      <c r="G314" s="28" t="s">
        <v>475</v>
      </c>
      <c r="H314" s="26">
        <v>1</v>
      </c>
      <c r="I314" s="35">
        <v>15</v>
      </c>
      <c r="J314" s="35">
        <v>0</v>
      </c>
      <c r="K314" s="35">
        <v>1.17</v>
      </c>
      <c r="L314" s="35">
        <v>16.170000000000002</v>
      </c>
    </row>
    <row r="315" spans="2:12" x14ac:dyDescent="0.35">
      <c r="B315" s="31">
        <v>44979</v>
      </c>
      <c r="C315" s="40" t="str">
        <f t="shared" si="4"/>
        <v>Feb</v>
      </c>
      <c r="D315" s="27" t="s">
        <v>276</v>
      </c>
      <c r="E315" s="32">
        <v>13320</v>
      </c>
      <c r="F315" s="28" t="s">
        <v>482</v>
      </c>
      <c r="G315" s="28" t="s">
        <v>475</v>
      </c>
      <c r="H315" s="26">
        <v>1</v>
      </c>
      <c r="I315" s="35">
        <v>180</v>
      </c>
      <c r="J315" s="35">
        <v>0</v>
      </c>
      <c r="K315" s="35">
        <v>14.04</v>
      </c>
      <c r="L315" s="35">
        <v>194.04</v>
      </c>
    </row>
    <row r="316" spans="2:12" x14ac:dyDescent="0.35">
      <c r="B316" s="31">
        <v>44979</v>
      </c>
      <c r="C316" s="40" t="str">
        <f t="shared" si="4"/>
        <v>Feb</v>
      </c>
      <c r="D316" s="27" t="s">
        <v>276</v>
      </c>
      <c r="E316" s="32">
        <v>13320</v>
      </c>
      <c r="F316" s="28" t="s">
        <v>498</v>
      </c>
      <c r="G316" s="28" t="s">
        <v>475</v>
      </c>
      <c r="H316" s="26">
        <v>1</v>
      </c>
      <c r="I316" s="35">
        <v>64</v>
      </c>
      <c r="J316" s="35">
        <v>0</v>
      </c>
      <c r="K316" s="35">
        <v>4.99</v>
      </c>
      <c r="L316" s="35">
        <v>68.989999999999995</v>
      </c>
    </row>
    <row r="317" spans="2:12" x14ac:dyDescent="0.35">
      <c r="B317" s="31">
        <v>44979</v>
      </c>
      <c r="C317" s="40" t="str">
        <f t="shared" si="4"/>
        <v>Feb</v>
      </c>
      <c r="D317" s="27" t="s">
        <v>277</v>
      </c>
      <c r="E317" s="32">
        <v>16787</v>
      </c>
      <c r="F317" s="28" t="s">
        <v>483</v>
      </c>
      <c r="G317" s="28" t="s">
        <v>473</v>
      </c>
      <c r="H317" s="26">
        <v>1</v>
      </c>
      <c r="I317" s="35">
        <v>1000</v>
      </c>
      <c r="J317" s="35">
        <v>0</v>
      </c>
      <c r="K317" s="35">
        <v>0</v>
      </c>
      <c r="L317" s="35">
        <v>1000</v>
      </c>
    </row>
    <row r="318" spans="2:12" x14ac:dyDescent="0.35">
      <c r="B318" s="31">
        <v>44979</v>
      </c>
      <c r="C318" s="40" t="str">
        <f t="shared" si="4"/>
        <v>Feb</v>
      </c>
      <c r="D318" s="27" t="s">
        <v>278</v>
      </c>
      <c r="E318" s="32">
        <v>4297</v>
      </c>
      <c r="F318" s="28" t="s">
        <v>484</v>
      </c>
      <c r="G318" s="28" t="s">
        <v>475</v>
      </c>
      <c r="H318" s="26">
        <v>1</v>
      </c>
      <c r="I318" s="35">
        <v>1750</v>
      </c>
      <c r="J318" s="35">
        <v>0</v>
      </c>
      <c r="K318" s="35">
        <v>122.5</v>
      </c>
      <c r="L318" s="35">
        <v>1872.5</v>
      </c>
    </row>
    <row r="319" spans="2:12" x14ac:dyDescent="0.35">
      <c r="B319" s="31">
        <v>44979</v>
      </c>
      <c r="C319" s="40" t="str">
        <f t="shared" si="4"/>
        <v>Feb</v>
      </c>
      <c r="D319" s="27" t="s">
        <v>279</v>
      </c>
      <c r="E319" s="32">
        <v>4270</v>
      </c>
      <c r="F319" s="28" t="s">
        <v>490</v>
      </c>
      <c r="G319" s="28" t="s">
        <v>475</v>
      </c>
      <c r="H319" s="26">
        <v>1</v>
      </c>
      <c r="I319" s="35">
        <v>50</v>
      </c>
      <c r="J319" s="35">
        <v>0</v>
      </c>
      <c r="K319" s="35">
        <v>3.5</v>
      </c>
      <c r="L319" s="35">
        <v>53.5</v>
      </c>
    </row>
    <row r="320" spans="2:12" x14ac:dyDescent="0.35">
      <c r="B320" s="31">
        <v>44979</v>
      </c>
      <c r="C320" s="40" t="str">
        <f t="shared" si="4"/>
        <v>Feb</v>
      </c>
      <c r="D320" s="27" t="s">
        <v>279</v>
      </c>
      <c r="E320" s="32">
        <v>4270</v>
      </c>
      <c r="F320" s="28" t="s">
        <v>490</v>
      </c>
      <c r="G320" s="28" t="s">
        <v>475</v>
      </c>
      <c r="H320" s="26">
        <v>1</v>
      </c>
      <c r="I320" s="35">
        <v>35</v>
      </c>
      <c r="J320" s="35">
        <v>0</v>
      </c>
      <c r="K320" s="35">
        <v>2.4500000000000002</v>
      </c>
      <c r="L320" s="35">
        <v>37.450000000000003</v>
      </c>
    </row>
    <row r="321" spans="2:12" x14ac:dyDescent="0.35">
      <c r="B321" s="31">
        <v>44979</v>
      </c>
      <c r="C321" s="40" t="str">
        <f t="shared" si="4"/>
        <v>Feb</v>
      </c>
      <c r="D321" s="27" t="s">
        <v>279</v>
      </c>
      <c r="E321" s="32">
        <v>4270</v>
      </c>
      <c r="F321" s="28" t="s">
        <v>485</v>
      </c>
      <c r="G321" s="28" t="s">
        <v>475</v>
      </c>
      <c r="H321" s="26">
        <v>1</v>
      </c>
      <c r="I321" s="35">
        <v>169</v>
      </c>
      <c r="J321" s="35">
        <v>0</v>
      </c>
      <c r="K321" s="35">
        <v>13.18</v>
      </c>
      <c r="L321" s="35">
        <v>182.18</v>
      </c>
    </row>
    <row r="322" spans="2:12" x14ac:dyDescent="0.35">
      <c r="B322" s="31">
        <v>44979</v>
      </c>
      <c r="C322" s="40" t="str">
        <f t="shared" si="4"/>
        <v>Feb</v>
      </c>
      <c r="D322" s="27" t="s">
        <v>279</v>
      </c>
      <c r="E322" s="32">
        <v>4270</v>
      </c>
      <c r="F322" s="28" t="s">
        <v>489</v>
      </c>
      <c r="G322" s="28" t="s">
        <v>475</v>
      </c>
      <c r="H322" s="26">
        <v>1</v>
      </c>
      <c r="I322" s="35">
        <v>106</v>
      </c>
      <c r="J322" s="35">
        <v>0</v>
      </c>
      <c r="K322" s="35">
        <v>8.27</v>
      </c>
      <c r="L322" s="35">
        <v>114.27</v>
      </c>
    </row>
    <row r="323" spans="2:12" x14ac:dyDescent="0.35">
      <c r="B323" s="31">
        <v>44979</v>
      </c>
      <c r="C323" s="40" t="str">
        <f t="shared" si="4"/>
        <v>Feb</v>
      </c>
      <c r="D323" s="27" t="s">
        <v>280</v>
      </c>
      <c r="E323" s="32">
        <v>16787</v>
      </c>
      <c r="F323" s="28" t="s">
        <v>493</v>
      </c>
      <c r="G323" s="28" t="s">
        <v>473</v>
      </c>
      <c r="H323" s="26">
        <v>1</v>
      </c>
      <c r="I323" s="35">
        <v>150</v>
      </c>
      <c r="J323" s="35">
        <v>0</v>
      </c>
      <c r="K323" s="35">
        <v>11.7</v>
      </c>
      <c r="L323" s="35">
        <v>161.69999999999999</v>
      </c>
    </row>
    <row r="324" spans="2:12" x14ac:dyDescent="0.35">
      <c r="B324" s="31">
        <v>44979</v>
      </c>
      <c r="C324" s="40" t="str">
        <f t="shared" si="4"/>
        <v>Feb</v>
      </c>
      <c r="D324" s="27" t="s">
        <v>281</v>
      </c>
      <c r="E324" s="32">
        <v>16832</v>
      </c>
      <c r="F324" s="28" t="s">
        <v>498</v>
      </c>
      <c r="G324" s="28" t="s">
        <v>474</v>
      </c>
      <c r="H324" s="26">
        <v>1</v>
      </c>
      <c r="I324" s="35">
        <v>135</v>
      </c>
      <c r="J324" s="35">
        <v>0</v>
      </c>
      <c r="K324" s="35">
        <v>10.53</v>
      </c>
      <c r="L324" s="35">
        <v>145.53</v>
      </c>
    </row>
    <row r="325" spans="2:12" x14ac:dyDescent="0.35">
      <c r="B325" s="31">
        <v>44980</v>
      </c>
      <c r="C325" s="40" t="str">
        <f t="shared" si="4"/>
        <v>Feb</v>
      </c>
      <c r="D325" s="27" t="s">
        <v>282</v>
      </c>
      <c r="E325" s="32">
        <v>8715</v>
      </c>
      <c r="F325" s="28" t="s">
        <v>485</v>
      </c>
      <c r="G325" s="28" t="s">
        <v>475</v>
      </c>
      <c r="H325" s="26">
        <v>1</v>
      </c>
      <c r="I325" s="35">
        <v>169</v>
      </c>
      <c r="J325" s="35">
        <v>0</v>
      </c>
      <c r="K325" s="35">
        <v>13.18</v>
      </c>
      <c r="L325" s="35">
        <v>182.18</v>
      </c>
    </row>
    <row r="326" spans="2:12" x14ac:dyDescent="0.35">
      <c r="B326" s="31">
        <v>44980</v>
      </c>
      <c r="C326" s="40" t="str">
        <f t="shared" ref="C326:C389" si="5">TEXT(B326,"MMM")</f>
        <v>Feb</v>
      </c>
      <c r="D326" s="27" t="s">
        <v>282</v>
      </c>
      <c r="E326" s="32">
        <v>8715</v>
      </c>
      <c r="F326" s="28" t="s">
        <v>491</v>
      </c>
      <c r="G326" s="28" t="s">
        <v>475</v>
      </c>
      <c r="H326" s="26">
        <v>1</v>
      </c>
      <c r="I326" s="35">
        <v>350</v>
      </c>
      <c r="J326" s="35">
        <v>0</v>
      </c>
      <c r="K326" s="35">
        <v>24.5</v>
      </c>
      <c r="L326" s="35">
        <v>374.5</v>
      </c>
    </row>
    <row r="327" spans="2:12" x14ac:dyDescent="0.35">
      <c r="B327" s="31">
        <v>44980</v>
      </c>
      <c r="C327" s="40" t="str">
        <f t="shared" si="5"/>
        <v>Feb</v>
      </c>
      <c r="D327" s="27" t="s">
        <v>283</v>
      </c>
      <c r="E327" s="32">
        <v>15446</v>
      </c>
      <c r="F327" s="28" t="s">
        <v>493</v>
      </c>
      <c r="G327" s="28" t="s">
        <v>476</v>
      </c>
      <c r="H327" s="26">
        <v>1</v>
      </c>
      <c r="I327" s="35">
        <v>350</v>
      </c>
      <c r="J327" s="35">
        <v>0</v>
      </c>
      <c r="K327" s="35">
        <v>0</v>
      </c>
      <c r="L327" s="35">
        <v>350</v>
      </c>
    </row>
    <row r="328" spans="2:12" x14ac:dyDescent="0.35">
      <c r="B328" s="31">
        <v>44980</v>
      </c>
      <c r="C328" s="40" t="str">
        <f t="shared" si="5"/>
        <v>Feb</v>
      </c>
      <c r="D328" s="27" t="s">
        <v>283</v>
      </c>
      <c r="E328" s="32">
        <v>15446</v>
      </c>
      <c r="F328" s="28" t="s">
        <v>498</v>
      </c>
      <c r="G328" s="28" t="s">
        <v>476</v>
      </c>
      <c r="H328" s="26">
        <v>1</v>
      </c>
      <c r="I328" s="35">
        <v>70</v>
      </c>
      <c r="J328" s="35">
        <v>0</v>
      </c>
      <c r="K328" s="35">
        <v>5.46</v>
      </c>
      <c r="L328" s="35">
        <v>75.459999999999994</v>
      </c>
    </row>
    <row r="329" spans="2:12" x14ac:dyDescent="0.35">
      <c r="B329" s="31">
        <v>44980</v>
      </c>
      <c r="C329" s="40" t="str">
        <f t="shared" si="5"/>
        <v>Feb</v>
      </c>
      <c r="D329" s="27" t="s">
        <v>284</v>
      </c>
      <c r="E329" s="32">
        <v>7486</v>
      </c>
      <c r="F329" s="28" t="s">
        <v>480</v>
      </c>
      <c r="G329" s="28" t="s">
        <v>476</v>
      </c>
      <c r="H329" s="26">
        <v>24</v>
      </c>
      <c r="I329" s="35">
        <v>15</v>
      </c>
      <c r="J329" s="35">
        <v>0</v>
      </c>
      <c r="K329" s="35">
        <v>0</v>
      </c>
      <c r="L329" s="35">
        <v>360</v>
      </c>
    </row>
    <row r="330" spans="2:12" x14ac:dyDescent="0.35">
      <c r="B330" s="31">
        <v>44980</v>
      </c>
      <c r="C330" s="40" t="str">
        <f t="shared" si="5"/>
        <v>Feb</v>
      </c>
      <c r="D330" s="27" t="s">
        <v>285</v>
      </c>
      <c r="E330" s="32">
        <v>173</v>
      </c>
      <c r="F330" s="28" t="s">
        <v>480</v>
      </c>
      <c r="G330" s="28" t="s">
        <v>475</v>
      </c>
      <c r="H330" s="26">
        <v>1</v>
      </c>
      <c r="I330" s="35">
        <v>0</v>
      </c>
      <c r="J330" s="35">
        <v>0</v>
      </c>
      <c r="K330" s="35">
        <v>0</v>
      </c>
      <c r="L330" s="35">
        <v>0</v>
      </c>
    </row>
    <row r="331" spans="2:12" x14ac:dyDescent="0.35">
      <c r="B331" s="31">
        <v>44980</v>
      </c>
      <c r="C331" s="40" t="str">
        <f t="shared" si="5"/>
        <v>Feb</v>
      </c>
      <c r="D331" s="27" t="s">
        <v>285</v>
      </c>
      <c r="E331" s="32">
        <v>173</v>
      </c>
      <c r="F331" s="28" t="s">
        <v>491</v>
      </c>
      <c r="G331" s="28" t="s">
        <v>475</v>
      </c>
      <c r="H331" s="26">
        <v>1</v>
      </c>
      <c r="I331" s="35">
        <v>110</v>
      </c>
      <c r="J331" s="35">
        <v>0</v>
      </c>
      <c r="K331" s="35">
        <v>8.58</v>
      </c>
      <c r="L331" s="35">
        <v>118.58</v>
      </c>
    </row>
    <row r="332" spans="2:12" x14ac:dyDescent="0.35">
      <c r="B332" s="31">
        <v>44980</v>
      </c>
      <c r="C332" s="40" t="str">
        <f t="shared" si="5"/>
        <v>Feb</v>
      </c>
      <c r="D332" s="27" t="s">
        <v>285</v>
      </c>
      <c r="E332" s="32">
        <v>173</v>
      </c>
      <c r="F332" s="28" t="s">
        <v>493</v>
      </c>
      <c r="G332" s="28" t="s">
        <v>475</v>
      </c>
      <c r="H332" s="26">
        <v>1</v>
      </c>
      <c r="I332" s="35">
        <v>0</v>
      </c>
      <c r="J332" s="35">
        <v>0</v>
      </c>
      <c r="K332" s="35">
        <v>0</v>
      </c>
      <c r="L332" s="35">
        <v>0</v>
      </c>
    </row>
    <row r="333" spans="2:12" x14ac:dyDescent="0.35">
      <c r="B333" s="31">
        <v>44980</v>
      </c>
      <c r="C333" s="40" t="str">
        <f t="shared" si="5"/>
        <v>Feb</v>
      </c>
      <c r="D333" s="27" t="s">
        <v>286</v>
      </c>
      <c r="E333" s="32">
        <v>16808</v>
      </c>
      <c r="F333" s="28" t="s">
        <v>496</v>
      </c>
      <c r="G333" s="28" t="s">
        <v>476</v>
      </c>
      <c r="H333" s="26">
        <v>1</v>
      </c>
      <c r="I333" s="35">
        <v>0</v>
      </c>
      <c r="J333" s="35">
        <v>0</v>
      </c>
      <c r="K333" s="35">
        <v>0</v>
      </c>
      <c r="L333" s="35">
        <v>0</v>
      </c>
    </row>
    <row r="334" spans="2:12" x14ac:dyDescent="0.35">
      <c r="B334" s="31">
        <v>44980</v>
      </c>
      <c r="C334" s="40" t="str">
        <f t="shared" si="5"/>
        <v>Feb</v>
      </c>
      <c r="D334" s="27" t="s">
        <v>287</v>
      </c>
      <c r="E334" s="32">
        <v>16818</v>
      </c>
      <c r="F334" s="28" t="s">
        <v>496</v>
      </c>
      <c r="G334" s="28" t="s">
        <v>475</v>
      </c>
      <c r="H334" s="26">
        <v>1</v>
      </c>
      <c r="I334" s="35">
        <v>0</v>
      </c>
      <c r="J334" s="35">
        <v>0</v>
      </c>
      <c r="K334" s="35">
        <v>0</v>
      </c>
      <c r="L334" s="35">
        <v>0</v>
      </c>
    </row>
    <row r="335" spans="2:12" x14ac:dyDescent="0.35">
      <c r="B335" s="31">
        <v>44980</v>
      </c>
      <c r="C335" s="40" t="str">
        <f t="shared" si="5"/>
        <v>Feb</v>
      </c>
      <c r="D335" s="27" t="s">
        <v>288</v>
      </c>
      <c r="E335" s="32">
        <v>4274</v>
      </c>
      <c r="F335" s="28" t="s">
        <v>480</v>
      </c>
      <c r="G335" s="28" t="s">
        <v>476</v>
      </c>
      <c r="H335" s="26">
        <v>26</v>
      </c>
      <c r="I335" s="35">
        <v>15</v>
      </c>
      <c r="J335" s="35">
        <v>0</v>
      </c>
      <c r="K335" s="35">
        <v>0</v>
      </c>
      <c r="L335" s="35">
        <v>390</v>
      </c>
    </row>
    <row r="336" spans="2:12" x14ac:dyDescent="0.35">
      <c r="B336" s="31">
        <v>44980</v>
      </c>
      <c r="C336" s="40" t="str">
        <f t="shared" si="5"/>
        <v>Feb</v>
      </c>
      <c r="D336" s="27" t="s">
        <v>289</v>
      </c>
      <c r="E336" s="32">
        <v>16834</v>
      </c>
      <c r="F336" s="28" t="s">
        <v>498</v>
      </c>
      <c r="G336" s="28" t="s">
        <v>477</v>
      </c>
      <c r="H336" s="26">
        <v>1</v>
      </c>
      <c r="I336" s="35">
        <v>36</v>
      </c>
      <c r="J336" s="35">
        <v>0</v>
      </c>
      <c r="K336" s="35">
        <v>2.81</v>
      </c>
      <c r="L336" s="35">
        <v>38.81</v>
      </c>
    </row>
    <row r="337" spans="2:12" x14ac:dyDescent="0.35">
      <c r="B337" s="31">
        <v>44980</v>
      </c>
      <c r="C337" s="40" t="str">
        <f t="shared" si="5"/>
        <v>Feb</v>
      </c>
      <c r="D337" s="27" t="s">
        <v>290</v>
      </c>
      <c r="E337" s="32">
        <v>5369</v>
      </c>
      <c r="F337" s="28" t="s">
        <v>481</v>
      </c>
      <c r="G337" s="28" t="s">
        <v>474</v>
      </c>
      <c r="H337" s="26">
        <v>1</v>
      </c>
      <c r="I337" s="35">
        <v>160</v>
      </c>
      <c r="J337" s="35">
        <v>80</v>
      </c>
      <c r="K337" s="35">
        <v>6.24</v>
      </c>
      <c r="L337" s="35">
        <v>86.24</v>
      </c>
    </row>
    <row r="338" spans="2:12" x14ac:dyDescent="0.35">
      <c r="B338" s="31">
        <v>44980</v>
      </c>
      <c r="C338" s="40" t="str">
        <f t="shared" si="5"/>
        <v>Feb</v>
      </c>
      <c r="D338" s="27" t="s">
        <v>291</v>
      </c>
      <c r="E338" s="32">
        <v>4278</v>
      </c>
      <c r="F338" s="28" t="s">
        <v>485</v>
      </c>
      <c r="G338" s="28" t="s">
        <v>474</v>
      </c>
      <c r="H338" s="26">
        <v>1</v>
      </c>
      <c r="I338" s="35">
        <v>169</v>
      </c>
      <c r="J338" s="35">
        <v>84.5</v>
      </c>
      <c r="K338" s="35">
        <v>6.59</v>
      </c>
      <c r="L338" s="35">
        <v>91.09</v>
      </c>
    </row>
    <row r="339" spans="2:12" x14ac:dyDescent="0.35">
      <c r="B339" s="31">
        <v>44981</v>
      </c>
      <c r="C339" s="40" t="str">
        <f t="shared" si="5"/>
        <v>Feb</v>
      </c>
      <c r="D339" s="27" t="s">
        <v>292</v>
      </c>
      <c r="E339" s="32">
        <v>13338</v>
      </c>
      <c r="F339" s="28" t="s">
        <v>499</v>
      </c>
      <c r="G339" s="28" t="s">
        <v>476</v>
      </c>
      <c r="H339" s="26">
        <v>1</v>
      </c>
      <c r="I339" s="35">
        <v>0</v>
      </c>
      <c r="J339" s="35">
        <v>0</v>
      </c>
      <c r="K339" s="35">
        <v>0</v>
      </c>
      <c r="L339" s="35">
        <v>0</v>
      </c>
    </row>
    <row r="340" spans="2:12" x14ac:dyDescent="0.35">
      <c r="B340" s="31">
        <v>44981</v>
      </c>
      <c r="C340" s="40" t="str">
        <f t="shared" si="5"/>
        <v>Feb</v>
      </c>
      <c r="D340" s="27" t="s">
        <v>293</v>
      </c>
      <c r="E340" s="32">
        <v>16736</v>
      </c>
      <c r="F340" s="28" t="s">
        <v>499</v>
      </c>
      <c r="G340" s="28" t="s">
        <v>476</v>
      </c>
      <c r="H340" s="26">
        <v>1</v>
      </c>
      <c r="I340" s="35">
        <v>100</v>
      </c>
      <c r="J340" s="35">
        <v>0</v>
      </c>
      <c r="K340" s="35">
        <v>0</v>
      </c>
      <c r="L340" s="35">
        <v>100</v>
      </c>
    </row>
    <row r="341" spans="2:12" x14ac:dyDescent="0.35">
      <c r="B341" s="31">
        <v>44981</v>
      </c>
      <c r="C341" s="40" t="str">
        <f t="shared" si="5"/>
        <v>Feb</v>
      </c>
      <c r="D341" s="27" t="s">
        <v>294</v>
      </c>
      <c r="E341" s="32">
        <v>16779</v>
      </c>
      <c r="F341" s="28" t="s">
        <v>482</v>
      </c>
      <c r="G341" s="28" t="s">
        <v>476</v>
      </c>
      <c r="H341" s="26">
        <v>1</v>
      </c>
      <c r="I341" s="35">
        <v>180</v>
      </c>
      <c r="J341" s="35">
        <v>0</v>
      </c>
      <c r="K341" s="35">
        <v>14.04</v>
      </c>
      <c r="L341" s="35">
        <v>194.04</v>
      </c>
    </row>
    <row r="342" spans="2:12" x14ac:dyDescent="0.35">
      <c r="B342" s="31">
        <v>44981</v>
      </c>
      <c r="C342" s="40" t="str">
        <f t="shared" si="5"/>
        <v>Feb</v>
      </c>
      <c r="D342" s="27" t="s">
        <v>294</v>
      </c>
      <c r="E342" s="32">
        <v>16779</v>
      </c>
      <c r="F342" s="28" t="s">
        <v>490</v>
      </c>
      <c r="G342" s="28" t="s">
        <v>476</v>
      </c>
      <c r="H342" s="26">
        <v>1</v>
      </c>
      <c r="I342" s="35">
        <v>50</v>
      </c>
      <c r="J342" s="35">
        <v>0</v>
      </c>
      <c r="K342" s="35">
        <v>3.5</v>
      </c>
      <c r="L342" s="35">
        <v>53.5</v>
      </c>
    </row>
    <row r="343" spans="2:12" x14ac:dyDescent="0.35">
      <c r="B343" s="31">
        <v>44981</v>
      </c>
      <c r="C343" s="40" t="str">
        <f t="shared" si="5"/>
        <v>Feb</v>
      </c>
      <c r="D343" s="27" t="s">
        <v>295</v>
      </c>
      <c r="E343" s="32">
        <v>8704</v>
      </c>
      <c r="F343" s="28" t="s">
        <v>493</v>
      </c>
      <c r="G343" s="28" t="s">
        <v>476</v>
      </c>
      <c r="H343" s="26">
        <v>1</v>
      </c>
      <c r="I343" s="35">
        <v>50</v>
      </c>
      <c r="J343" s="35">
        <v>0</v>
      </c>
      <c r="K343" s="35">
        <v>0</v>
      </c>
      <c r="L343" s="35">
        <v>50</v>
      </c>
    </row>
    <row r="344" spans="2:12" x14ac:dyDescent="0.35">
      <c r="B344" s="31">
        <v>44981</v>
      </c>
      <c r="C344" s="40" t="str">
        <f t="shared" si="5"/>
        <v>Feb</v>
      </c>
      <c r="D344" s="27" t="s">
        <v>296</v>
      </c>
      <c r="E344" s="32">
        <v>913</v>
      </c>
      <c r="F344" s="28" t="s">
        <v>485</v>
      </c>
      <c r="G344" s="28" t="s">
        <v>476</v>
      </c>
      <c r="H344" s="26">
        <v>20</v>
      </c>
      <c r="I344" s="35">
        <v>15</v>
      </c>
      <c r="J344" s="35">
        <v>0</v>
      </c>
      <c r="K344" s="35">
        <v>0</v>
      </c>
      <c r="L344" s="35">
        <v>300</v>
      </c>
    </row>
    <row r="345" spans="2:12" x14ac:dyDescent="0.35">
      <c r="B345" s="31">
        <v>44981</v>
      </c>
      <c r="C345" s="40" t="str">
        <f t="shared" si="5"/>
        <v>Feb</v>
      </c>
      <c r="D345" s="27" t="s">
        <v>297</v>
      </c>
      <c r="E345" s="32">
        <v>13194</v>
      </c>
      <c r="F345" s="28" t="s">
        <v>485</v>
      </c>
      <c r="G345" s="28" t="s">
        <v>476</v>
      </c>
      <c r="H345" s="26">
        <v>28</v>
      </c>
      <c r="I345" s="35">
        <v>15</v>
      </c>
      <c r="J345" s="35">
        <v>0</v>
      </c>
      <c r="K345" s="35">
        <v>0</v>
      </c>
      <c r="L345" s="35">
        <v>420</v>
      </c>
    </row>
    <row r="346" spans="2:12" x14ac:dyDescent="0.35">
      <c r="B346" s="31">
        <v>44981</v>
      </c>
      <c r="C346" s="40" t="str">
        <f t="shared" si="5"/>
        <v>Feb</v>
      </c>
      <c r="D346" s="27" t="s">
        <v>298</v>
      </c>
      <c r="E346" s="32">
        <v>4148</v>
      </c>
      <c r="F346" s="28" t="s">
        <v>487</v>
      </c>
      <c r="G346" s="28" t="s">
        <v>474</v>
      </c>
      <c r="H346" s="26">
        <v>1</v>
      </c>
      <c r="I346" s="35">
        <v>400</v>
      </c>
      <c r="J346" s="35">
        <v>0</v>
      </c>
      <c r="K346" s="35">
        <v>0</v>
      </c>
      <c r="L346" s="35">
        <v>400</v>
      </c>
    </row>
    <row r="347" spans="2:12" x14ac:dyDescent="0.35">
      <c r="B347" s="31">
        <v>44981</v>
      </c>
      <c r="C347" s="40" t="str">
        <f t="shared" si="5"/>
        <v>Feb</v>
      </c>
      <c r="D347" s="27" t="s">
        <v>299</v>
      </c>
      <c r="E347" s="32">
        <v>151</v>
      </c>
      <c r="F347" s="28" t="s">
        <v>491</v>
      </c>
      <c r="G347" s="28" t="s">
        <v>476</v>
      </c>
      <c r="H347" s="26">
        <v>1</v>
      </c>
      <c r="I347" s="35">
        <v>110</v>
      </c>
      <c r="J347" s="35">
        <v>0</v>
      </c>
      <c r="K347" s="35">
        <v>8.58</v>
      </c>
      <c r="L347" s="35">
        <v>118.58</v>
      </c>
    </row>
    <row r="348" spans="2:12" x14ac:dyDescent="0.35">
      <c r="B348" s="31">
        <v>44984</v>
      </c>
      <c r="C348" s="40" t="str">
        <f t="shared" si="5"/>
        <v>Feb</v>
      </c>
      <c r="D348" s="27" t="s">
        <v>300</v>
      </c>
      <c r="E348" s="32">
        <v>8647</v>
      </c>
      <c r="F348" s="28" t="s">
        <v>485</v>
      </c>
      <c r="G348" s="28" t="s">
        <v>473</v>
      </c>
      <c r="H348" s="26">
        <v>27</v>
      </c>
      <c r="I348" s="35">
        <v>15</v>
      </c>
      <c r="J348" s="35">
        <v>0</v>
      </c>
      <c r="K348" s="35">
        <v>0</v>
      </c>
      <c r="L348" s="35">
        <v>405</v>
      </c>
    </row>
    <row r="349" spans="2:12" x14ac:dyDescent="0.35">
      <c r="B349" s="31">
        <v>44984</v>
      </c>
      <c r="C349" s="40" t="str">
        <f t="shared" si="5"/>
        <v>Feb</v>
      </c>
      <c r="D349" s="27" t="s">
        <v>301</v>
      </c>
      <c r="E349" s="32">
        <v>16644</v>
      </c>
      <c r="F349" s="28" t="s">
        <v>489</v>
      </c>
      <c r="G349" s="28" t="s">
        <v>475</v>
      </c>
      <c r="H349" s="26">
        <v>1</v>
      </c>
      <c r="I349" s="35">
        <v>90</v>
      </c>
      <c r="J349" s="35">
        <v>0</v>
      </c>
      <c r="K349" s="35">
        <v>7.02</v>
      </c>
      <c r="L349" s="35">
        <v>97.02</v>
      </c>
    </row>
    <row r="350" spans="2:12" x14ac:dyDescent="0.35">
      <c r="B350" s="31">
        <v>44984</v>
      </c>
      <c r="C350" s="40" t="str">
        <f t="shared" si="5"/>
        <v>Feb</v>
      </c>
      <c r="D350" s="27" t="s">
        <v>302</v>
      </c>
      <c r="E350" s="32">
        <v>87</v>
      </c>
      <c r="F350" s="28" t="s">
        <v>499</v>
      </c>
      <c r="G350" s="28" t="s">
        <v>473</v>
      </c>
      <c r="H350" s="26">
        <v>36</v>
      </c>
      <c r="I350" s="35">
        <v>15</v>
      </c>
      <c r="J350" s="35">
        <v>0</v>
      </c>
      <c r="K350" s="35">
        <v>0</v>
      </c>
      <c r="L350" s="35">
        <v>540</v>
      </c>
    </row>
    <row r="351" spans="2:12" x14ac:dyDescent="0.35">
      <c r="B351" s="31">
        <v>44984</v>
      </c>
      <c r="C351" s="40" t="str">
        <f t="shared" si="5"/>
        <v>Feb</v>
      </c>
      <c r="D351" s="27" t="s">
        <v>302</v>
      </c>
      <c r="E351" s="32">
        <v>87</v>
      </c>
      <c r="F351" s="28" t="s">
        <v>495</v>
      </c>
      <c r="G351" s="28" t="s">
        <v>473</v>
      </c>
      <c r="H351" s="26">
        <v>1</v>
      </c>
      <c r="I351" s="35">
        <v>395</v>
      </c>
      <c r="J351" s="35">
        <v>0</v>
      </c>
      <c r="K351" s="35">
        <v>30.81</v>
      </c>
      <c r="L351" s="35">
        <v>425.81</v>
      </c>
    </row>
    <row r="352" spans="2:12" x14ac:dyDescent="0.35">
      <c r="B352" s="31">
        <v>44984</v>
      </c>
      <c r="C352" s="40" t="str">
        <f t="shared" si="5"/>
        <v>Feb</v>
      </c>
      <c r="D352" s="27" t="s">
        <v>303</v>
      </c>
      <c r="E352" s="32">
        <v>84</v>
      </c>
      <c r="F352" s="28" t="s">
        <v>480</v>
      </c>
      <c r="G352" s="28" t="s">
        <v>473</v>
      </c>
      <c r="H352" s="26">
        <v>28</v>
      </c>
      <c r="I352" s="35">
        <v>15</v>
      </c>
      <c r="J352" s="35">
        <v>0</v>
      </c>
      <c r="K352" s="35">
        <v>0</v>
      </c>
      <c r="L352" s="35">
        <v>420</v>
      </c>
    </row>
    <row r="353" spans="2:12" x14ac:dyDescent="0.35">
      <c r="B353" s="31">
        <v>44984</v>
      </c>
      <c r="C353" s="40" t="str">
        <f t="shared" si="5"/>
        <v>Feb</v>
      </c>
      <c r="D353" s="27" t="s">
        <v>304</v>
      </c>
      <c r="E353" s="32">
        <v>4199</v>
      </c>
      <c r="F353" s="28" t="s">
        <v>483</v>
      </c>
      <c r="G353" s="28" t="s">
        <v>473</v>
      </c>
      <c r="H353" s="26">
        <v>1</v>
      </c>
      <c r="I353" s="35">
        <v>750</v>
      </c>
      <c r="J353" s="35">
        <v>0</v>
      </c>
      <c r="K353" s="35">
        <v>0</v>
      </c>
      <c r="L353" s="35">
        <v>750</v>
      </c>
    </row>
    <row r="354" spans="2:12" x14ac:dyDescent="0.35">
      <c r="B354" s="31">
        <v>44984</v>
      </c>
      <c r="C354" s="40" t="str">
        <f t="shared" si="5"/>
        <v>Feb</v>
      </c>
      <c r="D354" s="27" t="s">
        <v>305</v>
      </c>
      <c r="E354" s="32">
        <v>584</v>
      </c>
      <c r="F354" s="28" t="s">
        <v>483</v>
      </c>
      <c r="G354" s="28" t="s">
        <v>473</v>
      </c>
      <c r="H354" s="26">
        <v>1</v>
      </c>
      <c r="I354" s="35">
        <v>825</v>
      </c>
      <c r="J354" s="35">
        <v>0</v>
      </c>
      <c r="K354" s="35">
        <v>0</v>
      </c>
      <c r="L354" s="35">
        <v>825</v>
      </c>
    </row>
    <row r="355" spans="2:12" x14ac:dyDescent="0.35">
      <c r="B355" s="31">
        <v>44984</v>
      </c>
      <c r="C355" s="40" t="str">
        <f t="shared" si="5"/>
        <v>Feb</v>
      </c>
      <c r="D355" s="27" t="s">
        <v>306</v>
      </c>
      <c r="E355" s="32">
        <v>17849</v>
      </c>
      <c r="F355" s="28" t="s">
        <v>484</v>
      </c>
      <c r="G355" s="28" t="s">
        <v>474</v>
      </c>
      <c r="H355" s="26">
        <v>1</v>
      </c>
      <c r="I355" s="35">
        <v>94.99</v>
      </c>
      <c r="J355" s="35">
        <v>0</v>
      </c>
      <c r="K355" s="35">
        <v>7.41</v>
      </c>
      <c r="L355" s="35">
        <v>102.39999999999999</v>
      </c>
    </row>
    <row r="356" spans="2:12" x14ac:dyDescent="0.35">
      <c r="B356" s="31">
        <v>44984</v>
      </c>
      <c r="C356" s="40" t="str">
        <f t="shared" si="5"/>
        <v>Feb</v>
      </c>
      <c r="D356" s="27" t="s">
        <v>307</v>
      </c>
      <c r="E356" s="32">
        <v>13176</v>
      </c>
      <c r="F356" s="28" t="s">
        <v>497</v>
      </c>
      <c r="G356" s="28" t="s">
        <v>473</v>
      </c>
      <c r="H356" s="26">
        <v>1</v>
      </c>
      <c r="I356" s="35">
        <v>500</v>
      </c>
      <c r="J356" s="35">
        <v>0</v>
      </c>
      <c r="K356" s="35">
        <v>0</v>
      </c>
      <c r="L356" s="35">
        <v>500</v>
      </c>
    </row>
    <row r="357" spans="2:12" x14ac:dyDescent="0.35">
      <c r="B357" s="31">
        <v>44984</v>
      </c>
      <c r="C357" s="40" t="str">
        <f t="shared" si="5"/>
        <v>Feb</v>
      </c>
      <c r="D357" s="27" t="s">
        <v>308</v>
      </c>
      <c r="E357" s="32">
        <v>17850</v>
      </c>
      <c r="F357" s="28" t="s">
        <v>499</v>
      </c>
      <c r="G357" s="28" t="s">
        <v>475</v>
      </c>
      <c r="H357" s="26">
        <v>1</v>
      </c>
      <c r="I357" s="35">
        <v>50</v>
      </c>
      <c r="J357" s="35">
        <v>0</v>
      </c>
      <c r="K357" s="35">
        <v>3.9</v>
      </c>
      <c r="L357" s="35">
        <v>53.9</v>
      </c>
    </row>
    <row r="358" spans="2:12" x14ac:dyDescent="0.35">
      <c r="B358" s="31">
        <v>44984</v>
      </c>
      <c r="C358" s="40" t="str">
        <f t="shared" si="5"/>
        <v>Feb</v>
      </c>
      <c r="D358" s="27" t="s">
        <v>309</v>
      </c>
      <c r="E358" s="32">
        <v>584</v>
      </c>
      <c r="F358" s="28" t="s">
        <v>496</v>
      </c>
      <c r="G358" s="28" t="s">
        <v>473</v>
      </c>
      <c r="H358" s="26">
        <v>1</v>
      </c>
      <c r="I358" s="35">
        <v>20</v>
      </c>
      <c r="J358" s="35">
        <v>0</v>
      </c>
      <c r="K358" s="35">
        <v>1.56</v>
      </c>
      <c r="L358" s="35">
        <v>21.56</v>
      </c>
    </row>
    <row r="359" spans="2:12" x14ac:dyDescent="0.35">
      <c r="B359" s="31">
        <v>44984</v>
      </c>
      <c r="C359" s="40" t="str">
        <f t="shared" si="5"/>
        <v>Feb</v>
      </c>
      <c r="D359" s="27" t="s">
        <v>309</v>
      </c>
      <c r="E359" s="32">
        <v>584</v>
      </c>
      <c r="F359" s="28" t="s">
        <v>487</v>
      </c>
      <c r="G359" s="28" t="s">
        <v>473</v>
      </c>
      <c r="H359" s="26">
        <v>1</v>
      </c>
      <c r="I359" s="35">
        <v>12.5</v>
      </c>
      <c r="J359" s="35">
        <v>0</v>
      </c>
      <c r="K359" s="35">
        <v>0.98</v>
      </c>
      <c r="L359" s="35">
        <v>13.48</v>
      </c>
    </row>
    <row r="360" spans="2:12" x14ac:dyDescent="0.35">
      <c r="B360" s="31">
        <v>44984</v>
      </c>
      <c r="C360" s="40" t="str">
        <f t="shared" si="5"/>
        <v>Feb</v>
      </c>
      <c r="D360" s="27" t="s">
        <v>310</v>
      </c>
      <c r="E360" s="32">
        <v>17854</v>
      </c>
      <c r="F360" s="28" t="s">
        <v>489</v>
      </c>
      <c r="G360" s="28" t="s">
        <v>474</v>
      </c>
      <c r="H360" s="26">
        <v>1</v>
      </c>
      <c r="I360" s="35">
        <v>90</v>
      </c>
      <c r="J360" s="35">
        <v>0</v>
      </c>
      <c r="K360" s="35">
        <v>7.02</v>
      </c>
      <c r="L360" s="35">
        <v>97.02</v>
      </c>
    </row>
    <row r="361" spans="2:12" x14ac:dyDescent="0.35">
      <c r="B361" s="31">
        <v>44984</v>
      </c>
      <c r="C361" s="40" t="str">
        <f t="shared" si="5"/>
        <v>Feb</v>
      </c>
      <c r="D361" s="27" t="s">
        <v>311</v>
      </c>
      <c r="E361" s="32">
        <v>17855</v>
      </c>
      <c r="F361" s="28" t="s">
        <v>499</v>
      </c>
      <c r="G361" s="28" t="s">
        <v>474</v>
      </c>
      <c r="H361" s="26">
        <v>1</v>
      </c>
      <c r="I361" s="35">
        <v>65</v>
      </c>
      <c r="J361" s="35">
        <v>0</v>
      </c>
      <c r="K361" s="35">
        <v>5.07</v>
      </c>
      <c r="L361" s="35">
        <v>70.069999999999993</v>
      </c>
    </row>
    <row r="362" spans="2:12" x14ac:dyDescent="0.35">
      <c r="B362" s="31">
        <v>44985</v>
      </c>
      <c r="C362" s="40" t="str">
        <f t="shared" si="5"/>
        <v>Feb</v>
      </c>
      <c r="D362" s="27" t="s">
        <v>312</v>
      </c>
      <c r="E362" s="32">
        <v>13084</v>
      </c>
      <c r="F362" s="28" t="s">
        <v>482</v>
      </c>
      <c r="G362" s="28" t="s">
        <v>475</v>
      </c>
      <c r="H362" s="26">
        <v>1</v>
      </c>
      <c r="I362" s="35">
        <v>180</v>
      </c>
      <c r="J362" s="35">
        <v>0</v>
      </c>
      <c r="K362" s="35">
        <v>14.04</v>
      </c>
      <c r="L362" s="35">
        <v>194.04</v>
      </c>
    </row>
    <row r="363" spans="2:12" x14ac:dyDescent="0.35">
      <c r="B363" s="31">
        <v>44985</v>
      </c>
      <c r="C363" s="40" t="str">
        <f t="shared" si="5"/>
        <v>Feb</v>
      </c>
      <c r="D363" s="27" t="s">
        <v>313</v>
      </c>
      <c r="E363" s="32">
        <v>13112</v>
      </c>
      <c r="F363" s="28" t="s">
        <v>485</v>
      </c>
      <c r="G363" s="28" t="s">
        <v>476</v>
      </c>
      <c r="H363" s="26">
        <v>36</v>
      </c>
      <c r="I363" s="35">
        <v>15</v>
      </c>
      <c r="J363" s="35">
        <v>0</v>
      </c>
      <c r="K363" s="35">
        <v>0</v>
      </c>
      <c r="L363" s="35">
        <v>540</v>
      </c>
    </row>
    <row r="364" spans="2:12" x14ac:dyDescent="0.35">
      <c r="B364" s="31">
        <v>44985</v>
      </c>
      <c r="C364" s="40" t="str">
        <f t="shared" si="5"/>
        <v>Feb</v>
      </c>
      <c r="D364" s="27" t="s">
        <v>314</v>
      </c>
      <c r="E364" s="32">
        <v>15431</v>
      </c>
      <c r="F364" s="28" t="s">
        <v>500</v>
      </c>
      <c r="G364" s="28" t="s">
        <v>476</v>
      </c>
      <c r="H364" s="26">
        <v>1</v>
      </c>
      <c r="I364" s="35">
        <v>0</v>
      </c>
      <c r="J364" s="35">
        <v>0</v>
      </c>
      <c r="K364" s="35">
        <v>0</v>
      </c>
      <c r="L364" s="35">
        <v>0</v>
      </c>
    </row>
    <row r="365" spans="2:12" x14ac:dyDescent="0.35">
      <c r="B365" s="31">
        <v>44985</v>
      </c>
      <c r="C365" s="40" t="str">
        <f t="shared" si="5"/>
        <v>Feb</v>
      </c>
      <c r="D365" s="27" t="s">
        <v>315</v>
      </c>
      <c r="E365" s="32">
        <v>13100</v>
      </c>
      <c r="F365" s="28" t="s">
        <v>482</v>
      </c>
      <c r="G365" s="28" t="s">
        <v>475</v>
      </c>
      <c r="H365" s="26">
        <v>1</v>
      </c>
      <c r="I365" s="35">
        <v>180</v>
      </c>
      <c r="J365" s="35">
        <v>0</v>
      </c>
      <c r="K365" s="35">
        <v>14.04</v>
      </c>
      <c r="L365" s="35">
        <v>194.04</v>
      </c>
    </row>
    <row r="366" spans="2:12" x14ac:dyDescent="0.35">
      <c r="B366" s="31">
        <v>44985</v>
      </c>
      <c r="C366" s="40" t="str">
        <f t="shared" si="5"/>
        <v>Feb</v>
      </c>
      <c r="D366" s="27" t="s">
        <v>316</v>
      </c>
      <c r="E366" s="32">
        <v>375</v>
      </c>
      <c r="F366" s="28" t="s">
        <v>482</v>
      </c>
      <c r="G366" s="28" t="s">
        <v>475</v>
      </c>
      <c r="H366" s="26">
        <v>1</v>
      </c>
      <c r="I366" s="35">
        <v>180</v>
      </c>
      <c r="J366" s="35">
        <v>0</v>
      </c>
      <c r="K366" s="35">
        <v>14.04</v>
      </c>
      <c r="L366" s="35">
        <v>194.04</v>
      </c>
    </row>
    <row r="367" spans="2:12" x14ac:dyDescent="0.35">
      <c r="B367" s="31">
        <v>44985</v>
      </c>
      <c r="C367" s="40" t="str">
        <f t="shared" si="5"/>
        <v>Feb</v>
      </c>
      <c r="D367" s="27" t="s">
        <v>317</v>
      </c>
      <c r="E367" s="32">
        <v>8656</v>
      </c>
      <c r="F367" s="28" t="s">
        <v>490</v>
      </c>
      <c r="G367" s="28" t="s">
        <v>476</v>
      </c>
      <c r="H367" s="26">
        <v>1</v>
      </c>
      <c r="I367" s="35">
        <v>5</v>
      </c>
      <c r="J367" s="35">
        <v>0</v>
      </c>
      <c r="K367" s="35">
        <v>0.35</v>
      </c>
      <c r="L367" s="35">
        <v>5.35</v>
      </c>
    </row>
    <row r="368" spans="2:12" x14ac:dyDescent="0.35">
      <c r="B368" s="31">
        <v>44985</v>
      </c>
      <c r="C368" s="40" t="str">
        <f t="shared" si="5"/>
        <v>Feb</v>
      </c>
      <c r="D368" s="27" t="s">
        <v>317</v>
      </c>
      <c r="E368" s="32">
        <v>8656</v>
      </c>
      <c r="F368" s="28" t="s">
        <v>482</v>
      </c>
      <c r="G368" s="28" t="s">
        <v>476</v>
      </c>
      <c r="H368" s="26">
        <v>1</v>
      </c>
      <c r="I368" s="35">
        <v>50</v>
      </c>
      <c r="J368" s="35">
        <v>0</v>
      </c>
      <c r="K368" s="35">
        <v>3.9</v>
      </c>
      <c r="L368" s="35">
        <v>53.9</v>
      </c>
    </row>
    <row r="369" spans="2:12" x14ac:dyDescent="0.35">
      <c r="B369" s="31">
        <v>44985</v>
      </c>
      <c r="C369" s="40" t="str">
        <f t="shared" si="5"/>
        <v>Feb</v>
      </c>
      <c r="D369" s="27" t="s">
        <v>318</v>
      </c>
      <c r="E369" s="32">
        <v>556</v>
      </c>
      <c r="F369" s="28" t="s">
        <v>490</v>
      </c>
      <c r="G369" s="28" t="s">
        <v>475</v>
      </c>
      <c r="H369" s="26">
        <v>1</v>
      </c>
      <c r="I369" s="35">
        <v>50</v>
      </c>
      <c r="J369" s="35">
        <v>0</v>
      </c>
      <c r="K369" s="35">
        <v>3.5</v>
      </c>
      <c r="L369" s="35">
        <v>53.5</v>
      </c>
    </row>
    <row r="370" spans="2:12" x14ac:dyDescent="0.35">
      <c r="B370" s="31">
        <v>44985</v>
      </c>
      <c r="C370" s="40" t="str">
        <f t="shared" si="5"/>
        <v>Feb</v>
      </c>
      <c r="D370" s="27" t="s">
        <v>318</v>
      </c>
      <c r="E370" s="32">
        <v>556</v>
      </c>
      <c r="F370" s="28" t="s">
        <v>500</v>
      </c>
      <c r="G370" s="28" t="s">
        <v>475</v>
      </c>
      <c r="H370" s="26">
        <v>1</v>
      </c>
      <c r="I370" s="35">
        <v>100</v>
      </c>
      <c r="J370" s="35">
        <v>0</v>
      </c>
      <c r="K370" s="35">
        <v>7</v>
      </c>
      <c r="L370" s="35">
        <v>107</v>
      </c>
    </row>
    <row r="371" spans="2:12" x14ac:dyDescent="0.35">
      <c r="B371" s="31">
        <v>44985</v>
      </c>
      <c r="C371" s="40" t="str">
        <f t="shared" si="5"/>
        <v>Feb</v>
      </c>
      <c r="D371" s="27" t="s">
        <v>319</v>
      </c>
      <c r="E371" s="32">
        <v>5369</v>
      </c>
      <c r="F371" s="28" t="s">
        <v>488</v>
      </c>
      <c r="G371" s="28" t="s">
        <v>475</v>
      </c>
      <c r="H371" s="26">
        <v>1</v>
      </c>
      <c r="I371" s="35">
        <v>100</v>
      </c>
      <c r="J371" s="35">
        <v>50</v>
      </c>
      <c r="K371" s="35">
        <v>3.9</v>
      </c>
      <c r="L371" s="35">
        <v>53.9</v>
      </c>
    </row>
    <row r="372" spans="2:12" x14ac:dyDescent="0.35">
      <c r="B372" s="31">
        <v>44985</v>
      </c>
      <c r="C372" s="40" t="str">
        <f t="shared" si="5"/>
        <v>Feb</v>
      </c>
      <c r="D372" s="27" t="s">
        <v>319</v>
      </c>
      <c r="E372" s="32">
        <v>5369</v>
      </c>
      <c r="F372" s="28" t="s">
        <v>491</v>
      </c>
      <c r="G372" s="28" t="s">
        <v>475</v>
      </c>
      <c r="H372" s="26">
        <v>1</v>
      </c>
      <c r="I372" s="35">
        <v>110</v>
      </c>
      <c r="J372" s="35">
        <v>55</v>
      </c>
      <c r="K372" s="35">
        <v>4.29</v>
      </c>
      <c r="L372" s="35">
        <v>59.29</v>
      </c>
    </row>
    <row r="373" spans="2:12" x14ac:dyDescent="0.35">
      <c r="B373" s="31">
        <v>44985</v>
      </c>
      <c r="C373" s="40" t="str">
        <f t="shared" si="5"/>
        <v>Feb</v>
      </c>
      <c r="D373" s="27" t="s">
        <v>319</v>
      </c>
      <c r="E373" s="32">
        <v>5369</v>
      </c>
      <c r="F373" s="28" t="s">
        <v>489</v>
      </c>
      <c r="G373" s="28" t="s">
        <v>475</v>
      </c>
      <c r="H373" s="26">
        <v>1</v>
      </c>
      <c r="I373" s="35">
        <v>130</v>
      </c>
      <c r="J373" s="35">
        <v>65</v>
      </c>
      <c r="K373" s="35">
        <v>5.07</v>
      </c>
      <c r="L373" s="35">
        <v>70.069999999999993</v>
      </c>
    </row>
    <row r="374" spans="2:12" x14ac:dyDescent="0.35">
      <c r="B374" s="31">
        <v>44986</v>
      </c>
      <c r="C374" s="40" t="str">
        <f t="shared" si="5"/>
        <v>Mar</v>
      </c>
      <c r="D374" s="27" t="s">
        <v>320</v>
      </c>
      <c r="E374" s="32">
        <v>850</v>
      </c>
      <c r="F374" s="28" t="s">
        <v>487</v>
      </c>
      <c r="G374" s="28" t="s">
        <v>473</v>
      </c>
      <c r="H374" s="26">
        <v>1</v>
      </c>
      <c r="I374" s="35">
        <v>275</v>
      </c>
      <c r="J374" s="35">
        <v>0</v>
      </c>
      <c r="K374" s="35">
        <v>21.45</v>
      </c>
      <c r="L374" s="35">
        <v>296.45</v>
      </c>
    </row>
    <row r="375" spans="2:12" x14ac:dyDescent="0.35">
      <c r="B375" s="31">
        <v>44986</v>
      </c>
      <c r="C375" s="40" t="str">
        <f t="shared" si="5"/>
        <v>Mar</v>
      </c>
      <c r="D375" s="27" t="s">
        <v>321</v>
      </c>
      <c r="E375" s="32">
        <v>498</v>
      </c>
      <c r="F375" s="28" t="s">
        <v>494</v>
      </c>
      <c r="G375" s="28" t="s">
        <v>473</v>
      </c>
      <c r="H375" s="26">
        <v>1</v>
      </c>
      <c r="I375" s="35">
        <v>200</v>
      </c>
      <c r="J375" s="35">
        <v>0</v>
      </c>
      <c r="K375" s="35">
        <v>0</v>
      </c>
      <c r="L375" s="35">
        <v>200</v>
      </c>
    </row>
    <row r="376" spans="2:12" x14ac:dyDescent="0.35">
      <c r="B376" s="31">
        <v>44986</v>
      </c>
      <c r="C376" s="40" t="str">
        <f t="shared" si="5"/>
        <v>Mar</v>
      </c>
      <c r="D376" s="27" t="s">
        <v>321</v>
      </c>
      <c r="E376" s="32">
        <v>498</v>
      </c>
      <c r="F376" s="28" t="s">
        <v>496</v>
      </c>
      <c r="G376" s="28" t="s">
        <v>473</v>
      </c>
      <c r="H376" s="26">
        <v>1</v>
      </c>
      <c r="I376" s="35">
        <v>20</v>
      </c>
      <c r="J376" s="35">
        <v>0</v>
      </c>
      <c r="K376" s="35">
        <v>1.56</v>
      </c>
      <c r="L376" s="35">
        <v>21.56</v>
      </c>
    </row>
    <row r="377" spans="2:12" x14ac:dyDescent="0.35">
      <c r="B377" s="31">
        <v>44986</v>
      </c>
      <c r="C377" s="40" t="str">
        <f t="shared" si="5"/>
        <v>Mar</v>
      </c>
      <c r="D377" s="27" t="s">
        <v>322</v>
      </c>
      <c r="E377" s="32">
        <v>845</v>
      </c>
      <c r="F377" s="28" t="s">
        <v>489</v>
      </c>
      <c r="G377" s="28" t="s">
        <v>475</v>
      </c>
      <c r="H377" s="26">
        <v>1</v>
      </c>
      <c r="I377" s="35">
        <v>90</v>
      </c>
      <c r="J377" s="35">
        <v>0</v>
      </c>
      <c r="K377" s="35">
        <v>7.02</v>
      </c>
      <c r="L377" s="35">
        <v>97.02</v>
      </c>
    </row>
    <row r="378" spans="2:12" x14ac:dyDescent="0.35">
      <c r="B378" s="31">
        <v>44986</v>
      </c>
      <c r="C378" s="40" t="str">
        <f t="shared" si="5"/>
        <v>Mar</v>
      </c>
      <c r="D378" s="27" t="s">
        <v>323</v>
      </c>
      <c r="E378" s="32">
        <v>16828</v>
      </c>
      <c r="F378" s="28" t="s">
        <v>487</v>
      </c>
      <c r="G378" s="28" t="s">
        <v>473</v>
      </c>
      <c r="H378" s="26">
        <v>1</v>
      </c>
      <c r="I378" s="35">
        <v>12.5</v>
      </c>
      <c r="J378" s="35">
        <v>0</v>
      </c>
      <c r="K378" s="35">
        <v>0.98</v>
      </c>
      <c r="L378" s="35">
        <v>13.48</v>
      </c>
    </row>
    <row r="379" spans="2:12" x14ac:dyDescent="0.35">
      <c r="B379" s="31">
        <v>44986</v>
      </c>
      <c r="C379" s="40" t="str">
        <f t="shared" si="5"/>
        <v>Mar</v>
      </c>
      <c r="D379" s="27" t="s">
        <v>323</v>
      </c>
      <c r="E379" s="32">
        <v>16828</v>
      </c>
      <c r="F379" s="28" t="s">
        <v>480</v>
      </c>
      <c r="G379" s="28" t="s">
        <v>473</v>
      </c>
      <c r="H379" s="26">
        <v>1</v>
      </c>
      <c r="I379" s="35">
        <v>750</v>
      </c>
      <c r="J379" s="35">
        <v>0</v>
      </c>
      <c r="K379" s="35">
        <v>0</v>
      </c>
      <c r="L379" s="35">
        <v>750</v>
      </c>
    </row>
    <row r="380" spans="2:12" x14ac:dyDescent="0.35">
      <c r="B380" s="31">
        <v>44986</v>
      </c>
      <c r="C380" s="40" t="str">
        <f t="shared" si="5"/>
        <v>Mar</v>
      </c>
      <c r="D380" s="27" t="s">
        <v>324</v>
      </c>
      <c r="E380" s="32">
        <v>248</v>
      </c>
      <c r="F380" s="28" t="s">
        <v>491</v>
      </c>
      <c r="G380" s="28" t="s">
        <v>475</v>
      </c>
      <c r="H380" s="26">
        <v>1</v>
      </c>
      <c r="I380" s="35">
        <v>0</v>
      </c>
      <c r="J380" s="35">
        <v>0</v>
      </c>
      <c r="K380" s="35">
        <v>0</v>
      </c>
      <c r="L380" s="35">
        <v>0</v>
      </c>
    </row>
    <row r="381" spans="2:12" x14ac:dyDescent="0.35">
      <c r="B381" s="31">
        <v>44986</v>
      </c>
      <c r="C381" s="40" t="str">
        <f t="shared" si="5"/>
        <v>Mar</v>
      </c>
      <c r="D381" s="27" t="s">
        <v>324</v>
      </c>
      <c r="E381" s="32">
        <v>248</v>
      </c>
      <c r="F381" s="28" t="s">
        <v>489</v>
      </c>
      <c r="G381" s="28" t="s">
        <v>475</v>
      </c>
      <c r="H381" s="26">
        <v>1</v>
      </c>
      <c r="I381" s="35">
        <v>106</v>
      </c>
      <c r="J381" s="35">
        <v>0</v>
      </c>
      <c r="K381" s="35">
        <v>8.27</v>
      </c>
      <c r="L381" s="35">
        <v>114.27</v>
      </c>
    </row>
    <row r="382" spans="2:12" x14ac:dyDescent="0.35">
      <c r="B382" s="31">
        <v>44986</v>
      </c>
      <c r="C382" s="40" t="str">
        <f t="shared" si="5"/>
        <v>Mar</v>
      </c>
      <c r="D382" s="27" t="s">
        <v>325</v>
      </c>
      <c r="E382" s="32">
        <v>8514</v>
      </c>
      <c r="F382" s="28" t="s">
        <v>480</v>
      </c>
      <c r="G382" s="28" t="s">
        <v>473</v>
      </c>
      <c r="H382" s="26">
        <v>24</v>
      </c>
      <c r="I382" s="35">
        <v>15</v>
      </c>
      <c r="J382" s="35">
        <v>0</v>
      </c>
      <c r="K382" s="35">
        <v>0</v>
      </c>
      <c r="L382" s="35">
        <v>360</v>
      </c>
    </row>
    <row r="383" spans="2:12" x14ac:dyDescent="0.35">
      <c r="B383" s="31">
        <v>44986</v>
      </c>
      <c r="C383" s="40" t="str">
        <f t="shared" si="5"/>
        <v>Mar</v>
      </c>
      <c r="D383" s="27" t="s">
        <v>326</v>
      </c>
      <c r="E383" s="32">
        <v>16842</v>
      </c>
      <c r="F383" s="28" t="s">
        <v>480</v>
      </c>
      <c r="G383" s="28" t="s">
        <v>473</v>
      </c>
      <c r="H383" s="26">
        <v>50</v>
      </c>
      <c r="I383" s="35">
        <v>15</v>
      </c>
      <c r="J383" s="35">
        <v>0</v>
      </c>
      <c r="K383" s="35">
        <v>0</v>
      </c>
      <c r="L383" s="35">
        <v>750</v>
      </c>
    </row>
    <row r="384" spans="2:12" x14ac:dyDescent="0.35">
      <c r="B384" s="31">
        <v>44986</v>
      </c>
      <c r="C384" s="40" t="str">
        <f t="shared" si="5"/>
        <v>Mar</v>
      </c>
      <c r="D384" s="27" t="s">
        <v>327</v>
      </c>
      <c r="E384" s="32">
        <v>15436</v>
      </c>
      <c r="F384" s="28" t="s">
        <v>480</v>
      </c>
      <c r="G384" s="28" t="s">
        <v>473</v>
      </c>
      <c r="H384" s="26">
        <v>28</v>
      </c>
      <c r="I384" s="35">
        <v>15</v>
      </c>
      <c r="J384" s="35">
        <v>0</v>
      </c>
      <c r="K384" s="35">
        <v>0</v>
      </c>
      <c r="L384" s="35">
        <v>420</v>
      </c>
    </row>
    <row r="385" spans="2:12" x14ac:dyDescent="0.35">
      <c r="B385" s="31">
        <v>44986</v>
      </c>
      <c r="C385" s="40" t="str">
        <f t="shared" si="5"/>
        <v>Mar</v>
      </c>
      <c r="D385" s="27" t="s">
        <v>327</v>
      </c>
      <c r="E385" s="32">
        <v>15436</v>
      </c>
      <c r="F385" s="28" t="s">
        <v>496</v>
      </c>
      <c r="G385" s="28" t="s">
        <v>473</v>
      </c>
      <c r="H385" s="26">
        <v>1</v>
      </c>
      <c r="I385" s="35">
        <v>0</v>
      </c>
      <c r="J385" s="35">
        <v>0</v>
      </c>
      <c r="K385" s="35">
        <v>0</v>
      </c>
      <c r="L385" s="35">
        <v>0</v>
      </c>
    </row>
    <row r="386" spans="2:12" x14ac:dyDescent="0.35">
      <c r="B386" s="31">
        <v>44986</v>
      </c>
      <c r="C386" s="40" t="str">
        <f t="shared" si="5"/>
        <v>Mar</v>
      </c>
      <c r="D386" s="27" t="s">
        <v>328</v>
      </c>
      <c r="E386" s="32">
        <v>4233</v>
      </c>
      <c r="F386" s="28" t="s">
        <v>489</v>
      </c>
      <c r="G386" s="28" t="s">
        <v>475</v>
      </c>
      <c r="H386" s="26">
        <v>1</v>
      </c>
      <c r="I386" s="35">
        <v>106</v>
      </c>
      <c r="J386" s="35">
        <v>0</v>
      </c>
      <c r="K386" s="35">
        <v>8.27</v>
      </c>
      <c r="L386" s="35">
        <v>114.27</v>
      </c>
    </row>
    <row r="387" spans="2:12" x14ac:dyDescent="0.35">
      <c r="B387" s="31">
        <v>44986</v>
      </c>
      <c r="C387" s="40" t="str">
        <f t="shared" si="5"/>
        <v>Mar</v>
      </c>
      <c r="D387" s="27" t="s">
        <v>328</v>
      </c>
      <c r="E387" s="32">
        <v>4233</v>
      </c>
      <c r="F387" s="28" t="s">
        <v>482</v>
      </c>
      <c r="G387" s="28" t="s">
        <v>475</v>
      </c>
      <c r="H387" s="26">
        <v>1</v>
      </c>
      <c r="I387" s="35">
        <v>180</v>
      </c>
      <c r="J387" s="35">
        <v>0</v>
      </c>
      <c r="K387" s="35">
        <v>14.04</v>
      </c>
      <c r="L387" s="35">
        <v>194.04</v>
      </c>
    </row>
    <row r="388" spans="2:12" x14ac:dyDescent="0.35">
      <c r="B388" s="31">
        <v>44987</v>
      </c>
      <c r="C388" s="40" t="str">
        <f t="shared" si="5"/>
        <v>Mar</v>
      </c>
      <c r="D388" s="27" t="s">
        <v>329</v>
      </c>
      <c r="E388" s="32">
        <v>16843</v>
      </c>
      <c r="F388" s="28" t="s">
        <v>482</v>
      </c>
      <c r="G388" s="28" t="s">
        <v>476</v>
      </c>
      <c r="H388" s="26">
        <v>1</v>
      </c>
      <c r="I388" s="35">
        <v>3000</v>
      </c>
      <c r="J388" s="35">
        <v>0</v>
      </c>
      <c r="K388" s="35">
        <v>234</v>
      </c>
      <c r="L388" s="35">
        <v>3234</v>
      </c>
    </row>
    <row r="389" spans="2:12" x14ac:dyDescent="0.35">
      <c r="B389" s="31">
        <v>44987</v>
      </c>
      <c r="C389" s="40" t="str">
        <f t="shared" si="5"/>
        <v>Mar</v>
      </c>
      <c r="D389" s="27" t="s">
        <v>330</v>
      </c>
      <c r="E389" s="32">
        <v>13013</v>
      </c>
      <c r="F389" s="28" t="s">
        <v>480</v>
      </c>
      <c r="G389" s="28" t="s">
        <v>474</v>
      </c>
      <c r="H389" s="26">
        <v>1</v>
      </c>
      <c r="I389" s="35">
        <v>0</v>
      </c>
      <c r="J389" s="35">
        <v>0</v>
      </c>
      <c r="K389" s="35">
        <v>0</v>
      </c>
      <c r="L389" s="35">
        <v>0</v>
      </c>
    </row>
    <row r="390" spans="2:12" x14ac:dyDescent="0.35">
      <c r="B390" s="31">
        <v>44987</v>
      </c>
      <c r="C390" s="40" t="str">
        <f t="shared" ref="C390:C453" si="6">TEXT(B390,"MMM")</f>
        <v>Mar</v>
      </c>
      <c r="D390" s="27" t="s">
        <v>331</v>
      </c>
      <c r="E390" s="32">
        <v>173</v>
      </c>
      <c r="F390" s="28" t="s">
        <v>480</v>
      </c>
      <c r="G390" s="28" t="s">
        <v>474</v>
      </c>
      <c r="H390" s="26">
        <v>1</v>
      </c>
      <c r="I390" s="35">
        <v>0</v>
      </c>
      <c r="J390" s="35">
        <v>0</v>
      </c>
      <c r="K390" s="35">
        <v>0</v>
      </c>
      <c r="L390" s="35">
        <v>0</v>
      </c>
    </row>
    <row r="391" spans="2:12" x14ac:dyDescent="0.35">
      <c r="B391" s="31">
        <v>44987</v>
      </c>
      <c r="C391" s="40" t="str">
        <f t="shared" si="6"/>
        <v>Mar</v>
      </c>
      <c r="D391" s="27" t="s">
        <v>332</v>
      </c>
      <c r="E391" s="32">
        <v>13073</v>
      </c>
      <c r="F391" s="28" t="s">
        <v>494</v>
      </c>
      <c r="G391" s="28" t="s">
        <v>474</v>
      </c>
      <c r="H391" s="26">
        <v>1</v>
      </c>
      <c r="I391" s="35">
        <v>36</v>
      </c>
      <c r="J391" s="35">
        <v>18</v>
      </c>
      <c r="K391" s="35">
        <v>1.4</v>
      </c>
      <c r="L391" s="35">
        <v>19.399999999999999</v>
      </c>
    </row>
    <row r="392" spans="2:12" x14ac:dyDescent="0.35">
      <c r="B392" s="31">
        <v>44988</v>
      </c>
      <c r="C392" s="40" t="str">
        <f t="shared" si="6"/>
        <v>Mar</v>
      </c>
      <c r="D392" s="27" t="s">
        <v>333</v>
      </c>
      <c r="E392" s="32">
        <v>13189</v>
      </c>
      <c r="F392" s="28" t="s">
        <v>495</v>
      </c>
      <c r="G392" s="28" t="s">
        <v>476</v>
      </c>
      <c r="H392" s="26">
        <v>1</v>
      </c>
      <c r="I392" s="35">
        <v>80</v>
      </c>
      <c r="J392" s="35">
        <v>0</v>
      </c>
      <c r="K392" s="35">
        <v>5.6</v>
      </c>
      <c r="L392" s="35">
        <v>85.6</v>
      </c>
    </row>
    <row r="393" spans="2:12" x14ac:dyDescent="0.35">
      <c r="B393" s="31">
        <v>44988</v>
      </c>
      <c r="C393" s="40" t="str">
        <f t="shared" si="6"/>
        <v>Mar</v>
      </c>
      <c r="D393" s="27" t="s">
        <v>334</v>
      </c>
      <c r="E393" s="32">
        <v>940</v>
      </c>
      <c r="F393" s="28" t="s">
        <v>487</v>
      </c>
      <c r="G393" s="28" t="s">
        <v>476</v>
      </c>
      <c r="H393" s="26">
        <v>1</v>
      </c>
      <c r="I393" s="35">
        <v>275</v>
      </c>
      <c r="J393" s="35">
        <v>0</v>
      </c>
      <c r="K393" s="35">
        <v>21.45</v>
      </c>
      <c r="L393" s="35">
        <v>296.45</v>
      </c>
    </row>
    <row r="394" spans="2:12" x14ac:dyDescent="0.35">
      <c r="B394" s="31">
        <v>44988</v>
      </c>
      <c r="C394" s="40" t="str">
        <f t="shared" si="6"/>
        <v>Mar</v>
      </c>
      <c r="D394" s="27" t="s">
        <v>335</v>
      </c>
      <c r="E394" s="32">
        <v>8577</v>
      </c>
      <c r="F394" s="28" t="s">
        <v>481</v>
      </c>
      <c r="G394" s="28" t="s">
        <v>474</v>
      </c>
      <c r="H394" s="26">
        <v>1</v>
      </c>
      <c r="I394" s="35">
        <v>173</v>
      </c>
      <c r="J394" s="35">
        <v>86.5</v>
      </c>
      <c r="K394" s="35">
        <v>6.75</v>
      </c>
      <c r="L394" s="35">
        <v>93.25</v>
      </c>
    </row>
    <row r="395" spans="2:12" x14ac:dyDescent="0.35">
      <c r="B395" s="31">
        <v>44988</v>
      </c>
      <c r="C395" s="40" t="str">
        <f t="shared" si="6"/>
        <v>Mar</v>
      </c>
      <c r="D395" s="27" t="s">
        <v>336</v>
      </c>
      <c r="E395" s="32">
        <v>413</v>
      </c>
      <c r="F395" s="28" t="s">
        <v>482</v>
      </c>
      <c r="G395" s="28" t="s">
        <v>476</v>
      </c>
      <c r="H395" s="26">
        <v>1</v>
      </c>
      <c r="I395" s="35">
        <v>50</v>
      </c>
      <c r="J395" s="35">
        <v>0</v>
      </c>
      <c r="K395" s="35">
        <v>3.9</v>
      </c>
      <c r="L395" s="35">
        <v>53.9</v>
      </c>
    </row>
    <row r="396" spans="2:12" x14ac:dyDescent="0.35">
      <c r="B396" s="31">
        <v>44988</v>
      </c>
      <c r="C396" s="40" t="str">
        <f t="shared" si="6"/>
        <v>Mar</v>
      </c>
      <c r="D396" s="27" t="s">
        <v>337</v>
      </c>
      <c r="E396" s="32">
        <v>15417</v>
      </c>
      <c r="F396" s="28" t="s">
        <v>481</v>
      </c>
      <c r="G396" s="28" t="s">
        <v>476</v>
      </c>
      <c r="H396" s="26">
        <v>1</v>
      </c>
      <c r="I396" s="35">
        <v>10</v>
      </c>
      <c r="J396" s="35">
        <v>0</v>
      </c>
      <c r="K396" s="35">
        <v>0.78</v>
      </c>
      <c r="L396" s="35">
        <v>10.78</v>
      </c>
    </row>
    <row r="397" spans="2:12" x14ac:dyDescent="0.35">
      <c r="B397" s="31">
        <v>44988</v>
      </c>
      <c r="C397" s="40" t="str">
        <f t="shared" si="6"/>
        <v>Mar</v>
      </c>
      <c r="D397" s="27" t="s">
        <v>338</v>
      </c>
      <c r="E397" s="32">
        <v>13073</v>
      </c>
      <c r="F397" s="28" t="s">
        <v>482</v>
      </c>
      <c r="G397" s="28" t="s">
        <v>474</v>
      </c>
      <c r="H397" s="26">
        <v>1</v>
      </c>
      <c r="I397" s="35">
        <v>50</v>
      </c>
      <c r="J397" s="35">
        <v>0</v>
      </c>
      <c r="K397" s="35">
        <v>3.9</v>
      </c>
      <c r="L397" s="35">
        <v>53.9</v>
      </c>
    </row>
    <row r="398" spans="2:12" x14ac:dyDescent="0.35">
      <c r="B398" s="31">
        <v>44988</v>
      </c>
      <c r="C398" s="40" t="str">
        <f t="shared" si="6"/>
        <v>Mar</v>
      </c>
      <c r="D398" s="27" t="s">
        <v>339</v>
      </c>
      <c r="E398" s="32">
        <v>17880</v>
      </c>
      <c r="F398" s="28" t="s">
        <v>488</v>
      </c>
      <c r="G398" s="28" t="s">
        <v>474</v>
      </c>
      <c r="H398" s="26">
        <v>1</v>
      </c>
      <c r="I398" s="35">
        <v>19.989999999999998</v>
      </c>
      <c r="J398" s="35">
        <v>0</v>
      </c>
      <c r="K398" s="35">
        <v>1.56</v>
      </c>
      <c r="L398" s="35">
        <v>21.549999999999997</v>
      </c>
    </row>
    <row r="399" spans="2:12" x14ac:dyDescent="0.35">
      <c r="B399" s="31">
        <v>44988</v>
      </c>
      <c r="C399" s="40" t="str">
        <f t="shared" si="6"/>
        <v>Mar</v>
      </c>
      <c r="D399" s="27" t="s">
        <v>339</v>
      </c>
      <c r="E399" s="32">
        <v>17880</v>
      </c>
      <c r="F399" s="28" t="s">
        <v>486</v>
      </c>
      <c r="G399" s="28" t="s">
        <v>474</v>
      </c>
      <c r="H399" s="26">
        <v>1</v>
      </c>
      <c r="I399" s="35">
        <v>17.5</v>
      </c>
      <c r="J399" s="35">
        <v>0</v>
      </c>
      <c r="K399" s="35">
        <v>1.37</v>
      </c>
      <c r="L399" s="35">
        <v>18.87</v>
      </c>
    </row>
    <row r="400" spans="2:12" x14ac:dyDescent="0.35">
      <c r="B400" s="31">
        <v>44991</v>
      </c>
      <c r="C400" s="40" t="str">
        <f t="shared" si="6"/>
        <v>Mar</v>
      </c>
      <c r="D400" s="27" t="s">
        <v>340</v>
      </c>
      <c r="E400" s="32">
        <v>4207</v>
      </c>
      <c r="F400" s="28" t="s">
        <v>480</v>
      </c>
      <c r="G400" s="28" t="s">
        <v>473</v>
      </c>
      <c r="H400" s="26">
        <v>44</v>
      </c>
      <c r="I400" s="35">
        <v>15</v>
      </c>
      <c r="J400" s="35">
        <v>0</v>
      </c>
      <c r="K400" s="35">
        <v>0</v>
      </c>
      <c r="L400" s="35">
        <v>660</v>
      </c>
    </row>
    <row r="401" spans="2:12" x14ac:dyDescent="0.35">
      <c r="B401" s="31">
        <v>44991</v>
      </c>
      <c r="C401" s="40" t="str">
        <f t="shared" si="6"/>
        <v>Mar</v>
      </c>
      <c r="D401" s="27" t="s">
        <v>341</v>
      </c>
      <c r="E401" s="32">
        <v>13323</v>
      </c>
      <c r="F401" s="28" t="s">
        <v>490</v>
      </c>
      <c r="G401" s="28" t="s">
        <v>475</v>
      </c>
      <c r="H401" s="26">
        <v>1</v>
      </c>
      <c r="I401" s="35">
        <v>0</v>
      </c>
      <c r="J401" s="35">
        <v>0</v>
      </c>
      <c r="K401" s="35">
        <v>0</v>
      </c>
      <c r="L401" s="35">
        <v>0</v>
      </c>
    </row>
    <row r="402" spans="2:12" x14ac:dyDescent="0.35">
      <c r="B402" s="31">
        <v>44991</v>
      </c>
      <c r="C402" s="40" t="str">
        <f t="shared" si="6"/>
        <v>Mar</v>
      </c>
      <c r="D402" s="27" t="s">
        <v>341</v>
      </c>
      <c r="E402" s="32">
        <v>13323</v>
      </c>
      <c r="F402" s="28" t="s">
        <v>482</v>
      </c>
      <c r="G402" s="28" t="s">
        <v>475</v>
      </c>
      <c r="H402" s="26">
        <v>1</v>
      </c>
      <c r="I402" s="35">
        <v>180</v>
      </c>
      <c r="J402" s="35">
        <v>0</v>
      </c>
      <c r="K402" s="35">
        <v>14.04</v>
      </c>
      <c r="L402" s="35">
        <v>194.04</v>
      </c>
    </row>
    <row r="403" spans="2:12" x14ac:dyDescent="0.35">
      <c r="B403" s="31">
        <v>44991</v>
      </c>
      <c r="C403" s="40" t="str">
        <f t="shared" si="6"/>
        <v>Mar</v>
      </c>
      <c r="D403" s="27" t="s">
        <v>342</v>
      </c>
      <c r="E403" s="32">
        <v>10830</v>
      </c>
      <c r="F403" s="28" t="s">
        <v>493</v>
      </c>
      <c r="G403" s="28" t="s">
        <v>473</v>
      </c>
      <c r="H403" s="26">
        <v>1</v>
      </c>
      <c r="I403" s="35">
        <v>0</v>
      </c>
      <c r="J403" s="35">
        <v>0</v>
      </c>
      <c r="K403" s="35">
        <v>0</v>
      </c>
      <c r="L403" s="35">
        <v>0</v>
      </c>
    </row>
    <row r="404" spans="2:12" x14ac:dyDescent="0.35">
      <c r="B404" s="31">
        <v>44992</v>
      </c>
      <c r="C404" s="40" t="str">
        <f t="shared" si="6"/>
        <v>Mar</v>
      </c>
      <c r="D404" s="27" t="s">
        <v>343</v>
      </c>
      <c r="E404" s="32">
        <v>935</v>
      </c>
      <c r="F404" s="28" t="s">
        <v>500</v>
      </c>
      <c r="G404" s="28" t="s">
        <v>476</v>
      </c>
      <c r="H404" s="26">
        <v>1</v>
      </c>
      <c r="I404" s="35">
        <v>0</v>
      </c>
      <c r="J404" s="35">
        <v>0</v>
      </c>
      <c r="K404" s="35">
        <v>0</v>
      </c>
      <c r="L404" s="35">
        <v>0</v>
      </c>
    </row>
    <row r="405" spans="2:12" x14ac:dyDescent="0.35">
      <c r="B405" s="31">
        <v>44992</v>
      </c>
      <c r="C405" s="40" t="str">
        <f t="shared" si="6"/>
        <v>Mar</v>
      </c>
      <c r="D405" s="27" t="s">
        <v>344</v>
      </c>
      <c r="E405" s="32">
        <v>935</v>
      </c>
      <c r="F405" s="28" t="s">
        <v>500</v>
      </c>
      <c r="G405" s="28" t="s">
        <v>476</v>
      </c>
      <c r="H405" s="26">
        <v>1</v>
      </c>
      <c r="I405" s="35">
        <v>950</v>
      </c>
      <c r="J405" s="35">
        <v>0</v>
      </c>
      <c r="K405" s="35">
        <v>0</v>
      </c>
      <c r="L405" s="35">
        <v>950</v>
      </c>
    </row>
    <row r="406" spans="2:12" x14ac:dyDescent="0.35">
      <c r="B406" s="31">
        <v>44992</v>
      </c>
      <c r="C406" s="40" t="str">
        <f t="shared" si="6"/>
        <v>Mar</v>
      </c>
      <c r="D406" s="27" t="s">
        <v>345</v>
      </c>
      <c r="E406" s="32">
        <v>17900</v>
      </c>
      <c r="F406" s="28" t="s">
        <v>482</v>
      </c>
      <c r="G406" s="28" t="s">
        <v>475</v>
      </c>
      <c r="H406" s="26">
        <v>1</v>
      </c>
      <c r="I406" s="35">
        <v>180</v>
      </c>
      <c r="J406" s="35">
        <v>0</v>
      </c>
      <c r="K406" s="35">
        <v>14.04</v>
      </c>
      <c r="L406" s="35">
        <v>194.04</v>
      </c>
    </row>
    <row r="407" spans="2:12" x14ac:dyDescent="0.35">
      <c r="B407" s="31">
        <v>44992</v>
      </c>
      <c r="C407" s="40" t="str">
        <f t="shared" si="6"/>
        <v>Mar</v>
      </c>
      <c r="D407" s="27" t="s">
        <v>345</v>
      </c>
      <c r="E407" s="32">
        <v>17900</v>
      </c>
      <c r="F407" s="28" t="s">
        <v>490</v>
      </c>
      <c r="G407" s="28" t="s">
        <v>475</v>
      </c>
      <c r="H407" s="26">
        <v>1</v>
      </c>
      <c r="I407" s="35">
        <v>0</v>
      </c>
      <c r="J407" s="35">
        <v>0</v>
      </c>
      <c r="K407" s="35">
        <v>0</v>
      </c>
      <c r="L407" s="35">
        <v>0</v>
      </c>
    </row>
    <row r="408" spans="2:12" x14ac:dyDescent="0.35">
      <c r="B408" s="31">
        <v>44992</v>
      </c>
      <c r="C408" s="40" t="str">
        <f t="shared" si="6"/>
        <v>Mar</v>
      </c>
      <c r="D408" s="27" t="s">
        <v>346</v>
      </c>
      <c r="E408" s="32">
        <v>17908</v>
      </c>
      <c r="F408" s="28" t="s">
        <v>482</v>
      </c>
      <c r="G408" s="28" t="s">
        <v>476</v>
      </c>
      <c r="H408" s="26">
        <v>1</v>
      </c>
      <c r="I408" s="35">
        <v>3000</v>
      </c>
      <c r="J408" s="35">
        <v>0</v>
      </c>
      <c r="K408" s="35">
        <v>234</v>
      </c>
      <c r="L408" s="35">
        <v>3234</v>
      </c>
    </row>
    <row r="409" spans="2:12" x14ac:dyDescent="0.35">
      <c r="B409" s="31">
        <v>44992</v>
      </c>
      <c r="C409" s="40" t="str">
        <f t="shared" si="6"/>
        <v>Mar</v>
      </c>
      <c r="D409" s="27" t="s">
        <v>347</v>
      </c>
      <c r="E409" s="32">
        <v>748</v>
      </c>
      <c r="F409" s="28" t="s">
        <v>491</v>
      </c>
      <c r="G409" s="28" t="s">
        <v>475</v>
      </c>
      <c r="H409" s="26">
        <v>1</v>
      </c>
      <c r="I409" s="35">
        <v>67</v>
      </c>
      <c r="J409" s="35">
        <v>0</v>
      </c>
      <c r="K409" s="35">
        <v>5.23</v>
      </c>
      <c r="L409" s="35">
        <v>72.23</v>
      </c>
    </row>
    <row r="410" spans="2:12" x14ac:dyDescent="0.35">
      <c r="B410" s="31">
        <v>44992</v>
      </c>
      <c r="C410" s="40" t="str">
        <f t="shared" si="6"/>
        <v>Mar</v>
      </c>
      <c r="D410" s="27" t="s">
        <v>348</v>
      </c>
      <c r="E410" s="32">
        <v>5360</v>
      </c>
      <c r="F410" s="28" t="s">
        <v>492</v>
      </c>
      <c r="G410" s="28" t="s">
        <v>476</v>
      </c>
      <c r="H410" s="26">
        <v>1</v>
      </c>
      <c r="I410" s="35">
        <v>0</v>
      </c>
      <c r="J410" s="35">
        <v>0</v>
      </c>
      <c r="K410" s="35">
        <v>0</v>
      </c>
      <c r="L410" s="35">
        <v>0</v>
      </c>
    </row>
    <row r="411" spans="2:12" x14ac:dyDescent="0.35">
      <c r="B411" s="31">
        <v>44992</v>
      </c>
      <c r="C411" s="40" t="str">
        <f t="shared" si="6"/>
        <v>Mar</v>
      </c>
      <c r="D411" s="27" t="s">
        <v>348</v>
      </c>
      <c r="E411" s="32">
        <v>5360</v>
      </c>
      <c r="F411" s="28" t="s">
        <v>490</v>
      </c>
      <c r="G411" s="28" t="s">
        <v>475</v>
      </c>
      <c r="H411" s="26">
        <v>1</v>
      </c>
      <c r="I411" s="35">
        <v>5</v>
      </c>
      <c r="J411" s="35">
        <v>0</v>
      </c>
      <c r="K411" s="35">
        <v>0.35</v>
      </c>
      <c r="L411" s="35">
        <v>5.35</v>
      </c>
    </row>
    <row r="412" spans="2:12" x14ac:dyDescent="0.35">
      <c r="B412" s="31">
        <v>44992</v>
      </c>
      <c r="C412" s="40" t="str">
        <f t="shared" si="6"/>
        <v>Mar</v>
      </c>
      <c r="D412" s="27" t="s">
        <v>348</v>
      </c>
      <c r="E412" s="32">
        <v>5360</v>
      </c>
      <c r="F412" s="28" t="s">
        <v>495</v>
      </c>
      <c r="G412" s="28" t="s">
        <v>476</v>
      </c>
      <c r="H412" s="26">
        <v>1</v>
      </c>
      <c r="I412" s="35">
        <v>5</v>
      </c>
      <c r="J412" s="35">
        <v>0</v>
      </c>
      <c r="K412" s="35">
        <v>0.35</v>
      </c>
      <c r="L412" s="35">
        <v>5.35</v>
      </c>
    </row>
    <row r="413" spans="2:12" x14ac:dyDescent="0.35">
      <c r="B413" s="31">
        <v>44992</v>
      </c>
      <c r="C413" s="40" t="str">
        <f t="shared" si="6"/>
        <v>Mar</v>
      </c>
      <c r="D413" s="27" t="s">
        <v>349</v>
      </c>
      <c r="E413" s="32">
        <v>8533</v>
      </c>
      <c r="F413" s="28" t="s">
        <v>485</v>
      </c>
      <c r="G413" s="28" t="s">
        <v>474</v>
      </c>
      <c r="H413" s="26">
        <v>1</v>
      </c>
      <c r="I413" s="35">
        <v>169</v>
      </c>
      <c r="J413" s="35">
        <v>84.5</v>
      </c>
      <c r="K413" s="35">
        <v>6.59</v>
      </c>
      <c r="L413" s="35">
        <v>91.09</v>
      </c>
    </row>
    <row r="414" spans="2:12" x14ac:dyDescent="0.35">
      <c r="B414" s="31">
        <v>44993</v>
      </c>
      <c r="C414" s="40" t="str">
        <f t="shared" si="6"/>
        <v>Mar</v>
      </c>
      <c r="D414" s="27" t="s">
        <v>350</v>
      </c>
      <c r="E414" s="32">
        <v>584</v>
      </c>
      <c r="F414" s="28" t="s">
        <v>493</v>
      </c>
      <c r="G414" s="28" t="s">
        <v>473</v>
      </c>
      <c r="H414" s="26">
        <v>1</v>
      </c>
      <c r="I414" s="35">
        <v>350</v>
      </c>
      <c r="J414" s="35">
        <v>0</v>
      </c>
      <c r="K414" s="35">
        <v>0</v>
      </c>
      <c r="L414" s="35">
        <v>350</v>
      </c>
    </row>
    <row r="415" spans="2:12" x14ac:dyDescent="0.35">
      <c r="B415" s="31">
        <v>44993</v>
      </c>
      <c r="C415" s="40" t="str">
        <f t="shared" si="6"/>
        <v>Mar</v>
      </c>
      <c r="D415" s="27" t="s">
        <v>351</v>
      </c>
      <c r="E415" s="32">
        <v>110</v>
      </c>
      <c r="F415" s="28" t="s">
        <v>480</v>
      </c>
      <c r="G415" s="28" t="s">
        <v>473</v>
      </c>
      <c r="H415" s="26">
        <v>24</v>
      </c>
      <c r="I415" s="35">
        <v>15</v>
      </c>
      <c r="J415" s="35">
        <v>0</v>
      </c>
      <c r="K415" s="35">
        <v>0</v>
      </c>
      <c r="L415" s="35">
        <v>360</v>
      </c>
    </row>
    <row r="416" spans="2:12" x14ac:dyDescent="0.35">
      <c r="B416" s="31">
        <v>44993</v>
      </c>
      <c r="C416" s="40" t="str">
        <f t="shared" si="6"/>
        <v>Mar</v>
      </c>
      <c r="D416" s="27" t="s">
        <v>352</v>
      </c>
      <c r="E416" s="32">
        <v>4175</v>
      </c>
      <c r="F416" s="28" t="s">
        <v>486</v>
      </c>
      <c r="G416" s="28" t="s">
        <v>473</v>
      </c>
      <c r="H416" s="26">
        <v>1</v>
      </c>
      <c r="I416" s="35">
        <v>650</v>
      </c>
      <c r="J416" s="35">
        <v>73.584900000000005</v>
      </c>
      <c r="K416" s="35">
        <v>0</v>
      </c>
      <c r="L416" s="35">
        <v>576.41509999999994</v>
      </c>
    </row>
    <row r="417" spans="2:12" x14ac:dyDescent="0.35">
      <c r="B417" s="31">
        <v>44993</v>
      </c>
      <c r="C417" s="40" t="str">
        <f t="shared" si="6"/>
        <v>Mar</v>
      </c>
      <c r="D417" s="27" t="s">
        <v>352</v>
      </c>
      <c r="E417" s="32">
        <v>4175</v>
      </c>
      <c r="F417" s="28" t="s">
        <v>500</v>
      </c>
      <c r="G417" s="28" t="s">
        <v>473</v>
      </c>
      <c r="H417" s="26">
        <v>1</v>
      </c>
      <c r="I417" s="35">
        <v>675</v>
      </c>
      <c r="J417" s="35">
        <v>76.415099999999995</v>
      </c>
      <c r="K417" s="35">
        <v>0</v>
      </c>
      <c r="L417" s="35">
        <v>598.58490000000006</v>
      </c>
    </row>
    <row r="418" spans="2:12" x14ac:dyDescent="0.35">
      <c r="B418" s="31">
        <v>44993</v>
      </c>
      <c r="C418" s="40" t="str">
        <f t="shared" si="6"/>
        <v>Mar</v>
      </c>
      <c r="D418" s="27" t="s">
        <v>353</v>
      </c>
      <c r="E418" s="32">
        <v>16818</v>
      </c>
      <c r="F418" s="28" t="s">
        <v>482</v>
      </c>
      <c r="G418" s="28" t="s">
        <v>475</v>
      </c>
      <c r="H418" s="26">
        <v>1</v>
      </c>
      <c r="I418" s="35">
        <v>180</v>
      </c>
      <c r="J418" s="35">
        <v>0</v>
      </c>
      <c r="K418" s="35">
        <v>14.04</v>
      </c>
      <c r="L418" s="35">
        <v>194.04</v>
      </c>
    </row>
    <row r="419" spans="2:12" x14ac:dyDescent="0.35">
      <c r="B419" s="31">
        <v>44993</v>
      </c>
      <c r="C419" s="40" t="str">
        <f t="shared" si="6"/>
        <v>Mar</v>
      </c>
      <c r="D419" s="27" t="s">
        <v>354</v>
      </c>
      <c r="E419" s="32">
        <v>968</v>
      </c>
      <c r="F419" s="28" t="s">
        <v>480</v>
      </c>
      <c r="G419" s="28" t="s">
        <v>473</v>
      </c>
      <c r="H419" s="26">
        <v>48</v>
      </c>
      <c r="I419" s="35">
        <v>15</v>
      </c>
      <c r="J419" s="35">
        <v>0</v>
      </c>
      <c r="K419" s="35">
        <v>0</v>
      </c>
      <c r="L419" s="35">
        <v>720</v>
      </c>
    </row>
    <row r="420" spans="2:12" x14ac:dyDescent="0.35">
      <c r="B420" s="31">
        <v>44993</v>
      </c>
      <c r="C420" s="40" t="str">
        <f t="shared" si="6"/>
        <v>Mar</v>
      </c>
      <c r="D420" s="27" t="s">
        <v>355</v>
      </c>
      <c r="E420" s="32">
        <v>559</v>
      </c>
      <c r="F420" s="28" t="s">
        <v>494</v>
      </c>
      <c r="G420" s="28" t="s">
        <v>473</v>
      </c>
      <c r="H420" s="26">
        <v>1</v>
      </c>
      <c r="I420" s="35">
        <v>200</v>
      </c>
      <c r="J420" s="35">
        <v>0</v>
      </c>
      <c r="K420" s="35">
        <v>0</v>
      </c>
      <c r="L420" s="35">
        <v>200</v>
      </c>
    </row>
    <row r="421" spans="2:12" x14ac:dyDescent="0.35">
      <c r="B421" s="31">
        <v>44993</v>
      </c>
      <c r="C421" s="40" t="str">
        <f t="shared" si="6"/>
        <v>Mar</v>
      </c>
      <c r="D421" s="27" t="s">
        <v>356</v>
      </c>
      <c r="E421" s="32">
        <v>13205</v>
      </c>
      <c r="F421" s="28" t="s">
        <v>480</v>
      </c>
      <c r="G421" s="28" t="s">
        <v>473</v>
      </c>
      <c r="H421" s="26">
        <v>1</v>
      </c>
      <c r="I421" s="35">
        <v>0</v>
      </c>
      <c r="J421" s="35">
        <v>0</v>
      </c>
      <c r="K421" s="35">
        <v>0</v>
      </c>
      <c r="L421" s="35">
        <v>0</v>
      </c>
    </row>
    <row r="422" spans="2:12" x14ac:dyDescent="0.35">
      <c r="B422" s="31">
        <v>44993</v>
      </c>
      <c r="C422" s="40" t="str">
        <f t="shared" si="6"/>
        <v>Mar</v>
      </c>
      <c r="D422" s="27" t="s">
        <v>357</v>
      </c>
      <c r="E422" s="32">
        <v>515</v>
      </c>
      <c r="F422" s="28" t="s">
        <v>490</v>
      </c>
      <c r="G422" s="28" t="s">
        <v>475</v>
      </c>
      <c r="H422" s="26">
        <v>1</v>
      </c>
      <c r="I422" s="35">
        <v>0</v>
      </c>
      <c r="J422" s="35">
        <v>0</v>
      </c>
      <c r="K422" s="35">
        <v>0</v>
      </c>
      <c r="L422" s="35">
        <v>0</v>
      </c>
    </row>
    <row r="423" spans="2:12" x14ac:dyDescent="0.35">
      <c r="B423" s="31">
        <v>44993</v>
      </c>
      <c r="C423" s="40" t="str">
        <f t="shared" si="6"/>
        <v>Mar</v>
      </c>
      <c r="D423" s="27" t="s">
        <v>357</v>
      </c>
      <c r="E423" s="32">
        <v>515</v>
      </c>
      <c r="F423" s="28" t="s">
        <v>482</v>
      </c>
      <c r="G423" s="28" t="s">
        <v>475</v>
      </c>
      <c r="H423" s="26">
        <v>1</v>
      </c>
      <c r="I423" s="35">
        <v>180</v>
      </c>
      <c r="J423" s="35">
        <v>0</v>
      </c>
      <c r="K423" s="35">
        <v>14.04</v>
      </c>
      <c r="L423" s="35">
        <v>194.04</v>
      </c>
    </row>
    <row r="424" spans="2:12" x14ac:dyDescent="0.35">
      <c r="B424" s="31">
        <v>44993</v>
      </c>
      <c r="C424" s="40" t="str">
        <f t="shared" si="6"/>
        <v>Mar</v>
      </c>
      <c r="D424" s="27" t="s">
        <v>357</v>
      </c>
      <c r="E424" s="32">
        <v>515</v>
      </c>
      <c r="F424" s="28" t="s">
        <v>489</v>
      </c>
      <c r="G424" s="28" t="s">
        <v>475</v>
      </c>
      <c r="H424" s="26">
        <v>1</v>
      </c>
      <c r="I424" s="35">
        <v>130</v>
      </c>
      <c r="J424" s="35">
        <v>0</v>
      </c>
      <c r="K424" s="35">
        <v>10.14</v>
      </c>
      <c r="L424" s="35">
        <v>140.13999999999999</v>
      </c>
    </row>
    <row r="425" spans="2:12" x14ac:dyDescent="0.35">
      <c r="B425" s="31">
        <v>44993</v>
      </c>
      <c r="C425" s="40" t="str">
        <f t="shared" si="6"/>
        <v>Mar</v>
      </c>
      <c r="D425" s="27" t="s">
        <v>358</v>
      </c>
      <c r="E425" s="32">
        <v>123</v>
      </c>
      <c r="F425" s="28" t="s">
        <v>495</v>
      </c>
      <c r="G425" s="28" t="s">
        <v>477</v>
      </c>
      <c r="H425" s="26">
        <v>1</v>
      </c>
      <c r="I425" s="35">
        <v>40</v>
      </c>
      <c r="J425" s="35">
        <v>0</v>
      </c>
      <c r="K425" s="35">
        <v>3.12</v>
      </c>
      <c r="L425" s="35">
        <v>43.12</v>
      </c>
    </row>
    <row r="426" spans="2:12" x14ac:dyDescent="0.35">
      <c r="B426" s="31">
        <v>44994</v>
      </c>
      <c r="C426" s="40" t="str">
        <f t="shared" si="6"/>
        <v>Mar</v>
      </c>
      <c r="D426" s="27" t="s">
        <v>359</v>
      </c>
      <c r="E426" s="32">
        <v>10799</v>
      </c>
      <c r="F426" s="28" t="s">
        <v>497</v>
      </c>
      <c r="G426" s="28" t="s">
        <v>475</v>
      </c>
      <c r="H426" s="26">
        <v>1</v>
      </c>
      <c r="I426" s="35">
        <v>125</v>
      </c>
      <c r="J426" s="35">
        <v>0</v>
      </c>
      <c r="K426" s="35">
        <v>8.75</v>
      </c>
      <c r="L426" s="35">
        <v>133.75</v>
      </c>
    </row>
    <row r="427" spans="2:12" x14ac:dyDescent="0.35">
      <c r="B427" s="31">
        <v>44994</v>
      </c>
      <c r="C427" s="40" t="str">
        <f t="shared" si="6"/>
        <v>Mar</v>
      </c>
      <c r="D427" s="27" t="s">
        <v>360</v>
      </c>
      <c r="E427" s="32">
        <v>16791</v>
      </c>
      <c r="F427" s="28" t="s">
        <v>495</v>
      </c>
      <c r="G427" s="28" t="s">
        <v>476</v>
      </c>
      <c r="H427" s="26">
        <v>1</v>
      </c>
      <c r="I427" s="35">
        <v>0</v>
      </c>
      <c r="J427" s="35">
        <v>0</v>
      </c>
      <c r="K427" s="35">
        <v>0</v>
      </c>
      <c r="L427" s="35">
        <v>0</v>
      </c>
    </row>
    <row r="428" spans="2:12" x14ac:dyDescent="0.35">
      <c r="B428" s="31">
        <v>44994</v>
      </c>
      <c r="C428" s="40" t="str">
        <f t="shared" si="6"/>
        <v>Mar</v>
      </c>
      <c r="D428" s="27" t="s">
        <v>361</v>
      </c>
      <c r="E428" s="32">
        <v>17857</v>
      </c>
      <c r="F428" s="28" t="s">
        <v>482</v>
      </c>
      <c r="G428" s="28" t="s">
        <v>475</v>
      </c>
      <c r="H428" s="26">
        <v>1</v>
      </c>
      <c r="I428" s="35">
        <v>180</v>
      </c>
      <c r="J428" s="35">
        <v>0</v>
      </c>
      <c r="K428" s="35">
        <v>14.04</v>
      </c>
      <c r="L428" s="35">
        <v>194.04</v>
      </c>
    </row>
    <row r="429" spans="2:12" x14ac:dyDescent="0.35">
      <c r="B429" s="31">
        <v>44994</v>
      </c>
      <c r="C429" s="40" t="str">
        <f t="shared" si="6"/>
        <v>Mar</v>
      </c>
      <c r="D429" s="27" t="s">
        <v>361</v>
      </c>
      <c r="E429" s="32">
        <v>17857</v>
      </c>
      <c r="F429" s="28" t="s">
        <v>482</v>
      </c>
      <c r="G429" s="28" t="s">
        <v>475</v>
      </c>
      <c r="H429" s="26">
        <v>1</v>
      </c>
      <c r="I429" s="35">
        <v>159</v>
      </c>
      <c r="J429" s="35">
        <v>0</v>
      </c>
      <c r="K429" s="35">
        <v>12.4</v>
      </c>
      <c r="L429" s="35">
        <v>171.4</v>
      </c>
    </row>
    <row r="430" spans="2:12" x14ac:dyDescent="0.35">
      <c r="B430" s="31">
        <v>44994</v>
      </c>
      <c r="C430" s="40" t="str">
        <f t="shared" si="6"/>
        <v>Mar</v>
      </c>
      <c r="D430" s="27" t="s">
        <v>362</v>
      </c>
      <c r="E430" s="32">
        <v>748</v>
      </c>
      <c r="F430" s="28" t="s">
        <v>481</v>
      </c>
      <c r="G430" s="28" t="s">
        <v>475</v>
      </c>
      <c r="H430" s="26">
        <v>1</v>
      </c>
      <c r="I430" s="35">
        <v>49</v>
      </c>
      <c r="J430" s="35">
        <v>0</v>
      </c>
      <c r="K430" s="35">
        <v>3.82</v>
      </c>
      <c r="L430" s="35">
        <v>52.82</v>
      </c>
    </row>
    <row r="431" spans="2:12" x14ac:dyDescent="0.35">
      <c r="B431" s="31">
        <v>44994</v>
      </c>
      <c r="C431" s="40" t="str">
        <f t="shared" si="6"/>
        <v>Mar</v>
      </c>
      <c r="D431" s="27" t="s">
        <v>362</v>
      </c>
      <c r="E431" s="32">
        <v>748</v>
      </c>
      <c r="F431" s="28" t="s">
        <v>482</v>
      </c>
      <c r="G431" s="28" t="s">
        <v>475</v>
      </c>
      <c r="H431" s="26">
        <v>1</v>
      </c>
      <c r="I431" s="35">
        <v>180</v>
      </c>
      <c r="J431" s="35">
        <v>0</v>
      </c>
      <c r="K431" s="35">
        <v>14.04</v>
      </c>
      <c r="L431" s="35">
        <v>194.04</v>
      </c>
    </row>
    <row r="432" spans="2:12" x14ac:dyDescent="0.35">
      <c r="B432" s="31">
        <v>44994</v>
      </c>
      <c r="C432" s="40" t="str">
        <f t="shared" si="6"/>
        <v>Mar</v>
      </c>
      <c r="D432" s="27" t="s">
        <v>363</v>
      </c>
      <c r="E432" s="32">
        <v>13073</v>
      </c>
      <c r="F432" s="28" t="s">
        <v>490</v>
      </c>
      <c r="G432" s="28" t="s">
        <v>475</v>
      </c>
      <c r="H432" s="26">
        <v>1</v>
      </c>
      <c r="I432" s="35">
        <v>5</v>
      </c>
      <c r="J432" s="35">
        <v>0</v>
      </c>
      <c r="K432" s="35">
        <v>0.35</v>
      </c>
      <c r="L432" s="35">
        <v>5.35</v>
      </c>
    </row>
    <row r="433" spans="2:12" x14ac:dyDescent="0.35">
      <c r="B433" s="31">
        <v>44994</v>
      </c>
      <c r="C433" s="40" t="str">
        <f t="shared" si="6"/>
        <v>Mar</v>
      </c>
      <c r="D433" s="27" t="s">
        <v>364</v>
      </c>
      <c r="E433" s="32">
        <v>17919</v>
      </c>
      <c r="F433" s="28" t="s">
        <v>486</v>
      </c>
      <c r="G433" s="28" t="s">
        <v>474</v>
      </c>
      <c r="H433" s="26">
        <v>1</v>
      </c>
      <c r="I433" s="35">
        <v>17.5</v>
      </c>
      <c r="J433" s="35">
        <v>0</v>
      </c>
      <c r="K433" s="35">
        <v>1.37</v>
      </c>
      <c r="L433" s="35">
        <v>18.87</v>
      </c>
    </row>
    <row r="434" spans="2:12" x14ac:dyDescent="0.35">
      <c r="B434" s="31">
        <v>44994</v>
      </c>
      <c r="C434" s="40" t="str">
        <f t="shared" si="6"/>
        <v>Mar</v>
      </c>
      <c r="D434" s="27" t="s">
        <v>365</v>
      </c>
      <c r="E434" s="32">
        <v>704</v>
      </c>
      <c r="F434" s="28" t="s">
        <v>500</v>
      </c>
      <c r="G434" s="28" t="s">
        <v>474</v>
      </c>
      <c r="H434" s="26">
        <v>1</v>
      </c>
      <c r="I434" s="35">
        <v>95</v>
      </c>
      <c r="J434" s="35">
        <v>0</v>
      </c>
      <c r="K434" s="35">
        <v>7.41</v>
      </c>
      <c r="L434" s="35">
        <v>102.41</v>
      </c>
    </row>
    <row r="435" spans="2:12" x14ac:dyDescent="0.35">
      <c r="B435" s="31">
        <v>44994</v>
      </c>
      <c r="C435" s="40" t="str">
        <f t="shared" si="6"/>
        <v>Mar</v>
      </c>
      <c r="D435" s="27" t="s">
        <v>365</v>
      </c>
      <c r="E435" s="32">
        <v>704</v>
      </c>
      <c r="F435" s="28" t="s">
        <v>486</v>
      </c>
      <c r="G435" s="28" t="s">
        <v>474</v>
      </c>
      <c r="H435" s="26">
        <v>1</v>
      </c>
      <c r="I435" s="35">
        <v>17.5</v>
      </c>
      <c r="J435" s="35">
        <v>0</v>
      </c>
      <c r="K435" s="35">
        <v>1.37</v>
      </c>
      <c r="L435" s="35">
        <v>18.87</v>
      </c>
    </row>
    <row r="436" spans="2:12" x14ac:dyDescent="0.35">
      <c r="B436" s="31">
        <v>44994</v>
      </c>
      <c r="C436" s="40" t="str">
        <f t="shared" si="6"/>
        <v>Mar</v>
      </c>
      <c r="D436" s="27" t="s">
        <v>365</v>
      </c>
      <c r="E436" s="32">
        <v>704</v>
      </c>
      <c r="F436" s="28" t="s">
        <v>488</v>
      </c>
      <c r="G436" s="28" t="s">
        <v>474</v>
      </c>
      <c r="H436" s="26">
        <v>1</v>
      </c>
      <c r="I436" s="35">
        <v>19.989999999999998</v>
      </c>
      <c r="J436" s="35">
        <v>0</v>
      </c>
      <c r="K436" s="35">
        <v>1.56</v>
      </c>
      <c r="L436" s="35">
        <v>21.549999999999997</v>
      </c>
    </row>
    <row r="437" spans="2:12" x14ac:dyDescent="0.35">
      <c r="B437" s="31">
        <v>44994</v>
      </c>
      <c r="C437" s="40" t="str">
        <f t="shared" si="6"/>
        <v>Mar</v>
      </c>
      <c r="D437" s="27" t="s">
        <v>366</v>
      </c>
      <c r="E437" s="32">
        <v>5323</v>
      </c>
      <c r="F437" s="28" t="s">
        <v>498</v>
      </c>
      <c r="G437" s="28" t="s">
        <v>474</v>
      </c>
      <c r="H437" s="26">
        <v>1</v>
      </c>
      <c r="I437" s="35">
        <v>70</v>
      </c>
      <c r="J437" s="35">
        <v>35</v>
      </c>
      <c r="K437" s="35">
        <v>2.73</v>
      </c>
      <c r="L437" s="35">
        <v>37.729999999999997</v>
      </c>
    </row>
    <row r="438" spans="2:12" x14ac:dyDescent="0.35">
      <c r="B438" s="31">
        <v>44995</v>
      </c>
      <c r="C438" s="40" t="str">
        <f t="shared" si="6"/>
        <v>Mar</v>
      </c>
      <c r="D438" s="27" t="s">
        <v>367</v>
      </c>
      <c r="E438" s="32">
        <v>4274</v>
      </c>
      <c r="F438" s="28" t="s">
        <v>480</v>
      </c>
      <c r="G438" s="28" t="s">
        <v>476</v>
      </c>
      <c r="H438" s="26">
        <v>3</v>
      </c>
      <c r="I438" s="35">
        <v>15</v>
      </c>
      <c r="J438" s="35">
        <v>0</v>
      </c>
      <c r="K438" s="35">
        <v>0</v>
      </c>
      <c r="L438" s="35">
        <v>45</v>
      </c>
    </row>
    <row r="439" spans="2:12" x14ac:dyDescent="0.35">
      <c r="B439" s="31">
        <v>44995</v>
      </c>
      <c r="C439" s="40" t="str">
        <f t="shared" si="6"/>
        <v>Mar</v>
      </c>
      <c r="D439" s="27" t="s">
        <v>368</v>
      </c>
      <c r="E439" s="32">
        <v>17866</v>
      </c>
      <c r="F439" s="28" t="s">
        <v>501</v>
      </c>
      <c r="G439" s="28" t="s">
        <v>476</v>
      </c>
      <c r="H439" s="26">
        <v>1</v>
      </c>
      <c r="I439" s="35">
        <v>0</v>
      </c>
      <c r="J439" s="35">
        <v>0</v>
      </c>
      <c r="K439" s="35">
        <v>0</v>
      </c>
      <c r="L439" s="35">
        <v>0</v>
      </c>
    </row>
    <row r="440" spans="2:12" x14ac:dyDescent="0.35">
      <c r="B440" s="31">
        <v>44995</v>
      </c>
      <c r="C440" s="40" t="str">
        <f t="shared" si="6"/>
        <v>Mar</v>
      </c>
      <c r="D440" s="27" t="s">
        <v>369</v>
      </c>
      <c r="E440" s="32">
        <v>8714</v>
      </c>
      <c r="F440" s="28" t="s">
        <v>482</v>
      </c>
      <c r="G440" s="28" t="s">
        <v>476</v>
      </c>
      <c r="H440" s="26">
        <v>1</v>
      </c>
      <c r="I440" s="35">
        <v>50</v>
      </c>
      <c r="J440" s="35">
        <v>0</v>
      </c>
      <c r="K440" s="35">
        <v>3.9</v>
      </c>
      <c r="L440" s="35">
        <v>53.9</v>
      </c>
    </row>
    <row r="441" spans="2:12" x14ac:dyDescent="0.35">
      <c r="B441" s="31">
        <v>44995</v>
      </c>
      <c r="C441" s="40" t="str">
        <f t="shared" si="6"/>
        <v>Mar</v>
      </c>
      <c r="D441" s="27" t="s">
        <v>369</v>
      </c>
      <c r="E441" s="32">
        <v>8714</v>
      </c>
      <c r="F441" s="28" t="s">
        <v>490</v>
      </c>
      <c r="G441" s="28" t="s">
        <v>476</v>
      </c>
      <c r="H441" s="26">
        <v>1</v>
      </c>
      <c r="I441" s="35">
        <v>0</v>
      </c>
      <c r="J441" s="35">
        <v>0</v>
      </c>
      <c r="K441" s="35">
        <v>0</v>
      </c>
      <c r="L441" s="35">
        <v>0</v>
      </c>
    </row>
    <row r="442" spans="2:12" x14ac:dyDescent="0.35">
      <c r="B442" s="31">
        <v>44995</v>
      </c>
      <c r="C442" s="40" t="str">
        <f t="shared" si="6"/>
        <v>Mar</v>
      </c>
      <c r="D442" s="27" t="s">
        <v>369</v>
      </c>
      <c r="E442" s="32">
        <v>8714</v>
      </c>
      <c r="F442" s="28" t="s">
        <v>485</v>
      </c>
      <c r="G442" s="28" t="s">
        <v>476</v>
      </c>
      <c r="H442" s="26">
        <v>36</v>
      </c>
      <c r="I442" s="35">
        <v>6.5</v>
      </c>
      <c r="J442" s="35">
        <v>0</v>
      </c>
      <c r="K442" s="35">
        <v>0</v>
      </c>
      <c r="L442" s="35">
        <v>234</v>
      </c>
    </row>
    <row r="443" spans="2:12" x14ac:dyDescent="0.35">
      <c r="B443" s="31">
        <v>44995</v>
      </c>
      <c r="C443" s="40" t="str">
        <f t="shared" si="6"/>
        <v>Mar</v>
      </c>
      <c r="D443" s="27" t="s">
        <v>370</v>
      </c>
      <c r="E443" s="32">
        <v>16791</v>
      </c>
      <c r="F443" s="28" t="s">
        <v>486</v>
      </c>
      <c r="G443" s="28" t="s">
        <v>476</v>
      </c>
      <c r="H443" s="26">
        <v>1</v>
      </c>
      <c r="I443" s="35">
        <v>650</v>
      </c>
      <c r="J443" s="35">
        <v>0</v>
      </c>
      <c r="K443" s="35">
        <v>0</v>
      </c>
      <c r="L443" s="35">
        <v>650</v>
      </c>
    </row>
    <row r="444" spans="2:12" x14ac:dyDescent="0.35">
      <c r="B444" s="31">
        <v>44995</v>
      </c>
      <c r="C444" s="40" t="str">
        <f t="shared" si="6"/>
        <v>Mar</v>
      </c>
      <c r="D444" s="27" t="s">
        <v>371</v>
      </c>
      <c r="E444" s="32">
        <v>641</v>
      </c>
      <c r="F444" s="28" t="s">
        <v>482</v>
      </c>
      <c r="G444" s="28" t="s">
        <v>476</v>
      </c>
      <c r="H444" s="26">
        <v>1</v>
      </c>
      <c r="I444" s="35">
        <v>3000</v>
      </c>
      <c r="J444" s="35">
        <v>0</v>
      </c>
      <c r="K444" s="35">
        <v>234</v>
      </c>
      <c r="L444" s="35">
        <v>3234</v>
      </c>
    </row>
    <row r="445" spans="2:12" x14ac:dyDescent="0.35">
      <c r="B445" s="31">
        <v>44998</v>
      </c>
      <c r="C445" s="40" t="str">
        <f t="shared" si="6"/>
        <v>Mar</v>
      </c>
      <c r="D445" s="27" t="s">
        <v>372</v>
      </c>
      <c r="E445" s="32">
        <v>4270</v>
      </c>
      <c r="F445" s="28" t="s">
        <v>490</v>
      </c>
      <c r="G445" s="28" t="s">
        <v>475</v>
      </c>
      <c r="H445" s="26">
        <v>1</v>
      </c>
      <c r="I445" s="35">
        <v>50</v>
      </c>
      <c r="J445" s="35">
        <v>7.5</v>
      </c>
      <c r="K445" s="35">
        <v>2.98</v>
      </c>
      <c r="L445" s="35">
        <v>45.48</v>
      </c>
    </row>
    <row r="446" spans="2:12" x14ac:dyDescent="0.35">
      <c r="B446" s="31">
        <v>44998</v>
      </c>
      <c r="C446" s="40" t="str">
        <f t="shared" si="6"/>
        <v>Mar</v>
      </c>
      <c r="D446" s="27" t="s">
        <v>372</v>
      </c>
      <c r="E446" s="32">
        <v>4270</v>
      </c>
      <c r="F446" s="28" t="s">
        <v>490</v>
      </c>
      <c r="G446" s="28" t="s">
        <v>475</v>
      </c>
      <c r="H446" s="26">
        <v>1</v>
      </c>
      <c r="I446" s="35">
        <v>35</v>
      </c>
      <c r="J446" s="35">
        <v>5.25</v>
      </c>
      <c r="K446" s="35">
        <v>2.08</v>
      </c>
      <c r="L446" s="35">
        <v>31.83</v>
      </c>
    </row>
    <row r="447" spans="2:12" x14ac:dyDescent="0.35">
      <c r="B447" s="31">
        <v>44998</v>
      </c>
      <c r="C447" s="40" t="str">
        <f t="shared" si="6"/>
        <v>Mar</v>
      </c>
      <c r="D447" s="27" t="s">
        <v>373</v>
      </c>
      <c r="E447" s="32">
        <v>16747</v>
      </c>
      <c r="F447" s="28" t="s">
        <v>482</v>
      </c>
      <c r="G447" s="28" t="s">
        <v>473</v>
      </c>
      <c r="H447" s="26">
        <v>1</v>
      </c>
      <c r="I447" s="35">
        <v>0</v>
      </c>
      <c r="J447" s="35">
        <v>0</v>
      </c>
      <c r="K447" s="35">
        <v>0</v>
      </c>
      <c r="L447" s="35">
        <v>0</v>
      </c>
    </row>
    <row r="448" spans="2:12" x14ac:dyDescent="0.35">
      <c r="B448" s="31">
        <v>44998</v>
      </c>
      <c r="C448" s="40" t="str">
        <f t="shared" si="6"/>
        <v>Mar</v>
      </c>
      <c r="D448" s="27" t="s">
        <v>374</v>
      </c>
      <c r="E448" s="32">
        <v>15446</v>
      </c>
      <c r="F448" s="28" t="s">
        <v>501</v>
      </c>
      <c r="G448" s="28" t="s">
        <v>475</v>
      </c>
      <c r="H448" s="26">
        <v>1</v>
      </c>
      <c r="I448" s="35">
        <v>0</v>
      </c>
      <c r="J448" s="35">
        <v>0</v>
      </c>
      <c r="K448" s="35">
        <v>0</v>
      </c>
      <c r="L448" s="35">
        <v>0</v>
      </c>
    </row>
    <row r="449" spans="2:12" x14ac:dyDescent="0.35">
      <c r="B449" s="31">
        <v>44998</v>
      </c>
      <c r="C449" s="40" t="str">
        <f t="shared" si="6"/>
        <v>Mar</v>
      </c>
      <c r="D449" s="27" t="s">
        <v>375</v>
      </c>
      <c r="E449" s="32">
        <v>17891</v>
      </c>
      <c r="F449" s="28" t="s">
        <v>490</v>
      </c>
      <c r="G449" s="28" t="s">
        <v>475</v>
      </c>
      <c r="H449" s="26">
        <v>1</v>
      </c>
      <c r="I449" s="35">
        <v>0</v>
      </c>
      <c r="J449" s="35">
        <v>0</v>
      </c>
      <c r="K449" s="35">
        <v>0</v>
      </c>
      <c r="L449" s="35">
        <v>0</v>
      </c>
    </row>
    <row r="450" spans="2:12" x14ac:dyDescent="0.35">
      <c r="B450" s="31">
        <v>44998</v>
      </c>
      <c r="C450" s="40" t="str">
        <f t="shared" si="6"/>
        <v>Mar</v>
      </c>
      <c r="D450" s="27" t="s">
        <v>375</v>
      </c>
      <c r="E450" s="32">
        <v>17891</v>
      </c>
      <c r="F450" s="28" t="s">
        <v>482</v>
      </c>
      <c r="G450" s="28" t="s">
        <v>475</v>
      </c>
      <c r="H450" s="26">
        <v>1</v>
      </c>
      <c r="I450" s="35">
        <v>180</v>
      </c>
      <c r="J450" s="35">
        <v>0</v>
      </c>
      <c r="K450" s="35">
        <v>14.04</v>
      </c>
      <c r="L450" s="35">
        <v>194.04</v>
      </c>
    </row>
    <row r="451" spans="2:12" x14ac:dyDescent="0.35">
      <c r="B451" s="31">
        <v>44998</v>
      </c>
      <c r="C451" s="40" t="str">
        <f t="shared" si="6"/>
        <v>Mar</v>
      </c>
      <c r="D451" s="27" t="s">
        <v>375</v>
      </c>
      <c r="E451" s="32">
        <v>17891</v>
      </c>
      <c r="F451" s="28" t="s">
        <v>481</v>
      </c>
      <c r="G451" s="28" t="s">
        <v>475</v>
      </c>
      <c r="H451" s="26">
        <v>1</v>
      </c>
      <c r="I451" s="35">
        <v>49</v>
      </c>
      <c r="J451" s="35">
        <v>0</v>
      </c>
      <c r="K451" s="35">
        <v>3.82</v>
      </c>
      <c r="L451" s="35">
        <v>52.82</v>
      </c>
    </row>
    <row r="452" spans="2:12" x14ac:dyDescent="0.35">
      <c r="B452" s="31">
        <v>44998</v>
      </c>
      <c r="C452" s="40" t="str">
        <f t="shared" si="6"/>
        <v>Mar</v>
      </c>
      <c r="D452" s="27" t="s">
        <v>375</v>
      </c>
      <c r="E452" s="32">
        <v>17891</v>
      </c>
      <c r="F452" s="28" t="s">
        <v>501</v>
      </c>
      <c r="G452" s="28" t="s">
        <v>475</v>
      </c>
      <c r="H452" s="26">
        <v>1</v>
      </c>
      <c r="I452" s="35">
        <v>130</v>
      </c>
      <c r="J452" s="35">
        <v>0</v>
      </c>
      <c r="K452" s="35">
        <v>10.14</v>
      </c>
      <c r="L452" s="35">
        <v>140.13999999999999</v>
      </c>
    </row>
    <row r="453" spans="2:12" x14ac:dyDescent="0.35">
      <c r="B453" s="31">
        <v>44998</v>
      </c>
      <c r="C453" s="40" t="str">
        <f t="shared" si="6"/>
        <v>Mar</v>
      </c>
      <c r="D453" s="27" t="s">
        <v>376</v>
      </c>
      <c r="E453" s="32">
        <v>288</v>
      </c>
      <c r="F453" s="28" t="s">
        <v>482</v>
      </c>
      <c r="G453" s="28" t="s">
        <v>475</v>
      </c>
      <c r="H453" s="26">
        <v>1</v>
      </c>
      <c r="I453" s="35">
        <v>180</v>
      </c>
      <c r="J453" s="35">
        <v>0</v>
      </c>
      <c r="K453" s="35">
        <v>14.04</v>
      </c>
      <c r="L453" s="35">
        <v>194.04</v>
      </c>
    </row>
    <row r="454" spans="2:12" x14ac:dyDescent="0.35">
      <c r="B454" s="31">
        <v>44998</v>
      </c>
      <c r="C454" s="40" t="str">
        <f t="shared" ref="C454:C517" si="7">TEXT(B454,"MMM")</f>
        <v>Mar</v>
      </c>
      <c r="D454" s="27" t="s">
        <v>377</v>
      </c>
      <c r="E454" s="32">
        <v>288</v>
      </c>
      <c r="F454" s="28" t="s">
        <v>494</v>
      </c>
      <c r="G454" s="28" t="s">
        <v>473</v>
      </c>
      <c r="H454" s="26">
        <v>1</v>
      </c>
      <c r="I454" s="35">
        <v>675</v>
      </c>
      <c r="J454" s="35">
        <v>0</v>
      </c>
      <c r="K454" s="35">
        <v>0</v>
      </c>
      <c r="L454" s="35">
        <v>675</v>
      </c>
    </row>
    <row r="455" spans="2:12" x14ac:dyDescent="0.35">
      <c r="B455" s="31">
        <v>44998</v>
      </c>
      <c r="C455" s="40" t="str">
        <f t="shared" si="7"/>
        <v>Mar</v>
      </c>
      <c r="D455" s="27" t="s">
        <v>377</v>
      </c>
      <c r="E455" s="32">
        <v>288</v>
      </c>
      <c r="F455" s="28" t="s">
        <v>480</v>
      </c>
      <c r="G455" s="28" t="s">
        <v>473</v>
      </c>
      <c r="H455" s="26">
        <v>22</v>
      </c>
      <c r="I455" s="35">
        <v>15</v>
      </c>
      <c r="J455" s="35">
        <v>0</v>
      </c>
      <c r="K455" s="35">
        <v>0</v>
      </c>
      <c r="L455" s="35">
        <v>330</v>
      </c>
    </row>
    <row r="456" spans="2:12" x14ac:dyDescent="0.35">
      <c r="B456" s="31">
        <v>44998</v>
      </c>
      <c r="C456" s="40" t="str">
        <f t="shared" si="7"/>
        <v>Mar</v>
      </c>
      <c r="D456" s="27" t="s">
        <v>378</v>
      </c>
      <c r="E456" s="32">
        <v>65</v>
      </c>
      <c r="F456" s="28" t="s">
        <v>480</v>
      </c>
      <c r="G456" s="28" t="s">
        <v>473</v>
      </c>
      <c r="H456" s="26">
        <v>16</v>
      </c>
      <c r="I456" s="35">
        <v>15</v>
      </c>
      <c r="J456" s="35">
        <v>0</v>
      </c>
      <c r="K456" s="35">
        <v>0</v>
      </c>
      <c r="L456" s="35">
        <v>240</v>
      </c>
    </row>
    <row r="457" spans="2:12" x14ac:dyDescent="0.35">
      <c r="B457" s="31">
        <v>44998</v>
      </c>
      <c r="C457" s="40" t="str">
        <f t="shared" si="7"/>
        <v>Mar</v>
      </c>
      <c r="D457" s="27" t="s">
        <v>379</v>
      </c>
      <c r="E457" s="32">
        <v>16535</v>
      </c>
      <c r="F457" s="28" t="s">
        <v>480</v>
      </c>
      <c r="G457" s="28" t="s">
        <v>474</v>
      </c>
      <c r="H457" s="26">
        <v>1</v>
      </c>
      <c r="I457" s="35">
        <v>75</v>
      </c>
      <c r="J457" s="35">
        <v>0</v>
      </c>
      <c r="K457" s="35">
        <v>0</v>
      </c>
      <c r="L457" s="35">
        <v>75</v>
      </c>
    </row>
    <row r="458" spans="2:12" x14ac:dyDescent="0.35">
      <c r="B458" s="31">
        <v>44998</v>
      </c>
      <c r="C458" s="40" t="str">
        <f t="shared" si="7"/>
        <v>Mar</v>
      </c>
      <c r="D458" s="27" t="s">
        <v>380</v>
      </c>
      <c r="E458" s="32">
        <v>15446</v>
      </c>
      <c r="F458" s="28" t="s">
        <v>482</v>
      </c>
      <c r="G458" s="28" t="s">
        <v>475</v>
      </c>
      <c r="H458" s="26">
        <v>1</v>
      </c>
      <c r="I458" s="35">
        <v>180</v>
      </c>
      <c r="J458" s="35">
        <v>0</v>
      </c>
      <c r="K458" s="35">
        <v>14.04</v>
      </c>
      <c r="L458" s="35">
        <v>194.04</v>
      </c>
    </row>
    <row r="459" spans="2:12" x14ac:dyDescent="0.35">
      <c r="B459" s="31">
        <v>44998</v>
      </c>
      <c r="C459" s="40" t="str">
        <f t="shared" si="7"/>
        <v>Mar</v>
      </c>
      <c r="D459" s="27" t="s">
        <v>381</v>
      </c>
      <c r="E459" s="32">
        <v>201</v>
      </c>
      <c r="F459" s="28" t="s">
        <v>485</v>
      </c>
      <c r="G459" s="28" t="s">
        <v>474</v>
      </c>
      <c r="H459" s="26">
        <v>1</v>
      </c>
      <c r="I459" s="35">
        <v>169</v>
      </c>
      <c r="J459" s="35">
        <v>84.5</v>
      </c>
      <c r="K459" s="35">
        <v>6.59</v>
      </c>
      <c r="L459" s="35">
        <v>91.09</v>
      </c>
    </row>
    <row r="460" spans="2:12" x14ac:dyDescent="0.35">
      <c r="B460" s="31">
        <v>44998</v>
      </c>
      <c r="C460" s="40" t="str">
        <f t="shared" si="7"/>
        <v>Mar</v>
      </c>
      <c r="D460" s="27" t="s">
        <v>382</v>
      </c>
      <c r="E460" s="32">
        <v>8533</v>
      </c>
      <c r="F460" s="28" t="s">
        <v>481</v>
      </c>
      <c r="G460" s="28" t="s">
        <v>474</v>
      </c>
      <c r="H460" s="26">
        <v>1</v>
      </c>
      <c r="I460" s="35">
        <v>49</v>
      </c>
      <c r="J460" s="35">
        <v>24.5</v>
      </c>
      <c r="K460" s="35">
        <v>1.91</v>
      </c>
      <c r="L460" s="35">
        <v>26.41</v>
      </c>
    </row>
    <row r="461" spans="2:12" x14ac:dyDescent="0.35">
      <c r="B461" s="31">
        <v>44999</v>
      </c>
      <c r="C461" s="40" t="str">
        <f t="shared" si="7"/>
        <v>Mar</v>
      </c>
      <c r="D461" s="27" t="s">
        <v>383</v>
      </c>
      <c r="E461" s="32">
        <v>15445</v>
      </c>
      <c r="F461" s="28" t="s">
        <v>501</v>
      </c>
      <c r="G461" s="28" t="s">
        <v>476</v>
      </c>
      <c r="H461" s="26">
        <v>1</v>
      </c>
      <c r="I461" s="35">
        <v>0</v>
      </c>
      <c r="J461" s="35">
        <v>0</v>
      </c>
      <c r="K461" s="35">
        <v>0</v>
      </c>
      <c r="L461" s="35">
        <v>0</v>
      </c>
    </row>
    <row r="462" spans="2:12" x14ac:dyDescent="0.35">
      <c r="B462" s="31">
        <v>44999</v>
      </c>
      <c r="C462" s="40" t="str">
        <f t="shared" si="7"/>
        <v>Mar</v>
      </c>
      <c r="D462" s="27" t="s">
        <v>384</v>
      </c>
      <c r="E462" s="32">
        <v>8656</v>
      </c>
      <c r="F462" s="28" t="s">
        <v>487</v>
      </c>
      <c r="G462" s="28" t="s">
        <v>476</v>
      </c>
      <c r="H462" s="26">
        <v>1</v>
      </c>
      <c r="I462" s="35">
        <v>50</v>
      </c>
      <c r="J462" s="35">
        <v>0</v>
      </c>
      <c r="K462" s="35">
        <v>3.9</v>
      </c>
      <c r="L462" s="35">
        <v>53.9</v>
      </c>
    </row>
    <row r="463" spans="2:12" x14ac:dyDescent="0.35">
      <c r="B463" s="31">
        <v>44999</v>
      </c>
      <c r="C463" s="40" t="str">
        <f t="shared" si="7"/>
        <v>Mar</v>
      </c>
      <c r="D463" s="27" t="s">
        <v>385</v>
      </c>
      <c r="E463" s="32">
        <v>17885</v>
      </c>
      <c r="F463" s="28" t="s">
        <v>490</v>
      </c>
      <c r="G463" s="28" t="s">
        <v>476</v>
      </c>
      <c r="H463" s="26">
        <v>1</v>
      </c>
      <c r="I463" s="35">
        <v>100</v>
      </c>
      <c r="J463" s="35">
        <v>0</v>
      </c>
      <c r="K463" s="35">
        <v>0</v>
      </c>
      <c r="L463" s="35">
        <v>100</v>
      </c>
    </row>
    <row r="464" spans="2:12" x14ac:dyDescent="0.35">
      <c r="B464" s="31">
        <v>44999</v>
      </c>
      <c r="C464" s="40" t="str">
        <f t="shared" si="7"/>
        <v>Mar</v>
      </c>
      <c r="D464" s="27" t="s">
        <v>385</v>
      </c>
      <c r="E464" s="32">
        <v>17885</v>
      </c>
      <c r="F464" s="28" t="s">
        <v>482</v>
      </c>
      <c r="G464" s="28" t="s">
        <v>476</v>
      </c>
      <c r="H464" s="26">
        <v>1</v>
      </c>
      <c r="I464" s="35">
        <v>180</v>
      </c>
      <c r="J464" s="35">
        <v>0</v>
      </c>
      <c r="K464" s="35">
        <v>14.04</v>
      </c>
      <c r="L464" s="35">
        <v>194.04</v>
      </c>
    </row>
    <row r="465" spans="2:12" x14ac:dyDescent="0.35">
      <c r="B465" s="31">
        <v>44999</v>
      </c>
      <c r="C465" s="40" t="str">
        <f t="shared" si="7"/>
        <v>Mar</v>
      </c>
      <c r="D465" s="27" t="s">
        <v>385</v>
      </c>
      <c r="E465" s="32">
        <v>17885</v>
      </c>
      <c r="F465" s="28" t="s">
        <v>490</v>
      </c>
      <c r="G465" s="28" t="s">
        <v>476</v>
      </c>
      <c r="H465" s="26">
        <v>1</v>
      </c>
      <c r="I465" s="35">
        <v>0</v>
      </c>
      <c r="J465" s="35">
        <v>0</v>
      </c>
      <c r="K465" s="35">
        <v>0</v>
      </c>
      <c r="L465" s="35">
        <v>0</v>
      </c>
    </row>
    <row r="466" spans="2:12" x14ac:dyDescent="0.35">
      <c r="B466" s="31">
        <v>44999</v>
      </c>
      <c r="C466" s="40" t="str">
        <f t="shared" si="7"/>
        <v>Mar</v>
      </c>
      <c r="D466" s="27" t="s">
        <v>386</v>
      </c>
      <c r="E466" s="32">
        <v>12974</v>
      </c>
      <c r="F466" s="28" t="s">
        <v>501</v>
      </c>
      <c r="G466" s="28" t="s">
        <v>476</v>
      </c>
      <c r="H466" s="26">
        <v>1</v>
      </c>
      <c r="I466" s="35">
        <v>3000</v>
      </c>
      <c r="J466" s="35">
        <v>0</v>
      </c>
      <c r="K466" s="35">
        <v>234</v>
      </c>
      <c r="L466" s="35">
        <v>3234</v>
      </c>
    </row>
    <row r="467" spans="2:12" x14ac:dyDescent="0.35">
      <c r="B467" s="31">
        <v>44999</v>
      </c>
      <c r="C467" s="40" t="str">
        <f t="shared" si="7"/>
        <v>Mar</v>
      </c>
      <c r="D467" s="27" t="s">
        <v>387</v>
      </c>
      <c r="E467" s="32">
        <v>13310</v>
      </c>
      <c r="F467" s="28" t="s">
        <v>482</v>
      </c>
      <c r="G467" s="28" t="s">
        <v>475</v>
      </c>
      <c r="H467" s="26">
        <v>1</v>
      </c>
      <c r="I467" s="35">
        <v>0</v>
      </c>
      <c r="J467" s="35">
        <v>0</v>
      </c>
      <c r="K467" s="35">
        <v>0</v>
      </c>
      <c r="L467" s="35">
        <v>0</v>
      </c>
    </row>
    <row r="468" spans="2:12" x14ac:dyDescent="0.35">
      <c r="B468" s="31">
        <v>44999</v>
      </c>
      <c r="C468" s="40" t="str">
        <f t="shared" si="7"/>
        <v>Mar</v>
      </c>
      <c r="D468" s="27" t="s">
        <v>387</v>
      </c>
      <c r="E468" s="32">
        <v>13310</v>
      </c>
      <c r="F468" s="28" t="s">
        <v>490</v>
      </c>
      <c r="G468" s="28" t="s">
        <v>475</v>
      </c>
      <c r="H468" s="26">
        <v>1</v>
      </c>
      <c r="I468" s="35">
        <v>0</v>
      </c>
      <c r="J468" s="35">
        <v>0</v>
      </c>
      <c r="K468" s="35">
        <v>0</v>
      </c>
      <c r="L468" s="35">
        <v>0</v>
      </c>
    </row>
    <row r="469" spans="2:12" x14ac:dyDescent="0.35">
      <c r="B469" s="31">
        <v>44999</v>
      </c>
      <c r="C469" s="40" t="str">
        <f t="shared" si="7"/>
        <v>Mar</v>
      </c>
      <c r="D469" s="27" t="s">
        <v>388</v>
      </c>
      <c r="E469" s="32">
        <v>12898</v>
      </c>
      <c r="F469" s="28" t="s">
        <v>480</v>
      </c>
      <c r="G469" s="28" t="s">
        <v>474</v>
      </c>
      <c r="H469" s="26">
        <v>1</v>
      </c>
      <c r="I469" s="35">
        <v>0</v>
      </c>
      <c r="J469" s="35">
        <v>0</v>
      </c>
      <c r="K469" s="35">
        <v>0</v>
      </c>
      <c r="L469" s="35">
        <v>0</v>
      </c>
    </row>
    <row r="470" spans="2:12" x14ac:dyDescent="0.35">
      <c r="B470" s="31">
        <v>44999</v>
      </c>
      <c r="C470" s="40" t="str">
        <f t="shared" si="7"/>
        <v>Mar</v>
      </c>
      <c r="D470" s="27" t="s">
        <v>389</v>
      </c>
      <c r="E470" s="32">
        <v>4270</v>
      </c>
      <c r="F470" s="28" t="s">
        <v>480</v>
      </c>
      <c r="G470" s="28" t="s">
        <v>474</v>
      </c>
      <c r="H470" s="26">
        <v>1</v>
      </c>
      <c r="I470" s="35">
        <v>0</v>
      </c>
      <c r="J470" s="35">
        <v>0</v>
      </c>
      <c r="K470" s="35">
        <v>0</v>
      </c>
      <c r="L470" s="35">
        <v>0</v>
      </c>
    </row>
    <row r="471" spans="2:12" x14ac:dyDescent="0.35">
      <c r="B471" s="31">
        <v>44999</v>
      </c>
      <c r="C471" s="40" t="str">
        <f t="shared" si="7"/>
        <v>Mar</v>
      </c>
      <c r="D471" s="27" t="s">
        <v>390</v>
      </c>
      <c r="E471" s="32">
        <v>148</v>
      </c>
      <c r="F471" s="28" t="s">
        <v>485</v>
      </c>
      <c r="G471" s="28" t="s">
        <v>474</v>
      </c>
      <c r="H471" s="26">
        <v>1</v>
      </c>
      <c r="I471" s="35">
        <v>169</v>
      </c>
      <c r="J471" s="35">
        <v>0</v>
      </c>
      <c r="K471" s="35">
        <v>13.18</v>
      </c>
      <c r="L471" s="35">
        <v>182.18</v>
      </c>
    </row>
    <row r="472" spans="2:12" x14ac:dyDescent="0.35">
      <c r="B472" s="31">
        <v>44999</v>
      </c>
      <c r="C472" s="40" t="str">
        <f t="shared" si="7"/>
        <v>Mar</v>
      </c>
      <c r="D472" s="27" t="s">
        <v>390</v>
      </c>
      <c r="E472" s="32">
        <v>148</v>
      </c>
      <c r="F472" s="28" t="s">
        <v>489</v>
      </c>
      <c r="G472" s="28" t="s">
        <v>474</v>
      </c>
      <c r="H472" s="26">
        <v>1</v>
      </c>
      <c r="I472" s="35">
        <v>106</v>
      </c>
      <c r="J472" s="35">
        <v>0</v>
      </c>
      <c r="K472" s="35">
        <v>8.27</v>
      </c>
      <c r="L472" s="35">
        <v>114.27</v>
      </c>
    </row>
    <row r="473" spans="2:12" x14ac:dyDescent="0.35">
      <c r="B473" s="31">
        <v>44999</v>
      </c>
      <c r="C473" s="40" t="str">
        <f t="shared" si="7"/>
        <v>Mar</v>
      </c>
      <c r="D473" s="27" t="s">
        <v>391</v>
      </c>
      <c r="E473" s="32">
        <v>17936</v>
      </c>
      <c r="F473" s="28" t="s">
        <v>484</v>
      </c>
      <c r="G473" s="28" t="s">
        <v>474</v>
      </c>
      <c r="H473" s="26">
        <v>1</v>
      </c>
      <c r="I473" s="35">
        <v>94.99</v>
      </c>
      <c r="J473" s="35">
        <v>0</v>
      </c>
      <c r="K473" s="35">
        <v>7.41</v>
      </c>
      <c r="L473" s="35">
        <v>102.39999999999999</v>
      </c>
    </row>
    <row r="474" spans="2:12" x14ac:dyDescent="0.35">
      <c r="B474" s="31">
        <v>44999</v>
      </c>
      <c r="C474" s="40" t="str">
        <f t="shared" si="7"/>
        <v>Mar</v>
      </c>
      <c r="D474" s="27" t="s">
        <v>392</v>
      </c>
      <c r="E474" s="32">
        <v>13310</v>
      </c>
      <c r="F474" s="28" t="s">
        <v>502</v>
      </c>
      <c r="G474" s="28" t="s">
        <v>476</v>
      </c>
      <c r="H474" s="26">
        <v>1</v>
      </c>
      <c r="I474" s="35">
        <v>350</v>
      </c>
      <c r="J474" s="35">
        <v>0</v>
      </c>
      <c r="K474" s="35">
        <v>0</v>
      </c>
      <c r="L474" s="35">
        <v>350</v>
      </c>
    </row>
    <row r="475" spans="2:12" x14ac:dyDescent="0.35">
      <c r="B475" s="31">
        <v>45000</v>
      </c>
      <c r="C475" s="40" t="str">
        <f t="shared" si="7"/>
        <v>Mar</v>
      </c>
      <c r="D475" s="27" t="s">
        <v>393</v>
      </c>
      <c r="E475" s="32">
        <v>16842</v>
      </c>
      <c r="F475" s="28" t="s">
        <v>480</v>
      </c>
      <c r="G475" s="28" t="s">
        <v>473</v>
      </c>
      <c r="H475" s="26">
        <v>18</v>
      </c>
      <c r="I475" s="35">
        <v>15</v>
      </c>
      <c r="J475" s="35">
        <v>0</v>
      </c>
      <c r="K475" s="35">
        <v>0</v>
      </c>
      <c r="L475" s="35">
        <v>270</v>
      </c>
    </row>
    <row r="476" spans="2:12" x14ac:dyDescent="0.35">
      <c r="B476" s="31">
        <v>45000</v>
      </c>
      <c r="C476" s="40" t="str">
        <f t="shared" si="7"/>
        <v>Mar</v>
      </c>
      <c r="D476" s="27" t="s">
        <v>394</v>
      </c>
      <c r="E476" s="32">
        <v>8697</v>
      </c>
      <c r="F476" s="28" t="s">
        <v>484</v>
      </c>
      <c r="G476" s="28" t="s">
        <v>475</v>
      </c>
      <c r="H476" s="26">
        <v>8</v>
      </c>
      <c r="I476" s="35">
        <v>375</v>
      </c>
      <c r="J476" s="35">
        <v>0</v>
      </c>
      <c r="K476" s="35">
        <v>0</v>
      </c>
      <c r="L476" s="35">
        <v>3000</v>
      </c>
    </row>
    <row r="477" spans="2:12" x14ac:dyDescent="0.35">
      <c r="B477" s="31">
        <v>45000</v>
      </c>
      <c r="C477" s="40" t="str">
        <f t="shared" si="7"/>
        <v>Mar</v>
      </c>
      <c r="D477" s="27" t="s">
        <v>395</v>
      </c>
      <c r="E477" s="32">
        <v>6415</v>
      </c>
      <c r="F477" s="28" t="s">
        <v>482</v>
      </c>
      <c r="G477" s="28" t="s">
        <v>475</v>
      </c>
      <c r="H477" s="26">
        <v>1</v>
      </c>
      <c r="I477" s="35">
        <v>180</v>
      </c>
      <c r="J477" s="35">
        <v>0</v>
      </c>
      <c r="K477" s="35">
        <v>14.04</v>
      </c>
      <c r="L477" s="35">
        <v>194.04</v>
      </c>
    </row>
    <row r="478" spans="2:12" x14ac:dyDescent="0.35">
      <c r="B478" s="31">
        <v>45000</v>
      </c>
      <c r="C478" s="40" t="str">
        <f t="shared" si="7"/>
        <v>Mar</v>
      </c>
      <c r="D478" s="27" t="s">
        <v>396</v>
      </c>
      <c r="E478" s="32">
        <v>870</v>
      </c>
      <c r="F478" s="28" t="s">
        <v>480</v>
      </c>
      <c r="G478" s="28" t="s">
        <v>473</v>
      </c>
      <c r="H478" s="26">
        <v>52</v>
      </c>
      <c r="I478" s="35">
        <v>15</v>
      </c>
      <c r="J478" s="35">
        <v>0</v>
      </c>
      <c r="K478" s="35">
        <v>0</v>
      </c>
      <c r="L478" s="35">
        <v>780</v>
      </c>
    </row>
    <row r="479" spans="2:12" x14ac:dyDescent="0.35">
      <c r="B479" s="31">
        <v>45000</v>
      </c>
      <c r="C479" s="40" t="str">
        <f t="shared" si="7"/>
        <v>Mar</v>
      </c>
      <c r="D479" s="27" t="s">
        <v>397</v>
      </c>
      <c r="E479" s="32">
        <v>9736</v>
      </c>
      <c r="F479" s="28" t="s">
        <v>480</v>
      </c>
      <c r="G479" s="28" t="s">
        <v>474</v>
      </c>
      <c r="H479" s="26">
        <v>1</v>
      </c>
      <c r="I479" s="35">
        <v>0</v>
      </c>
      <c r="J479" s="35">
        <v>0</v>
      </c>
      <c r="K479" s="35">
        <v>0</v>
      </c>
      <c r="L479" s="35">
        <v>0</v>
      </c>
    </row>
    <row r="480" spans="2:12" x14ac:dyDescent="0.35">
      <c r="B480" s="31">
        <v>45001</v>
      </c>
      <c r="C480" s="40" t="str">
        <f t="shared" si="7"/>
        <v>Mar</v>
      </c>
      <c r="D480" s="27" t="s">
        <v>398</v>
      </c>
      <c r="E480" s="32">
        <v>17902</v>
      </c>
      <c r="F480" s="28" t="s">
        <v>482</v>
      </c>
      <c r="G480" s="28" t="s">
        <v>475</v>
      </c>
      <c r="H480" s="26">
        <v>1</v>
      </c>
      <c r="I480" s="35">
        <v>180</v>
      </c>
      <c r="J480" s="35">
        <v>0</v>
      </c>
      <c r="K480" s="35">
        <v>14.04</v>
      </c>
      <c r="L480" s="35">
        <v>194.04</v>
      </c>
    </row>
    <row r="481" spans="2:12" x14ac:dyDescent="0.35">
      <c r="B481" s="31">
        <v>45001</v>
      </c>
      <c r="C481" s="40" t="str">
        <f t="shared" si="7"/>
        <v>Mar</v>
      </c>
      <c r="D481" s="27" t="s">
        <v>399</v>
      </c>
      <c r="E481" s="32">
        <v>17906</v>
      </c>
      <c r="F481" s="28" t="s">
        <v>482</v>
      </c>
      <c r="G481" s="28" t="s">
        <v>475</v>
      </c>
      <c r="H481" s="26">
        <v>1</v>
      </c>
      <c r="I481" s="35">
        <v>180</v>
      </c>
      <c r="J481" s="35">
        <v>0</v>
      </c>
      <c r="K481" s="35">
        <v>14.04</v>
      </c>
      <c r="L481" s="35">
        <v>194.04</v>
      </c>
    </row>
    <row r="482" spans="2:12" x14ac:dyDescent="0.35">
      <c r="B482" s="31">
        <v>45001</v>
      </c>
      <c r="C482" s="40" t="str">
        <f t="shared" si="7"/>
        <v>Mar</v>
      </c>
      <c r="D482" s="27" t="s">
        <v>399</v>
      </c>
      <c r="E482" s="32">
        <v>17906</v>
      </c>
      <c r="F482" s="28" t="s">
        <v>490</v>
      </c>
      <c r="G482" s="28" t="s">
        <v>475</v>
      </c>
      <c r="H482" s="26">
        <v>1</v>
      </c>
      <c r="I482" s="35">
        <v>0</v>
      </c>
      <c r="J482" s="35">
        <v>0</v>
      </c>
      <c r="K482" s="35">
        <v>0</v>
      </c>
      <c r="L482" s="35">
        <v>0</v>
      </c>
    </row>
    <row r="483" spans="2:12" x14ac:dyDescent="0.35">
      <c r="B483" s="31">
        <v>45001</v>
      </c>
      <c r="C483" s="40" t="str">
        <f t="shared" si="7"/>
        <v>Mar</v>
      </c>
      <c r="D483" s="27" t="s">
        <v>399</v>
      </c>
      <c r="E483" s="32">
        <v>17906</v>
      </c>
      <c r="F483" s="28" t="s">
        <v>482</v>
      </c>
      <c r="G483" s="28" t="s">
        <v>476</v>
      </c>
      <c r="H483" s="26">
        <v>1</v>
      </c>
      <c r="I483" s="35">
        <v>3000</v>
      </c>
      <c r="J483" s="35">
        <v>0</v>
      </c>
      <c r="K483" s="35">
        <v>234</v>
      </c>
      <c r="L483" s="35">
        <v>3234</v>
      </c>
    </row>
    <row r="484" spans="2:12" x14ac:dyDescent="0.35">
      <c r="B484" s="31">
        <v>45001</v>
      </c>
      <c r="C484" s="40" t="str">
        <f t="shared" si="7"/>
        <v>Mar</v>
      </c>
      <c r="D484" s="27" t="s">
        <v>399</v>
      </c>
      <c r="E484" s="32">
        <v>17906</v>
      </c>
      <c r="F484" s="28" t="s">
        <v>482</v>
      </c>
      <c r="G484" s="28" t="s">
        <v>475</v>
      </c>
      <c r="H484" s="26">
        <v>1</v>
      </c>
      <c r="I484" s="35">
        <v>159</v>
      </c>
      <c r="J484" s="35">
        <v>0</v>
      </c>
      <c r="K484" s="35">
        <v>12.4</v>
      </c>
      <c r="L484" s="35">
        <v>171.4</v>
      </c>
    </row>
    <row r="485" spans="2:12" x14ac:dyDescent="0.35">
      <c r="B485" s="31">
        <v>45001</v>
      </c>
      <c r="C485" s="40" t="str">
        <f t="shared" si="7"/>
        <v>Mar</v>
      </c>
      <c r="D485" s="27" t="s">
        <v>400</v>
      </c>
      <c r="E485" s="32">
        <v>17907</v>
      </c>
      <c r="F485" s="28" t="s">
        <v>488</v>
      </c>
      <c r="G485" s="28" t="s">
        <v>476</v>
      </c>
      <c r="H485" s="26">
        <v>1</v>
      </c>
      <c r="I485" s="35">
        <v>68</v>
      </c>
      <c r="J485" s="35">
        <v>0</v>
      </c>
      <c r="K485" s="35">
        <v>5.3</v>
      </c>
      <c r="L485" s="35">
        <v>73.3</v>
      </c>
    </row>
    <row r="486" spans="2:12" x14ac:dyDescent="0.35">
      <c r="B486" s="31">
        <v>45001</v>
      </c>
      <c r="C486" s="40" t="str">
        <f t="shared" si="7"/>
        <v>Mar</v>
      </c>
      <c r="D486" s="27" t="s">
        <v>400</v>
      </c>
      <c r="E486" s="32">
        <v>17907</v>
      </c>
      <c r="F486" s="28" t="s">
        <v>502</v>
      </c>
      <c r="G486" s="28" t="s">
        <v>476</v>
      </c>
      <c r="H486" s="26">
        <v>1</v>
      </c>
      <c r="I486" s="35">
        <v>70</v>
      </c>
      <c r="J486" s="35">
        <v>0</v>
      </c>
      <c r="K486" s="35">
        <v>5.46</v>
      </c>
      <c r="L486" s="35">
        <v>75.459999999999994</v>
      </c>
    </row>
    <row r="487" spans="2:12" x14ac:dyDescent="0.35">
      <c r="B487" s="31">
        <v>45001</v>
      </c>
      <c r="C487" s="40" t="str">
        <f t="shared" si="7"/>
        <v>Mar</v>
      </c>
      <c r="D487" s="27" t="s">
        <v>400</v>
      </c>
      <c r="E487" s="32">
        <v>17907</v>
      </c>
      <c r="F487" s="28" t="s">
        <v>496</v>
      </c>
      <c r="G487" s="28" t="s">
        <v>476</v>
      </c>
      <c r="H487" s="26">
        <v>1</v>
      </c>
      <c r="I487" s="35">
        <v>0</v>
      </c>
      <c r="J487" s="35">
        <v>0</v>
      </c>
      <c r="K487" s="35">
        <v>0</v>
      </c>
      <c r="L487" s="35">
        <v>0</v>
      </c>
    </row>
    <row r="488" spans="2:12" x14ac:dyDescent="0.35">
      <c r="B488" s="31">
        <v>45002</v>
      </c>
      <c r="C488" s="40" t="str">
        <f t="shared" si="7"/>
        <v>Mar</v>
      </c>
      <c r="D488" s="27" t="s">
        <v>401</v>
      </c>
      <c r="E488" s="32">
        <v>15373</v>
      </c>
      <c r="F488" s="28" t="s">
        <v>490</v>
      </c>
      <c r="G488" s="28" t="s">
        <v>476</v>
      </c>
      <c r="H488" s="26">
        <v>1</v>
      </c>
      <c r="I488" s="35">
        <v>5</v>
      </c>
      <c r="J488" s="35">
        <v>0</v>
      </c>
      <c r="K488" s="35">
        <v>0.35</v>
      </c>
      <c r="L488" s="35">
        <v>5.35</v>
      </c>
    </row>
    <row r="489" spans="2:12" x14ac:dyDescent="0.35">
      <c r="B489" s="31">
        <v>45002</v>
      </c>
      <c r="C489" s="40" t="str">
        <f t="shared" si="7"/>
        <v>Mar</v>
      </c>
      <c r="D489" s="27" t="s">
        <v>401</v>
      </c>
      <c r="E489" s="32">
        <v>15373</v>
      </c>
      <c r="F489" s="28" t="s">
        <v>493</v>
      </c>
      <c r="G489" s="28" t="s">
        <v>476</v>
      </c>
      <c r="H489" s="26">
        <v>1</v>
      </c>
      <c r="I489" s="35">
        <v>50</v>
      </c>
      <c r="J489" s="35">
        <v>0</v>
      </c>
      <c r="K489" s="35">
        <v>0</v>
      </c>
      <c r="L489" s="35">
        <v>50</v>
      </c>
    </row>
    <row r="490" spans="2:12" x14ac:dyDescent="0.35">
      <c r="B490" s="31">
        <v>45002</v>
      </c>
      <c r="C490" s="40" t="str">
        <f t="shared" si="7"/>
        <v>Mar</v>
      </c>
      <c r="D490" s="27" t="s">
        <v>401</v>
      </c>
      <c r="E490" s="32">
        <v>15373</v>
      </c>
      <c r="F490" s="28" t="s">
        <v>482</v>
      </c>
      <c r="G490" s="28" t="s">
        <v>476</v>
      </c>
      <c r="H490" s="26">
        <v>1</v>
      </c>
      <c r="I490" s="35">
        <v>50</v>
      </c>
      <c r="J490" s="35">
        <v>0</v>
      </c>
      <c r="K490" s="35">
        <v>3.9</v>
      </c>
      <c r="L490" s="35">
        <v>53.9</v>
      </c>
    </row>
    <row r="491" spans="2:12" x14ac:dyDescent="0.35">
      <c r="B491" s="31">
        <v>45002</v>
      </c>
      <c r="C491" s="40" t="str">
        <f t="shared" si="7"/>
        <v>Mar</v>
      </c>
      <c r="D491" s="27" t="s">
        <v>402</v>
      </c>
      <c r="E491" s="32">
        <v>17953</v>
      </c>
      <c r="F491" s="28" t="s">
        <v>496</v>
      </c>
      <c r="G491" s="28" t="s">
        <v>476</v>
      </c>
      <c r="H491" s="26">
        <v>1</v>
      </c>
      <c r="I491" s="35">
        <v>0</v>
      </c>
      <c r="J491" s="35">
        <v>0</v>
      </c>
      <c r="K491" s="35">
        <v>0</v>
      </c>
      <c r="L491" s="35">
        <v>0</v>
      </c>
    </row>
    <row r="492" spans="2:12" x14ac:dyDescent="0.35">
      <c r="B492" s="31">
        <v>45002</v>
      </c>
      <c r="C492" s="40" t="str">
        <f t="shared" si="7"/>
        <v>Mar</v>
      </c>
      <c r="D492" s="27" t="s">
        <v>403</v>
      </c>
      <c r="E492" s="32">
        <v>17954</v>
      </c>
      <c r="F492" s="28" t="s">
        <v>484</v>
      </c>
      <c r="G492" s="28" t="s">
        <v>474</v>
      </c>
      <c r="H492" s="26">
        <v>1</v>
      </c>
      <c r="I492" s="35">
        <v>94.99</v>
      </c>
      <c r="J492" s="35">
        <v>0</v>
      </c>
      <c r="K492" s="35">
        <v>7.41</v>
      </c>
      <c r="L492" s="35">
        <v>102.39999999999999</v>
      </c>
    </row>
    <row r="493" spans="2:12" x14ac:dyDescent="0.35">
      <c r="B493" s="31">
        <v>45002</v>
      </c>
      <c r="C493" s="40" t="str">
        <f t="shared" si="7"/>
        <v>Mar</v>
      </c>
      <c r="D493" s="27" t="s">
        <v>403</v>
      </c>
      <c r="E493" s="32">
        <v>17954</v>
      </c>
      <c r="F493" s="28" t="s">
        <v>499</v>
      </c>
      <c r="G493" s="28" t="s">
        <v>474</v>
      </c>
      <c r="H493" s="26">
        <v>1</v>
      </c>
      <c r="I493" s="35">
        <v>65</v>
      </c>
      <c r="J493" s="35">
        <v>0</v>
      </c>
      <c r="K493" s="35">
        <v>5.07</v>
      </c>
      <c r="L493" s="35">
        <v>70.069999999999993</v>
      </c>
    </row>
    <row r="494" spans="2:12" x14ac:dyDescent="0.35">
      <c r="B494" s="31">
        <v>45002</v>
      </c>
      <c r="C494" s="40" t="str">
        <f t="shared" si="7"/>
        <v>Mar</v>
      </c>
      <c r="D494" s="27" t="s">
        <v>404</v>
      </c>
      <c r="E494" s="32">
        <v>15425</v>
      </c>
      <c r="F494" s="28" t="s">
        <v>482</v>
      </c>
      <c r="G494" s="28" t="s">
        <v>476</v>
      </c>
      <c r="H494" s="26">
        <v>1</v>
      </c>
      <c r="I494" s="35">
        <v>3000</v>
      </c>
      <c r="J494" s="35">
        <v>0</v>
      </c>
      <c r="K494" s="35">
        <v>234</v>
      </c>
      <c r="L494" s="35">
        <v>3234</v>
      </c>
    </row>
    <row r="495" spans="2:12" x14ac:dyDescent="0.35">
      <c r="B495" s="31">
        <v>45002</v>
      </c>
      <c r="C495" s="40" t="str">
        <f t="shared" si="7"/>
        <v>Mar</v>
      </c>
      <c r="D495" s="27" t="s">
        <v>405</v>
      </c>
      <c r="E495" s="32">
        <v>584</v>
      </c>
      <c r="F495" s="28" t="s">
        <v>488</v>
      </c>
      <c r="G495" s="28" t="s">
        <v>474</v>
      </c>
      <c r="H495" s="26">
        <v>1</v>
      </c>
      <c r="I495" s="35">
        <v>19.989999999999998</v>
      </c>
      <c r="J495" s="35">
        <v>0</v>
      </c>
      <c r="K495" s="35">
        <v>1.56</v>
      </c>
      <c r="L495" s="35">
        <v>21.549999999999997</v>
      </c>
    </row>
    <row r="496" spans="2:12" x14ac:dyDescent="0.35">
      <c r="B496" s="31">
        <v>45002</v>
      </c>
      <c r="C496" s="40" t="str">
        <f t="shared" si="7"/>
        <v>Mar</v>
      </c>
      <c r="D496" s="27" t="s">
        <v>406</v>
      </c>
      <c r="E496" s="32">
        <v>12925</v>
      </c>
      <c r="F496" s="28" t="s">
        <v>492</v>
      </c>
      <c r="G496" s="28" t="s">
        <v>476</v>
      </c>
      <c r="H496" s="26">
        <v>1</v>
      </c>
      <c r="I496" s="35">
        <v>50</v>
      </c>
      <c r="J496" s="35">
        <v>0</v>
      </c>
      <c r="K496" s="35">
        <v>3.9</v>
      </c>
      <c r="L496" s="35">
        <v>53.9</v>
      </c>
    </row>
    <row r="497" spans="2:12" x14ac:dyDescent="0.35">
      <c r="B497" s="31">
        <v>45005</v>
      </c>
      <c r="C497" s="40" t="str">
        <f t="shared" si="7"/>
        <v>Mar</v>
      </c>
      <c r="D497" s="27" t="s">
        <v>407</v>
      </c>
      <c r="E497" s="32">
        <v>12919</v>
      </c>
      <c r="F497" s="28" t="s">
        <v>482</v>
      </c>
      <c r="G497" s="28" t="s">
        <v>475</v>
      </c>
      <c r="H497" s="26">
        <v>1</v>
      </c>
      <c r="I497" s="35">
        <v>180</v>
      </c>
      <c r="J497" s="35">
        <v>0</v>
      </c>
      <c r="K497" s="35">
        <v>14.04</v>
      </c>
      <c r="L497" s="35">
        <v>194.04</v>
      </c>
    </row>
    <row r="498" spans="2:12" x14ac:dyDescent="0.35">
      <c r="B498" s="31">
        <v>45005</v>
      </c>
      <c r="C498" s="40" t="str">
        <f t="shared" si="7"/>
        <v>Mar</v>
      </c>
      <c r="D498" s="27" t="s">
        <v>407</v>
      </c>
      <c r="E498" s="32">
        <v>12919</v>
      </c>
      <c r="F498" s="28" t="s">
        <v>490</v>
      </c>
      <c r="G498" s="28" t="s">
        <v>475</v>
      </c>
      <c r="H498" s="26">
        <v>1</v>
      </c>
      <c r="I498" s="35">
        <v>0</v>
      </c>
      <c r="J498" s="35">
        <v>0</v>
      </c>
      <c r="K498" s="35">
        <v>0</v>
      </c>
      <c r="L498" s="35">
        <v>0</v>
      </c>
    </row>
    <row r="499" spans="2:12" x14ac:dyDescent="0.35">
      <c r="B499" s="31">
        <v>45005</v>
      </c>
      <c r="C499" s="40" t="str">
        <f t="shared" si="7"/>
        <v>Mar</v>
      </c>
      <c r="D499" s="27" t="s">
        <v>408</v>
      </c>
      <c r="E499" s="32">
        <v>17920</v>
      </c>
      <c r="F499" s="28" t="s">
        <v>490</v>
      </c>
      <c r="G499" s="28" t="s">
        <v>475</v>
      </c>
      <c r="H499" s="26">
        <v>1</v>
      </c>
      <c r="I499" s="35">
        <v>0</v>
      </c>
      <c r="J499" s="35">
        <v>0</v>
      </c>
      <c r="K499" s="35">
        <v>0</v>
      </c>
      <c r="L499" s="35">
        <v>0</v>
      </c>
    </row>
    <row r="500" spans="2:12" x14ac:dyDescent="0.35">
      <c r="B500" s="31">
        <v>45005</v>
      </c>
      <c r="C500" s="40" t="str">
        <f t="shared" si="7"/>
        <v>Mar</v>
      </c>
      <c r="D500" s="27" t="s">
        <v>408</v>
      </c>
      <c r="E500" s="32">
        <v>17920</v>
      </c>
      <c r="F500" s="28" t="s">
        <v>482</v>
      </c>
      <c r="G500" s="28" t="s">
        <v>475</v>
      </c>
      <c r="H500" s="26">
        <v>1</v>
      </c>
      <c r="I500" s="35">
        <v>180</v>
      </c>
      <c r="J500" s="35">
        <v>0</v>
      </c>
      <c r="K500" s="35">
        <v>14.04</v>
      </c>
      <c r="L500" s="35">
        <v>194.04</v>
      </c>
    </row>
    <row r="501" spans="2:12" x14ac:dyDescent="0.35">
      <c r="B501" s="31">
        <v>45005</v>
      </c>
      <c r="C501" s="40" t="str">
        <f t="shared" si="7"/>
        <v>Mar</v>
      </c>
      <c r="D501" s="27" t="s">
        <v>408</v>
      </c>
      <c r="E501" s="32">
        <v>17920</v>
      </c>
      <c r="F501" s="28" t="s">
        <v>482</v>
      </c>
      <c r="G501" s="28" t="s">
        <v>475</v>
      </c>
      <c r="H501" s="26">
        <v>1</v>
      </c>
      <c r="I501" s="35">
        <v>159</v>
      </c>
      <c r="J501" s="35">
        <v>0</v>
      </c>
      <c r="K501" s="35">
        <v>12.4</v>
      </c>
      <c r="L501" s="35">
        <v>171.4</v>
      </c>
    </row>
    <row r="502" spans="2:12" x14ac:dyDescent="0.35">
      <c r="B502" s="31">
        <v>45005</v>
      </c>
      <c r="C502" s="40" t="str">
        <f t="shared" si="7"/>
        <v>Mar</v>
      </c>
      <c r="D502" s="27" t="s">
        <v>409</v>
      </c>
      <c r="E502" s="32">
        <v>9767</v>
      </c>
      <c r="F502" s="28" t="s">
        <v>495</v>
      </c>
      <c r="G502" s="28" t="s">
        <v>474</v>
      </c>
      <c r="H502" s="26">
        <v>1</v>
      </c>
      <c r="I502" s="35">
        <v>130</v>
      </c>
      <c r="J502" s="35">
        <v>0</v>
      </c>
      <c r="K502" s="35">
        <v>10.14</v>
      </c>
      <c r="L502" s="35">
        <v>140.13999999999999</v>
      </c>
    </row>
    <row r="503" spans="2:12" x14ac:dyDescent="0.35">
      <c r="B503" s="31">
        <v>45006</v>
      </c>
      <c r="C503" s="40" t="str">
        <f t="shared" si="7"/>
        <v>Mar</v>
      </c>
      <c r="D503" s="27" t="s">
        <v>410</v>
      </c>
      <c r="E503" s="32">
        <v>13023</v>
      </c>
      <c r="F503" s="28" t="s">
        <v>483</v>
      </c>
      <c r="G503" s="28" t="s">
        <v>476</v>
      </c>
      <c r="H503" s="26">
        <v>36</v>
      </c>
      <c r="I503" s="35">
        <v>12</v>
      </c>
      <c r="J503" s="35">
        <v>0</v>
      </c>
      <c r="K503" s="35">
        <v>0</v>
      </c>
      <c r="L503" s="35">
        <v>432</v>
      </c>
    </row>
    <row r="504" spans="2:12" x14ac:dyDescent="0.35">
      <c r="B504" s="31">
        <v>45006</v>
      </c>
      <c r="C504" s="40" t="str">
        <f t="shared" si="7"/>
        <v>Mar</v>
      </c>
      <c r="D504" s="27" t="s">
        <v>411</v>
      </c>
      <c r="E504" s="32">
        <v>106</v>
      </c>
      <c r="F504" s="28" t="s">
        <v>487</v>
      </c>
      <c r="G504" s="28" t="s">
        <v>476</v>
      </c>
      <c r="H504" s="26">
        <v>20</v>
      </c>
      <c r="I504" s="35">
        <v>12</v>
      </c>
      <c r="J504" s="35">
        <v>0</v>
      </c>
      <c r="K504" s="35">
        <v>0</v>
      </c>
      <c r="L504" s="35">
        <v>240</v>
      </c>
    </row>
    <row r="505" spans="2:12" x14ac:dyDescent="0.35">
      <c r="B505" s="31">
        <v>45006</v>
      </c>
      <c r="C505" s="40" t="str">
        <f t="shared" si="7"/>
        <v>Mar</v>
      </c>
      <c r="D505" s="27" t="s">
        <v>412</v>
      </c>
      <c r="E505" s="32">
        <v>541</v>
      </c>
      <c r="F505" s="28" t="s">
        <v>483</v>
      </c>
      <c r="G505" s="28" t="s">
        <v>476</v>
      </c>
      <c r="H505" s="26">
        <v>24</v>
      </c>
      <c r="I505" s="35">
        <v>12</v>
      </c>
      <c r="J505" s="35">
        <v>0</v>
      </c>
      <c r="K505" s="35">
        <v>0</v>
      </c>
      <c r="L505" s="35">
        <v>288</v>
      </c>
    </row>
    <row r="506" spans="2:12" x14ac:dyDescent="0.35">
      <c r="B506" s="31">
        <v>45006</v>
      </c>
      <c r="C506" s="40" t="str">
        <f t="shared" si="7"/>
        <v>Mar</v>
      </c>
      <c r="D506" s="27" t="s">
        <v>413</v>
      </c>
      <c r="E506" s="32">
        <v>15521</v>
      </c>
      <c r="F506" s="28" t="s">
        <v>483</v>
      </c>
      <c r="G506" s="28" t="s">
        <v>476</v>
      </c>
      <c r="H506" s="26">
        <v>30</v>
      </c>
      <c r="I506" s="35">
        <v>12</v>
      </c>
      <c r="J506" s="35">
        <v>0</v>
      </c>
      <c r="K506" s="35">
        <v>0</v>
      </c>
      <c r="L506" s="35">
        <v>360</v>
      </c>
    </row>
    <row r="507" spans="2:12" x14ac:dyDescent="0.35">
      <c r="B507" s="31">
        <v>45006</v>
      </c>
      <c r="C507" s="40" t="str">
        <f t="shared" si="7"/>
        <v>Mar</v>
      </c>
      <c r="D507" s="27" t="s">
        <v>414</v>
      </c>
      <c r="E507" s="32">
        <v>5383</v>
      </c>
      <c r="F507" s="28" t="s">
        <v>483</v>
      </c>
      <c r="G507" s="28" t="s">
        <v>476</v>
      </c>
      <c r="H507" s="26">
        <v>70</v>
      </c>
      <c r="I507" s="35">
        <v>12</v>
      </c>
      <c r="J507" s="35">
        <v>0</v>
      </c>
      <c r="K507" s="35">
        <v>0</v>
      </c>
      <c r="L507" s="35">
        <v>840</v>
      </c>
    </row>
    <row r="508" spans="2:12" x14ac:dyDescent="0.35">
      <c r="B508" s="31">
        <v>45006</v>
      </c>
      <c r="C508" s="40" t="str">
        <f t="shared" si="7"/>
        <v>Mar</v>
      </c>
      <c r="D508" s="27" t="s">
        <v>415</v>
      </c>
      <c r="E508" s="32">
        <v>14375</v>
      </c>
      <c r="F508" s="28" t="s">
        <v>483</v>
      </c>
      <c r="G508" s="28" t="s">
        <v>476</v>
      </c>
      <c r="H508" s="26">
        <v>34</v>
      </c>
      <c r="I508" s="35">
        <v>12</v>
      </c>
      <c r="J508" s="35">
        <v>0</v>
      </c>
      <c r="K508" s="35">
        <v>0</v>
      </c>
      <c r="L508" s="35">
        <v>408</v>
      </c>
    </row>
    <row r="509" spans="2:12" x14ac:dyDescent="0.35">
      <c r="B509" s="31">
        <v>45006</v>
      </c>
      <c r="C509" s="40" t="str">
        <f t="shared" si="7"/>
        <v>Mar</v>
      </c>
      <c r="D509" s="27" t="s">
        <v>416</v>
      </c>
      <c r="E509" s="32">
        <v>17871</v>
      </c>
      <c r="F509" s="28" t="s">
        <v>483</v>
      </c>
      <c r="G509" s="28" t="s">
        <v>476</v>
      </c>
      <c r="H509" s="26">
        <v>20</v>
      </c>
      <c r="I509" s="35">
        <v>12</v>
      </c>
      <c r="J509" s="35">
        <v>0</v>
      </c>
      <c r="K509" s="35">
        <v>0</v>
      </c>
      <c r="L509" s="35">
        <v>240</v>
      </c>
    </row>
    <row r="510" spans="2:12" x14ac:dyDescent="0.35">
      <c r="B510" s="31">
        <v>45006</v>
      </c>
      <c r="C510" s="40" t="str">
        <f t="shared" si="7"/>
        <v>Mar</v>
      </c>
      <c r="D510" s="27" t="s">
        <v>416</v>
      </c>
      <c r="E510" s="32">
        <v>17871</v>
      </c>
      <c r="F510" s="28" t="s">
        <v>502</v>
      </c>
      <c r="G510" s="28" t="s">
        <v>476</v>
      </c>
      <c r="H510" s="26">
        <v>1</v>
      </c>
      <c r="I510" s="35">
        <v>100</v>
      </c>
      <c r="J510" s="35">
        <v>0</v>
      </c>
      <c r="K510" s="35">
        <v>0</v>
      </c>
      <c r="L510" s="35">
        <v>100</v>
      </c>
    </row>
    <row r="511" spans="2:12" x14ac:dyDescent="0.35">
      <c r="B511" s="31">
        <v>45006</v>
      </c>
      <c r="C511" s="40" t="str">
        <f t="shared" si="7"/>
        <v>Mar</v>
      </c>
      <c r="D511" s="27" t="s">
        <v>417</v>
      </c>
      <c r="E511" s="32">
        <v>13112</v>
      </c>
      <c r="F511" s="28" t="s">
        <v>482</v>
      </c>
      <c r="G511" s="28" t="s">
        <v>476</v>
      </c>
      <c r="H511" s="26">
        <v>1</v>
      </c>
      <c r="I511" s="35">
        <v>0</v>
      </c>
      <c r="J511" s="35">
        <v>0</v>
      </c>
      <c r="K511" s="35">
        <v>0</v>
      </c>
      <c r="L511" s="35">
        <v>0</v>
      </c>
    </row>
    <row r="512" spans="2:12" x14ac:dyDescent="0.35">
      <c r="B512" s="31">
        <v>45006</v>
      </c>
      <c r="C512" s="40" t="str">
        <f t="shared" si="7"/>
        <v>Mar</v>
      </c>
      <c r="D512" s="27" t="s">
        <v>418</v>
      </c>
      <c r="E512" s="32">
        <v>17962</v>
      </c>
      <c r="F512" s="28" t="s">
        <v>489</v>
      </c>
      <c r="G512" s="28" t="s">
        <v>475</v>
      </c>
      <c r="H512" s="26">
        <v>1</v>
      </c>
      <c r="I512" s="35">
        <v>90</v>
      </c>
      <c r="J512" s="35">
        <v>0</v>
      </c>
      <c r="K512" s="35">
        <v>7.02</v>
      </c>
      <c r="L512" s="35">
        <v>97.02</v>
      </c>
    </row>
    <row r="513" spans="2:12" x14ac:dyDescent="0.35">
      <c r="B513" s="31">
        <v>45006</v>
      </c>
      <c r="C513" s="40" t="str">
        <f t="shared" si="7"/>
        <v>Mar</v>
      </c>
      <c r="D513" s="27" t="s">
        <v>419</v>
      </c>
      <c r="E513" s="32">
        <v>913</v>
      </c>
      <c r="F513" s="28" t="s">
        <v>483</v>
      </c>
      <c r="G513" s="28" t="s">
        <v>476</v>
      </c>
      <c r="H513" s="26">
        <v>20</v>
      </c>
      <c r="I513" s="35">
        <v>12</v>
      </c>
      <c r="J513" s="35">
        <v>0</v>
      </c>
      <c r="K513" s="35">
        <v>0</v>
      </c>
      <c r="L513" s="35">
        <v>240</v>
      </c>
    </row>
    <row r="514" spans="2:12" x14ac:dyDescent="0.35">
      <c r="B514" s="31">
        <v>45006</v>
      </c>
      <c r="C514" s="40" t="str">
        <f t="shared" si="7"/>
        <v>Mar</v>
      </c>
      <c r="D514" s="27" t="s">
        <v>420</v>
      </c>
      <c r="E514" s="32">
        <v>4158</v>
      </c>
      <c r="F514" s="28" t="s">
        <v>480</v>
      </c>
      <c r="G514" s="28" t="s">
        <v>474</v>
      </c>
      <c r="H514" s="26">
        <v>1</v>
      </c>
      <c r="I514" s="35">
        <v>0</v>
      </c>
      <c r="J514" s="35">
        <v>0</v>
      </c>
      <c r="K514" s="35">
        <v>0</v>
      </c>
      <c r="L514" s="35">
        <v>0</v>
      </c>
    </row>
    <row r="515" spans="2:12" x14ac:dyDescent="0.35">
      <c r="B515" s="31">
        <v>45006</v>
      </c>
      <c r="C515" s="40" t="str">
        <f t="shared" si="7"/>
        <v>Mar</v>
      </c>
      <c r="D515" s="27" t="s">
        <v>421</v>
      </c>
      <c r="E515" s="32">
        <v>8627</v>
      </c>
      <c r="F515" s="28" t="s">
        <v>502</v>
      </c>
      <c r="G515" s="28" t="s">
        <v>474</v>
      </c>
      <c r="H515" s="26">
        <v>1</v>
      </c>
      <c r="I515" s="35">
        <v>0</v>
      </c>
      <c r="J515" s="35">
        <v>0</v>
      </c>
      <c r="K515" s="35">
        <v>0</v>
      </c>
      <c r="L515" s="35">
        <v>0</v>
      </c>
    </row>
    <row r="516" spans="2:12" x14ac:dyDescent="0.35">
      <c r="B516" s="31">
        <v>45006</v>
      </c>
      <c r="C516" s="40" t="str">
        <f t="shared" si="7"/>
        <v>Mar</v>
      </c>
      <c r="D516" s="27" t="s">
        <v>422</v>
      </c>
      <c r="E516" s="32">
        <v>148</v>
      </c>
      <c r="F516" s="28" t="s">
        <v>480</v>
      </c>
      <c r="G516" s="28" t="s">
        <v>474</v>
      </c>
      <c r="H516" s="26">
        <v>1</v>
      </c>
      <c r="I516" s="35">
        <v>75</v>
      </c>
      <c r="J516" s="35">
        <v>0</v>
      </c>
      <c r="K516" s="35">
        <v>0</v>
      </c>
      <c r="L516" s="35">
        <v>75</v>
      </c>
    </row>
    <row r="517" spans="2:12" x14ac:dyDescent="0.35">
      <c r="B517" s="31">
        <v>45007</v>
      </c>
      <c r="C517" s="40" t="str">
        <f t="shared" si="7"/>
        <v>Mar</v>
      </c>
      <c r="D517" s="27" t="s">
        <v>423</v>
      </c>
      <c r="E517" s="32">
        <v>870</v>
      </c>
      <c r="F517" s="28" t="s">
        <v>489</v>
      </c>
      <c r="G517" s="28" t="s">
        <v>475</v>
      </c>
      <c r="H517" s="26">
        <v>1</v>
      </c>
      <c r="I517" s="35">
        <v>90</v>
      </c>
      <c r="J517" s="35">
        <v>22.5</v>
      </c>
      <c r="K517" s="35">
        <v>5.27</v>
      </c>
      <c r="L517" s="35">
        <v>72.77</v>
      </c>
    </row>
    <row r="518" spans="2:12" x14ac:dyDescent="0.35">
      <c r="B518" s="31">
        <v>45007</v>
      </c>
      <c r="C518" s="40" t="str">
        <f t="shared" ref="C518:C576" si="8">TEXT(B518,"MMM")</f>
        <v>Mar</v>
      </c>
      <c r="D518" s="27" t="s">
        <v>424</v>
      </c>
      <c r="E518" s="32">
        <v>602</v>
      </c>
      <c r="F518" s="28" t="s">
        <v>482</v>
      </c>
      <c r="G518" s="28" t="s">
        <v>475</v>
      </c>
      <c r="H518" s="26">
        <v>1</v>
      </c>
      <c r="I518" s="35">
        <v>180</v>
      </c>
      <c r="J518" s="35">
        <v>0</v>
      </c>
      <c r="K518" s="35">
        <v>14.04</v>
      </c>
      <c r="L518" s="35">
        <v>194.04</v>
      </c>
    </row>
    <row r="519" spans="2:12" x14ac:dyDescent="0.35">
      <c r="B519" s="31">
        <v>45007</v>
      </c>
      <c r="C519" s="40" t="str">
        <f t="shared" si="8"/>
        <v>Mar</v>
      </c>
      <c r="D519" s="27" t="s">
        <v>425</v>
      </c>
      <c r="E519" s="32">
        <v>8577</v>
      </c>
      <c r="F519" s="28" t="s">
        <v>481</v>
      </c>
      <c r="G519" s="28" t="s">
        <v>474</v>
      </c>
      <c r="H519" s="26">
        <v>1</v>
      </c>
      <c r="I519" s="35">
        <v>49</v>
      </c>
      <c r="J519" s="35">
        <v>24.5</v>
      </c>
      <c r="K519" s="35">
        <v>1.91</v>
      </c>
      <c r="L519" s="35">
        <v>26.41</v>
      </c>
    </row>
    <row r="520" spans="2:12" x14ac:dyDescent="0.35">
      <c r="B520" s="31">
        <v>45007</v>
      </c>
      <c r="C520" s="40" t="str">
        <f t="shared" si="8"/>
        <v>Mar</v>
      </c>
      <c r="D520" s="27" t="s">
        <v>426</v>
      </c>
      <c r="E520" s="32">
        <v>12917</v>
      </c>
      <c r="F520" s="28" t="s">
        <v>480</v>
      </c>
      <c r="G520" s="28" t="s">
        <v>474</v>
      </c>
      <c r="H520" s="26">
        <v>12</v>
      </c>
      <c r="I520" s="35">
        <v>0</v>
      </c>
      <c r="J520" s="35">
        <v>0</v>
      </c>
      <c r="K520" s="35">
        <v>0</v>
      </c>
      <c r="L520" s="35">
        <v>0</v>
      </c>
    </row>
    <row r="521" spans="2:12" x14ac:dyDescent="0.35">
      <c r="B521" s="31">
        <v>45007</v>
      </c>
      <c r="C521" s="40" t="str">
        <f t="shared" si="8"/>
        <v>Mar</v>
      </c>
      <c r="D521" s="27" t="s">
        <v>427</v>
      </c>
      <c r="E521" s="32">
        <v>17968</v>
      </c>
      <c r="F521" s="28" t="s">
        <v>489</v>
      </c>
      <c r="G521" s="28" t="s">
        <v>474</v>
      </c>
      <c r="H521" s="26">
        <v>1</v>
      </c>
      <c r="I521" s="35">
        <v>90</v>
      </c>
      <c r="J521" s="35">
        <v>0</v>
      </c>
      <c r="K521" s="35">
        <v>7.02</v>
      </c>
      <c r="L521" s="35">
        <v>97.02</v>
      </c>
    </row>
    <row r="522" spans="2:12" x14ac:dyDescent="0.35">
      <c r="B522" s="31">
        <v>45007</v>
      </c>
      <c r="C522" s="40" t="str">
        <f t="shared" si="8"/>
        <v>Mar</v>
      </c>
      <c r="D522" s="27" t="s">
        <v>428</v>
      </c>
      <c r="E522" s="32">
        <v>602</v>
      </c>
      <c r="F522" s="28" t="s">
        <v>502</v>
      </c>
      <c r="G522" s="28" t="s">
        <v>475</v>
      </c>
      <c r="H522" s="26">
        <v>1</v>
      </c>
      <c r="I522" s="35">
        <v>70</v>
      </c>
      <c r="J522" s="35">
        <v>0</v>
      </c>
      <c r="K522" s="35">
        <v>5.46</v>
      </c>
      <c r="L522" s="35">
        <v>75.459999999999994</v>
      </c>
    </row>
    <row r="523" spans="2:12" x14ac:dyDescent="0.35">
      <c r="B523" s="31">
        <v>45008</v>
      </c>
      <c r="C523" s="40" t="str">
        <f t="shared" si="8"/>
        <v>Mar</v>
      </c>
      <c r="D523" s="27" t="s">
        <v>203</v>
      </c>
      <c r="E523" s="32">
        <v>15490</v>
      </c>
      <c r="F523" s="28" t="s">
        <v>480</v>
      </c>
      <c r="G523" s="28" t="s">
        <v>474</v>
      </c>
      <c r="H523" s="26">
        <v>-1</v>
      </c>
      <c r="I523" s="35">
        <v>-75</v>
      </c>
      <c r="J523" s="35">
        <v>0</v>
      </c>
      <c r="K523" s="35">
        <v>0</v>
      </c>
      <c r="L523" s="35">
        <v>-75</v>
      </c>
    </row>
    <row r="524" spans="2:12" x14ac:dyDescent="0.35">
      <c r="B524" s="31">
        <v>45008</v>
      </c>
      <c r="C524" s="40" t="str">
        <f t="shared" si="8"/>
        <v>Mar</v>
      </c>
      <c r="D524" s="27" t="s">
        <v>429</v>
      </c>
      <c r="E524" s="32">
        <v>17859</v>
      </c>
      <c r="F524" s="28" t="s">
        <v>482</v>
      </c>
      <c r="G524" s="28" t="s">
        <v>475</v>
      </c>
      <c r="H524" s="26">
        <v>1</v>
      </c>
      <c r="I524" s="35">
        <v>159</v>
      </c>
      <c r="J524" s="35">
        <v>0</v>
      </c>
      <c r="K524" s="35">
        <v>12.4</v>
      </c>
      <c r="L524" s="35">
        <v>171.4</v>
      </c>
    </row>
    <row r="525" spans="2:12" x14ac:dyDescent="0.35">
      <c r="B525" s="31">
        <v>45008</v>
      </c>
      <c r="C525" s="40" t="str">
        <f t="shared" si="8"/>
        <v>Mar</v>
      </c>
      <c r="D525" s="27" t="s">
        <v>429</v>
      </c>
      <c r="E525" s="32">
        <v>17859</v>
      </c>
      <c r="F525" s="28" t="s">
        <v>482</v>
      </c>
      <c r="G525" s="28" t="s">
        <v>475</v>
      </c>
      <c r="H525" s="26">
        <v>1</v>
      </c>
      <c r="I525" s="35">
        <v>180</v>
      </c>
      <c r="J525" s="35">
        <v>0</v>
      </c>
      <c r="K525" s="35">
        <v>14.04</v>
      </c>
      <c r="L525" s="35">
        <v>194.04</v>
      </c>
    </row>
    <row r="526" spans="2:12" x14ac:dyDescent="0.35">
      <c r="B526" s="31">
        <v>45008</v>
      </c>
      <c r="C526" s="40" t="str">
        <f t="shared" si="8"/>
        <v>Mar</v>
      </c>
      <c r="D526" s="27" t="s">
        <v>430</v>
      </c>
      <c r="E526" s="32">
        <v>17902</v>
      </c>
      <c r="F526" s="28" t="s">
        <v>490</v>
      </c>
      <c r="G526" s="28" t="s">
        <v>475</v>
      </c>
      <c r="H526" s="26">
        <v>1</v>
      </c>
      <c r="I526" s="35">
        <v>0</v>
      </c>
      <c r="J526" s="35">
        <v>0</v>
      </c>
      <c r="K526" s="35">
        <v>0</v>
      </c>
      <c r="L526" s="35">
        <v>0</v>
      </c>
    </row>
    <row r="527" spans="2:12" x14ac:dyDescent="0.35">
      <c r="B527" s="31">
        <v>45008</v>
      </c>
      <c r="C527" s="40" t="str">
        <f t="shared" si="8"/>
        <v>Mar</v>
      </c>
      <c r="D527" s="27" t="s">
        <v>431</v>
      </c>
      <c r="E527" s="32">
        <v>13190</v>
      </c>
      <c r="F527" s="28" t="s">
        <v>481</v>
      </c>
      <c r="G527" s="28" t="s">
        <v>475</v>
      </c>
      <c r="H527" s="26">
        <v>1</v>
      </c>
      <c r="I527" s="35">
        <v>95</v>
      </c>
      <c r="J527" s="35">
        <v>0</v>
      </c>
      <c r="K527" s="35">
        <v>7.41</v>
      </c>
      <c r="L527" s="35">
        <v>102.41</v>
      </c>
    </row>
    <row r="528" spans="2:12" x14ac:dyDescent="0.35">
      <c r="B528" s="31">
        <v>45008</v>
      </c>
      <c r="C528" s="40" t="str">
        <f t="shared" si="8"/>
        <v>Mar</v>
      </c>
      <c r="D528" s="27" t="s">
        <v>432</v>
      </c>
      <c r="E528" s="32">
        <v>13165</v>
      </c>
      <c r="F528" s="28" t="s">
        <v>493</v>
      </c>
      <c r="G528" s="28" t="s">
        <v>474</v>
      </c>
      <c r="H528" s="26">
        <v>1</v>
      </c>
      <c r="I528" s="35">
        <v>150</v>
      </c>
      <c r="J528" s="35">
        <v>75</v>
      </c>
      <c r="K528" s="35">
        <v>5.85</v>
      </c>
      <c r="L528" s="35">
        <v>80.849999999999994</v>
      </c>
    </row>
    <row r="529" spans="2:12" x14ac:dyDescent="0.35">
      <c r="B529" s="31">
        <v>45012</v>
      </c>
      <c r="C529" s="40" t="str">
        <f t="shared" si="8"/>
        <v>Mar</v>
      </c>
      <c r="D529" s="27" t="s">
        <v>433</v>
      </c>
      <c r="E529" s="32">
        <v>894</v>
      </c>
      <c r="F529" s="28" t="s">
        <v>483</v>
      </c>
      <c r="G529" s="28" t="s">
        <v>473</v>
      </c>
      <c r="H529" s="26">
        <v>24</v>
      </c>
      <c r="I529" s="35">
        <v>12</v>
      </c>
      <c r="J529" s="35">
        <v>0</v>
      </c>
      <c r="K529" s="35">
        <v>0</v>
      </c>
      <c r="L529" s="35">
        <v>288</v>
      </c>
    </row>
    <row r="530" spans="2:12" x14ac:dyDescent="0.35">
      <c r="B530" s="31">
        <v>45012</v>
      </c>
      <c r="C530" s="40" t="str">
        <f t="shared" si="8"/>
        <v>Mar</v>
      </c>
      <c r="D530" s="27" t="s">
        <v>434</v>
      </c>
      <c r="E530" s="32">
        <v>958</v>
      </c>
      <c r="F530" s="28" t="s">
        <v>500</v>
      </c>
      <c r="G530" s="28" t="s">
        <v>473</v>
      </c>
      <c r="H530" s="26">
        <v>1</v>
      </c>
      <c r="I530" s="35">
        <v>0</v>
      </c>
      <c r="J530" s="35">
        <v>0</v>
      </c>
      <c r="K530" s="35">
        <v>0</v>
      </c>
      <c r="L530" s="35">
        <v>0</v>
      </c>
    </row>
    <row r="531" spans="2:12" x14ac:dyDescent="0.35">
      <c r="B531" s="31">
        <v>45012</v>
      </c>
      <c r="C531" s="40" t="str">
        <f t="shared" si="8"/>
        <v>Mar</v>
      </c>
      <c r="D531" s="27" t="s">
        <v>434</v>
      </c>
      <c r="E531" s="32">
        <v>958</v>
      </c>
      <c r="F531" s="28" t="s">
        <v>494</v>
      </c>
      <c r="G531" s="28" t="s">
        <v>473</v>
      </c>
      <c r="H531" s="26">
        <v>1</v>
      </c>
      <c r="I531" s="35">
        <v>200</v>
      </c>
      <c r="J531" s="35">
        <v>0</v>
      </c>
      <c r="K531" s="35">
        <v>0</v>
      </c>
      <c r="L531" s="35">
        <v>200</v>
      </c>
    </row>
    <row r="532" spans="2:12" x14ac:dyDescent="0.35">
      <c r="B532" s="31">
        <v>45012</v>
      </c>
      <c r="C532" s="40" t="str">
        <f t="shared" si="8"/>
        <v>Mar</v>
      </c>
      <c r="D532" s="27" t="s">
        <v>435</v>
      </c>
      <c r="E532" s="32">
        <v>512</v>
      </c>
      <c r="F532" s="28" t="s">
        <v>483</v>
      </c>
      <c r="G532" s="28" t="s">
        <v>473</v>
      </c>
      <c r="H532" s="26">
        <v>24</v>
      </c>
      <c r="I532" s="35">
        <v>12</v>
      </c>
      <c r="J532" s="35">
        <v>0</v>
      </c>
      <c r="K532" s="35">
        <v>0</v>
      </c>
      <c r="L532" s="35">
        <v>288</v>
      </c>
    </row>
    <row r="533" spans="2:12" x14ac:dyDescent="0.35">
      <c r="B533" s="31">
        <v>45012</v>
      </c>
      <c r="C533" s="40" t="str">
        <f t="shared" si="8"/>
        <v>Mar</v>
      </c>
      <c r="D533" s="27" t="s">
        <v>436</v>
      </c>
      <c r="E533" s="32">
        <v>473</v>
      </c>
      <c r="F533" s="28" t="s">
        <v>483</v>
      </c>
      <c r="G533" s="28" t="s">
        <v>473</v>
      </c>
      <c r="H533" s="26">
        <v>48</v>
      </c>
      <c r="I533" s="35">
        <v>12</v>
      </c>
      <c r="J533" s="35">
        <v>0</v>
      </c>
      <c r="K533" s="35">
        <v>0</v>
      </c>
      <c r="L533" s="35">
        <v>576</v>
      </c>
    </row>
    <row r="534" spans="2:12" x14ac:dyDescent="0.35">
      <c r="B534" s="31">
        <v>45012</v>
      </c>
      <c r="C534" s="40" t="str">
        <f t="shared" si="8"/>
        <v>Mar</v>
      </c>
      <c r="D534" s="27" t="s">
        <v>437</v>
      </c>
      <c r="E534" s="32">
        <v>159</v>
      </c>
      <c r="F534" s="28" t="s">
        <v>483</v>
      </c>
      <c r="G534" s="28" t="s">
        <v>473</v>
      </c>
      <c r="H534" s="26">
        <v>24</v>
      </c>
      <c r="I534" s="35">
        <v>12</v>
      </c>
      <c r="J534" s="35">
        <v>0</v>
      </c>
      <c r="K534" s="35">
        <v>0</v>
      </c>
      <c r="L534" s="35">
        <v>288</v>
      </c>
    </row>
    <row r="535" spans="2:12" x14ac:dyDescent="0.35">
      <c r="B535" s="31">
        <v>45012</v>
      </c>
      <c r="C535" s="40" t="str">
        <f t="shared" si="8"/>
        <v>Mar</v>
      </c>
      <c r="D535" s="27" t="s">
        <v>438</v>
      </c>
      <c r="E535" s="32">
        <v>467</v>
      </c>
      <c r="F535" s="28" t="s">
        <v>483</v>
      </c>
      <c r="G535" s="28" t="s">
        <v>473</v>
      </c>
      <c r="H535" s="26">
        <v>24</v>
      </c>
      <c r="I535" s="35">
        <v>12</v>
      </c>
      <c r="J535" s="35">
        <v>0</v>
      </c>
      <c r="K535" s="35">
        <v>0</v>
      </c>
      <c r="L535" s="35">
        <v>288</v>
      </c>
    </row>
    <row r="536" spans="2:12" x14ac:dyDescent="0.35">
      <c r="B536" s="31">
        <v>45012</v>
      </c>
      <c r="C536" s="40" t="str">
        <f t="shared" si="8"/>
        <v>Mar</v>
      </c>
      <c r="D536" s="27" t="s">
        <v>439</v>
      </c>
      <c r="E536" s="32">
        <v>545</v>
      </c>
      <c r="F536" s="28" t="s">
        <v>483</v>
      </c>
      <c r="G536" s="28" t="s">
        <v>473</v>
      </c>
      <c r="H536" s="26">
        <v>40</v>
      </c>
      <c r="I536" s="35">
        <v>12</v>
      </c>
      <c r="J536" s="35">
        <v>0</v>
      </c>
      <c r="K536" s="35">
        <v>0</v>
      </c>
      <c r="L536" s="35">
        <v>480</v>
      </c>
    </row>
    <row r="537" spans="2:12" x14ac:dyDescent="0.35">
      <c r="B537" s="31">
        <v>45012</v>
      </c>
      <c r="C537" s="40" t="str">
        <f t="shared" si="8"/>
        <v>Mar</v>
      </c>
      <c r="D537" s="27" t="s">
        <v>440</v>
      </c>
      <c r="E537" s="32">
        <v>597</v>
      </c>
      <c r="F537" s="28" t="s">
        <v>483</v>
      </c>
      <c r="G537" s="28" t="s">
        <v>473</v>
      </c>
      <c r="H537" s="26">
        <v>40</v>
      </c>
      <c r="I537" s="35">
        <v>12</v>
      </c>
      <c r="J537" s="35">
        <v>0</v>
      </c>
      <c r="K537" s="35">
        <v>0</v>
      </c>
      <c r="L537" s="35">
        <v>480</v>
      </c>
    </row>
    <row r="538" spans="2:12" x14ac:dyDescent="0.35">
      <c r="B538" s="31">
        <v>45012</v>
      </c>
      <c r="C538" s="40" t="str">
        <f t="shared" si="8"/>
        <v>Mar</v>
      </c>
      <c r="D538" s="27" t="s">
        <v>441</v>
      </c>
      <c r="E538" s="32">
        <v>9785</v>
      </c>
      <c r="F538" s="28" t="s">
        <v>483</v>
      </c>
      <c r="G538" s="28" t="s">
        <v>473</v>
      </c>
      <c r="H538" s="26">
        <v>28</v>
      </c>
      <c r="I538" s="35">
        <v>12</v>
      </c>
      <c r="J538" s="35">
        <v>0</v>
      </c>
      <c r="K538" s="35">
        <v>0</v>
      </c>
      <c r="L538" s="35">
        <v>336</v>
      </c>
    </row>
    <row r="539" spans="2:12" x14ac:dyDescent="0.35">
      <c r="B539" s="31">
        <v>45012</v>
      </c>
      <c r="C539" s="40" t="str">
        <f t="shared" si="8"/>
        <v>Mar</v>
      </c>
      <c r="D539" s="27" t="s">
        <v>441</v>
      </c>
      <c r="E539" s="32">
        <v>9785</v>
      </c>
      <c r="F539" s="28" t="s">
        <v>502</v>
      </c>
      <c r="G539" s="28" t="s">
        <v>473</v>
      </c>
      <c r="H539" s="26">
        <v>1</v>
      </c>
      <c r="I539" s="35">
        <v>198</v>
      </c>
      <c r="J539" s="35">
        <v>0</v>
      </c>
      <c r="K539" s="35">
        <v>15.44</v>
      </c>
      <c r="L539" s="35">
        <v>213.44</v>
      </c>
    </row>
    <row r="540" spans="2:12" x14ac:dyDescent="0.35">
      <c r="B540" s="31">
        <v>45012</v>
      </c>
      <c r="C540" s="40" t="str">
        <f t="shared" si="8"/>
        <v>Mar</v>
      </c>
      <c r="D540" s="27" t="s">
        <v>442</v>
      </c>
      <c r="E540" s="32">
        <v>878</v>
      </c>
      <c r="F540" s="28" t="s">
        <v>494</v>
      </c>
      <c r="G540" s="28" t="s">
        <v>473</v>
      </c>
      <c r="H540" s="26">
        <v>1</v>
      </c>
      <c r="I540" s="35">
        <v>675</v>
      </c>
      <c r="J540" s="35">
        <v>0</v>
      </c>
      <c r="K540" s="35">
        <v>0</v>
      </c>
      <c r="L540" s="35">
        <v>675</v>
      </c>
    </row>
    <row r="541" spans="2:12" x14ac:dyDescent="0.35">
      <c r="B541" s="31">
        <v>45012</v>
      </c>
      <c r="C541" s="40" t="str">
        <f t="shared" si="8"/>
        <v>Mar</v>
      </c>
      <c r="D541" s="27" t="s">
        <v>442</v>
      </c>
      <c r="E541" s="32">
        <v>878</v>
      </c>
      <c r="F541" s="28" t="s">
        <v>484</v>
      </c>
      <c r="G541" s="28" t="s">
        <v>473</v>
      </c>
      <c r="H541" s="26">
        <v>2</v>
      </c>
      <c r="I541" s="35">
        <v>825</v>
      </c>
      <c r="J541" s="35">
        <v>0</v>
      </c>
      <c r="K541" s="35">
        <v>0</v>
      </c>
      <c r="L541" s="35">
        <v>1650</v>
      </c>
    </row>
    <row r="542" spans="2:12" x14ac:dyDescent="0.35">
      <c r="B542" s="31">
        <v>45012</v>
      </c>
      <c r="C542" s="40" t="str">
        <f t="shared" si="8"/>
        <v>Mar</v>
      </c>
      <c r="D542" s="27" t="s">
        <v>443</v>
      </c>
      <c r="E542" s="32">
        <v>15523</v>
      </c>
      <c r="F542" s="28" t="s">
        <v>495</v>
      </c>
      <c r="G542" s="28" t="s">
        <v>475</v>
      </c>
      <c r="H542" s="26">
        <v>1</v>
      </c>
      <c r="I542" s="35">
        <v>80</v>
      </c>
      <c r="J542" s="35">
        <v>0</v>
      </c>
      <c r="K542" s="35">
        <v>5.6</v>
      </c>
      <c r="L542" s="35">
        <v>85.6</v>
      </c>
    </row>
    <row r="543" spans="2:12" x14ac:dyDescent="0.35">
      <c r="B543" s="31">
        <v>45012</v>
      </c>
      <c r="C543" s="40" t="str">
        <f t="shared" si="8"/>
        <v>Mar</v>
      </c>
      <c r="D543" s="27" t="s">
        <v>444</v>
      </c>
      <c r="E543" s="32">
        <v>4227</v>
      </c>
      <c r="F543" s="28" t="s">
        <v>483</v>
      </c>
      <c r="G543" s="28" t="s">
        <v>473</v>
      </c>
      <c r="H543" s="26">
        <v>52</v>
      </c>
      <c r="I543" s="35">
        <v>12</v>
      </c>
      <c r="J543" s="35">
        <v>0</v>
      </c>
      <c r="K543" s="35">
        <v>0</v>
      </c>
      <c r="L543" s="35">
        <v>624</v>
      </c>
    </row>
    <row r="544" spans="2:12" x14ac:dyDescent="0.35">
      <c r="B544" s="31">
        <v>45012</v>
      </c>
      <c r="C544" s="40" t="str">
        <f t="shared" si="8"/>
        <v>Mar</v>
      </c>
      <c r="D544" s="27" t="s">
        <v>445</v>
      </c>
      <c r="E544" s="32">
        <v>4158</v>
      </c>
      <c r="F544" s="28" t="s">
        <v>483</v>
      </c>
      <c r="G544" s="28" t="s">
        <v>473</v>
      </c>
      <c r="H544" s="26">
        <v>68</v>
      </c>
      <c r="I544" s="35">
        <v>12</v>
      </c>
      <c r="J544" s="35">
        <v>0</v>
      </c>
      <c r="K544" s="35">
        <v>0</v>
      </c>
      <c r="L544" s="35">
        <v>816</v>
      </c>
    </row>
    <row r="545" spans="2:12" x14ac:dyDescent="0.35">
      <c r="B545" s="31">
        <v>45012</v>
      </c>
      <c r="C545" s="40" t="str">
        <f t="shared" si="8"/>
        <v>Mar</v>
      </c>
      <c r="D545" s="27" t="s">
        <v>446</v>
      </c>
      <c r="E545" s="32">
        <v>602</v>
      </c>
      <c r="F545" s="28" t="s">
        <v>483</v>
      </c>
      <c r="G545" s="28" t="s">
        <v>473</v>
      </c>
      <c r="H545" s="26">
        <v>48</v>
      </c>
      <c r="I545" s="35">
        <v>12</v>
      </c>
      <c r="J545" s="35">
        <v>0</v>
      </c>
      <c r="K545" s="35">
        <v>0</v>
      </c>
      <c r="L545" s="35">
        <v>576</v>
      </c>
    </row>
    <row r="546" spans="2:12" x14ac:dyDescent="0.35">
      <c r="B546" s="31">
        <v>45012</v>
      </c>
      <c r="C546" s="40" t="str">
        <f t="shared" si="8"/>
        <v>Mar</v>
      </c>
      <c r="D546" s="27" t="s">
        <v>447</v>
      </c>
      <c r="E546" s="32">
        <v>17939</v>
      </c>
      <c r="F546" s="28" t="s">
        <v>503</v>
      </c>
      <c r="G546" s="28" t="s">
        <v>476</v>
      </c>
      <c r="H546" s="26">
        <v>1</v>
      </c>
      <c r="I546" s="35">
        <v>0</v>
      </c>
      <c r="J546" s="35">
        <v>0</v>
      </c>
      <c r="K546" s="35">
        <v>0</v>
      </c>
      <c r="L546" s="35">
        <v>0</v>
      </c>
    </row>
    <row r="547" spans="2:12" x14ac:dyDescent="0.35">
      <c r="B547" s="31">
        <v>45013</v>
      </c>
      <c r="C547" s="40" t="str">
        <f t="shared" si="8"/>
        <v>Mar</v>
      </c>
      <c r="D547" s="27" t="s">
        <v>448</v>
      </c>
      <c r="E547" s="32">
        <v>15446</v>
      </c>
      <c r="F547" s="28" t="s">
        <v>503</v>
      </c>
      <c r="G547" s="28" t="s">
        <v>476</v>
      </c>
      <c r="H547" s="26">
        <v>1</v>
      </c>
      <c r="I547" s="35">
        <v>750</v>
      </c>
      <c r="J547" s="35">
        <v>0</v>
      </c>
      <c r="K547" s="35">
        <v>58.5</v>
      </c>
      <c r="L547" s="35">
        <v>808.5</v>
      </c>
    </row>
    <row r="548" spans="2:12" x14ac:dyDescent="0.35">
      <c r="B548" s="31">
        <v>45013</v>
      </c>
      <c r="C548" s="40" t="str">
        <f t="shared" si="8"/>
        <v>Mar</v>
      </c>
      <c r="D548" s="27" t="s">
        <v>448</v>
      </c>
      <c r="E548" s="32">
        <v>15446</v>
      </c>
      <c r="F548" s="28" t="s">
        <v>493</v>
      </c>
      <c r="G548" s="28" t="s">
        <v>476</v>
      </c>
      <c r="H548" s="26">
        <v>1</v>
      </c>
      <c r="I548" s="35">
        <v>0</v>
      </c>
      <c r="J548" s="35">
        <v>0</v>
      </c>
      <c r="K548" s="35">
        <v>0</v>
      </c>
      <c r="L548" s="35">
        <v>0</v>
      </c>
    </row>
    <row r="549" spans="2:12" x14ac:dyDescent="0.35">
      <c r="B549" s="31">
        <v>45013</v>
      </c>
      <c r="C549" s="40" t="str">
        <f t="shared" si="8"/>
        <v>Mar</v>
      </c>
      <c r="D549" s="27" t="s">
        <v>449</v>
      </c>
      <c r="E549" s="32">
        <v>4278</v>
      </c>
      <c r="F549" s="28" t="s">
        <v>490</v>
      </c>
      <c r="G549" s="28" t="s">
        <v>475</v>
      </c>
      <c r="H549" s="26">
        <v>1</v>
      </c>
      <c r="I549" s="35">
        <v>5</v>
      </c>
      <c r="J549" s="35">
        <v>0</v>
      </c>
      <c r="K549" s="35">
        <v>0.35</v>
      </c>
      <c r="L549" s="35">
        <v>5.35</v>
      </c>
    </row>
    <row r="550" spans="2:12" x14ac:dyDescent="0.35">
      <c r="B550" s="31">
        <v>45014</v>
      </c>
      <c r="C550" s="40" t="str">
        <f t="shared" si="8"/>
        <v>Mar</v>
      </c>
      <c r="D550" s="27" t="s">
        <v>450</v>
      </c>
      <c r="E550" s="32">
        <v>704</v>
      </c>
      <c r="F550" s="28" t="s">
        <v>499</v>
      </c>
      <c r="G550" s="28" t="s">
        <v>475</v>
      </c>
      <c r="H550" s="26">
        <v>1</v>
      </c>
      <c r="I550" s="35">
        <v>0</v>
      </c>
      <c r="J550" s="35">
        <v>0</v>
      </c>
      <c r="K550" s="35">
        <v>0</v>
      </c>
      <c r="L550" s="35">
        <v>0</v>
      </c>
    </row>
    <row r="551" spans="2:12" x14ac:dyDescent="0.35">
      <c r="B551" s="31">
        <v>45014</v>
      </c>
      <c r="C551" s="40" t="str">
        <f t="shared" si="8"/>
        <v>Mar</v>
      </c>
      <c r="D551" s="27" t="s">
        <v>451</v>
      </c>
      <c r="E551" s="32">
        <v>13320</v>
      </c>
      <c r="F551" s="28" t="s">
        <v>481</v>
      </c>
      <c r="G551" s="28" t="s">
        <v>475</v>
      </c>
      <c r="H551" s="26">
        <v>1</v>
      </c>
      <c r="I551" s="35">
        <v>95</v>
      </c>
      <c r="J551" s="35">
        <v>0</v>
      </c>
      <c r="K551" s="35">
        <v>7.41</v>
      </c>
      <c r="L551" s="35">
        <v>102.41</v>
      </c>
    </row>
    <row r="552" spans="2:12" x14ac:dyDescent="0.35">
      <c r="B552" s="31">
        <v>45014</v>
      </c>
      <c r="C552" s="40" t="str">
        <f t="shared" si="8"/>
        <v>Mar</v>
      </c>
      <c r="D552" s="27" t="s">
        <v>452</v>
      </c>
      <c r="E552" s="32">
        <v>13176</v>
      </c>
      <c r="F552" s="28" t="s">
        <v>503</v>
      </c>
      <c r="G552" s="28" t="s">
        <v>473</v>
      </c>
      <c r="H552" s="26">
        <v>1</v>
      </c>
      <c r="I552" s="35">
        <v>2400</v>
      </c>
      <c r="J552" s="35">
        <v>0</v>
      </c>
      <c r="K552" s="35">
        <v>0</v>
      </c>
      <c r="L552" s="35">
        <v>2400</v>
      </c>
    </row>
    <row r="553" spans="2:12" x14ac:dyDescent="0.35">
      <c r="B553" s="31">
        <v>45014</v>
      </c>
      <c r="C553" s="40" t="str">
        <f t="shared" si="8"/>
        <v>Mar</v>
      </c>
      <c r="D553" s="27" t="s">
        <v>452</v>
      </c>
      <c r="E553" s="32">
        <v>13176</v>
      </c>
      <c r="F553" s="28" t="s">
        <v>485</v>
      </c>
      <c r="G553" s="28" t="s">
        <v>473</v>
      </c>
      <c r="H553" s="26">
        <v>1</v>
      </c>
      <c r="I553" s="35">
        <v>600</v>
      </c>
      <c r="J553" s="35">
        <v>0</v>
      </c>
      <c r="K553" s="35">
        <v>0</v>
      </c>
      <c r="L553" s="35">
        <v>600</v>
      </c>
    </row>
    <row r="554" spans="2:12" x14ac:dyDescent="0.35">
      <c r="B554" s="31">
        <v>45014</v>
      </c>
      <c r="C554" s="40" t="str">
        <f t="shared" si="8"/>
        <v>Mar</v>
      </c>
      <c r="D554" s="27" t="s">
        <v>453</v>
      </c>
      <c r="E554" s="32">
        <v>641</v>
      </c>
      <c r="F554" s="28" t="s">
        <v>496</v>
      </c>
      <c r="G554" s="28" t="s">
        <v>476</v>
      </c>
      <c r="H554" s="26">
        <v>1</v>
      </c>
      <c r="I554" s="35">
        <v>0</v>
      </c>
      <c r="J554" s="35">
        <v>0</v>
      </c>
      <c r="K554" s="35">
        <v>0</v>
      </c>
      <c r="L554" s="35">
        <v>0</v>
      </c>
    </row>
    <row r="555" spans="2:12" x14ac:dyDescent="0.35">
      <c r="B555" s="31">
        <v>45014</v>
      </c>
      <c r="C555" s="40" t="str">
        <f t="shared" si="8"/>
        <v>Mar</v>
      </c>
      <c r="D555" s="27" t="s">
        <v>454</v>
      </c>
      <c r="E555" s="32">
        <v>78</v>
      </c>
      <c r="F555" s="28" t="s">
        <v>480</v>
      </c>
      <c r="G555" s="28" t="s">
        <v>473</v>
      </c>
      <c r="H555" s="26">
        <v>34</v>
      </c>
      <c r="I555" s="35">
        <v>15</v>
      </c>
      <c r="J555" s="35">
        <v>0</v>
      </c>
      <c r="K555" s="35">
        <v>0</v>
      </c>
      <c r="L555" s="35">
        <v>510</v>
      </c>
    </row>
    <row r="556" spans="2:12" x14ac:dyDescent="0.35">
      <c r="B556" s="31">
        <v>45014</v>
      </c>
      <c r="C556" s="40" t="str">
        <f t="shared" si="8"/>
        <v>Mar</v>
      </c>
      <c r="D556" s="27" t="s">
        <v>455</v>
      </c>
      <c r="E556" s="32">
        <v>42</v>
      </c>
      <c r="F556" s="28" t="s">
        <v>480</v>
      </c>
      <c r="G556" s="28" t="s">
        <v>473</v>
      </c>
      <c r="H556" s="26">
        <v>24</v>
      </c>
      <c r="I556" s="35">
        <v>15</v>
      </c>
      <c r="J556" s="35">
        <v>0</v>
      </c>
      <c r="K556" s="35">
        <v>0</v>
      </c>
      <c r="L556" s="35">
        <v>360</v>
      </c>
    </row>
    <row r="557" spans="2:12" x14ac:dyDescent="0.35">
      <c r="B557" s="31">
        <v>45014</v>
      </c>
      <c r="C557" s="40" t="str">
        <f t="shared" si="8"/>
        <v>Mar</v>
      </c>
      <c r="D557" s="27" t="s">
        <v>456</v>
      </c>
      <c r="E557" s="32">
        <v>17943</v>
      </c>
      <c r="F557" s="28" t="s">
        <v>493</v>
      </c>
      <c r="G557" s="28" t="s">
        <v>473</v>
      </c>
      <c r="H557" s="26">
        <v>1</v>
      </c>
      <c r="I557" s="35">
        <v>350</v>
      </c>
      <c r="J557" s="35">
        <v>0</v>
      </c>
      <c r="K557" s="35">
        <v>0</v>
      </c>
      <c r="L557" s="35">
        <v>350</v>
      </c>
    </row>
    <row r="558" spans="2:12" x14ac:dyDescent="0.35">
      <c r="B558" s="31">
        <v>45014</v>
      </c>
      <c r="C558" s="40" t="str">
        <f t="shared" si="8"/>
        <v>Mar</v>
      </c>
      <c r="D558" s="27" t="s">
        <v>456</v>
      </c>
      <c r="E558" s="32">
        <v>17943</v>
      </c>
      <c r="F558" s="28" t="s">
        <v>485</v>
      </c>
      <c r="G558" s="28" t="s">
        <v>473</v>
      </c>
      <c r="H558" s="26">
        <v>1</v>
      </c>
      <c r="I558" s="35">
        <v>169</v>
      </c>
      <c r="J558" s="35">
        <v>0</v>
      </c>
      <c r="K558" s="35">
        <v>13.18</v>
      </c>
      <c r="L558" s="35">
        <v>182.18</v>
      </c>
    </row>
    <row r="559" spans="2:12" x14ac:dyDescent="0.35">
      <c r="B559" s="31">
        <v>45014</v>
      </c>
      <c r="C559" s="40" t="str">
        <f t="shared" si="8"/>
        <v>Mar</v>
      </c>
      <c r="D559" s="27" t="s">
        <v>456</v>
      </c>
      <c r="E559" s="32">
        <v>17943</v>
      </c>
      <c r="F559" s="28" t="s">
        <v>503</v>
      </c>
      <c r="G559" s="28" t="s">
        <v>473</v>
      </c>
      <c r="H559" s="26">
        <v>1</v>
      </c>
      <c r="I559" s="35">
        <v>185</v>
      </c>
      <c r="J559" s="35">
        <v>0</v>
      </c>
      <c r="K559" s="35">
        <v>14.43</v>
      </c>
      <c r="L559" s="35">
        <v>199.43</v>
      </c>
    </row>
    <row r="560" spans="2:12" x14ac:dyDescent="0.35">
      <c r="B560" s="31">
        <v>45014</v>
      </c>
      <c r="C560" s="40" t="str">
        <f t="shared" si="8"/>
        <v>Mar</v>
      </c>
      <c r="D560" s="27" t="s">
        <v>457</v>
      </c>
      <c r="E560" s="32">
        <v>474</v>
      </c>
      <c r="F560" s="28" t="s">
        <v>484</v>
      </c>
      <c r="G560" s="28" t="s">
        <v>475</v>
      </c>
      <c r="H560" s="26">
        <v>8</v>
      </c>
      <c r="I560" s="35">
        <v>375</v>
      </c>
      <c r="J560" s="35">
        <v>0</v>
      </c>
      <c r="K560" s="35">
        <v>0</v>
      </c>
      <c r="L560" s="35">
        <v>3000</v>
      </c>
    </row>
    <row r="561" spans="2:12" x14ac:dyDescent="0.35">
      <c r="B561" s="31">
        <v>45014</v>
      </c>
      <c r="C561" s="40" t="str">
        <f t="shared" si="8"/>
        <v>Mar</v>
      </c>
      <c r="D561" s="27" t="s">
        <v>458</v>
      </c>
      <c r="E561" s="32">
        <v>602</v>
      </c>
      <c r="F561" s="28" t="s">
        <v>484</v>
      </c>
      <c r="G561" s="28" t="s">
        <v>475</v>
      </c>
      <c r="H561" s="26">
        <v>8</v>
      </c>
      <c r="I561" s="35">
        <v>375</v>
      </c>
      <c r="J561" s="35">
        <v>0</v>
      </c>
      <c r="K561" s="35">
        <v>0</v>
      </c>
      <c r="L561" s="35">
        <v>3000</v>
      </c>
    </row>
    <row r="562" spans="2:12" x14ac:dyDescent="0.35">
      <c r="B562" s="31">
        <v>45014</v>
      </c>
      <c r="C562" s="40" t="str">
        <f t="shared" si="8"/>
        <v>Mar</v>
      </c>
      <c r="D562" s="27" t="s">
        <v>459</v>
      </c>
      <c r="E562" s="32">
        <v>602</v>
      </c>
      <c r="F562" s="28" t="s">
        <v>485</v>
      </c>
      <c r="G562" s="28" t="s">
        <v>475</v>
      </c>
      <c r="H562" s="26">
        <v>1</v>
      </c>
      <c r="I562" s="35">
        <v>169</v>
      </c>
      <c r="J562" s="35">
        <v>0</v>
      </c>
      <c r="K562" s="35">
        <v>13.18</v>
      </c>
      <c r="L562" s="35">
        <v>182.18</v>
      </c>
    </row>
    <row r="563" spans="2:12" x14ac:dyDescent="0.35">
      <c r="B563" s="31">
        <v>45014</v>
      </c>
      <c r="C563" s="40" t="str">
        <f t="shared" si="8"/>
        <v>Mar</v>
      </c>
      <c r="D563" s="27" t="s">
        <v>460</v>
      </c>
      <c r="E563" s="32">
        <v>18020</v>
      </c>
      <c r="F563" s="28" t="s">
        <v>488</v>
      </c>
      <c r="G563" s="28" t="s">
        <v>474</v>
      </c>
      <c r="H563" s="26">
        <v>1</v>
      </c>
      <c r="I563" s="35">
        <v>19.989999999999998</v>
      </c>
      <c r="J563" s="35">
        <v>0</v>
      </c>
      <c r="K563" s="35">
        <v>1.56</v>
      </c>
      <c r="L563" s="35">
        <v>21.549999999999997</v>
      </c>
    </row>
    <row r="564" spans="2:12" x14ac:dyDescent="0.35">
      <c r="B564" s="31">
        <v>45014</v>
      </c>
      <c r="C564" s="40" t="str">
        <f t="shared" si="8"/>
        <v>Mar</v>
      </c>
      <c r="D564" s="27" t="s">
        <v>461</v>
      </c>
      <c r="E564" s="32">
        <v>12898</v>
      </c>
      <c r="F564" s="28" t="s">
        <v>481</v>
      </c>
      <c r="G564" s="28" t="s">
        <v>477</v>
      </c>
      <c r="H564" s="26">
        <v>2</v>
      </c>
      <c r="I564" s="35">
        <v>168</v>
      </c>
      <c r="J564" s="35">
        <v>50.4</v>
      </c>
      <c r="K564" s="35">
        <v>22.28</v>
      </c>
      <c r="L564" s="35">
        <v>307.88</v>
      </c>
    </row>
    <row r="565" spans="2:12" x14ac:dyDescent="0.35">
      <c r="B565" s="31">
        <v>45014</v>
      </c>
      <c r="C565" s="40" t="str">
        <f t="shared" si="8"/>
        <v>Mar</v>
      </c>
      <c r="D565" s="27" t="s">
        <v>461</v>
      </c>
      <c r="E565" s="32">
        <v>12898</v>
      </c>
      <c r="F565" s="28" t="s">
        <v>483</v>
      </c>
      <c r="G565" s="28" t="s">
        <v>477</v>
      </c>
      <c r="H565" s="26">
        <v>1</v>
      </c>
      <c r="I565" s="35">
        <v>59</v>
      </c>
      <c r="J565" s="35">
        <v>8.85</v>
      </c>
      <c r="K565" s="35">
        <v>3.91</v>
      </c>
      <c r="L565" s="35">
        <v>54.06</v>
      </c>
    </row>
    <row r="566" spans="2:12" x14ac:dyDescent="0.35">
      <c r="B566" s="31">
        <v>45015</v>
      </c>
      <c r="C566" s="40" t="str">
        <f t="shared" si="8"/>
        <v>Mar</v>
      </c>
      <c r="D566" s="27" t="s">
        <v>462</v>
      </c>
      <c r="E566" s="32">
        <v>8656</v>
      </c>
      <c r="F566" s="28" t="s">
        <v>493</v>
      </c>
      <c r="G566" s="28" t="s">
        <v>476</v>
      </c>
      <c r="H566" s="26">
        <v>1</v>
      </c>
      <c r="I566" s="35">
        <v>50</v>
      </c>
      <c r="J566" s="35">
        <v>0</v>
      </c>
      <c r="K566" s="35">
        <v>0</v>
      </c>
      <c r="L566" s="35">
        <v>50</v>
      </c>
    </row>
    <row r="567" spans="2:12" x14ac:dyDescent="0.35">
      <c r="B567" s="31">
        <v>45015</v>
      </c>
      <c r="C567" s="40" t="str">
        <f t="shared" si="8"/>
        <v>Mar</v>
      </c>
      <c r="D567" s="27" t="s">
        <v>463</v>
      </c>
      <c r="E567" s="32">
        <v>6415</v>
      </c>
      <c r="F567" s="28" t="s">
        <v>480</v>
      </c>
      <c r="G567" s="28" t="s">
        <v>476</v>
      </c>
      <c r="H567" s="26">
        <v>22</v>
      </c>
      <c r="I567" s="35">
        <v>15</v>
      </c>
      <c r="J567" s="35">
        <v>0</v>
      </c>
      <c r="K567" s="35">
        <v>0</v>
      </c>
      <c r="L567" s="35">
        <v>330</v>
      </c>
    </row>
    <row r="568" spans="2:12" x14ac:dyDescent="0.35">
      <c r="B568" s="31">
        <v>45015</v>
      </c>
      <c r="C568" s="40" t="str">
        <f t="shared" si="8"/>
        <v>Mar</v>
      </c>
      <c r="D568" s="27" t="s">
        <v>464</v>
      </c>
      <c r="E568" s="32">
        <v>913</v>
      </c>
      <c r="F568" s="28" t="s">
        <v>482</v>
      </c>
      <c r="G568" s="28" t="s">
        <v>475</v>
      </c>
      <c r="H568" s="26">
        <v>1</v>
      </c>
      <c r="I568" s="35">
        <v>180</v>
      </c>
      <c r="J568" s="35">
        <v>0</v>
      </c>
      <c r="K568" s="35">
        <v>14.04</v>
      </c>
      <c r="L568" s="35">
        <v>194.04</v>
      </c>
    </row>
    <row r="569" spans="2:12" x14ac:dyDescent="0.35">
      <c r="B569" s="31">
        <v>45015</v>
      </c>
      <c r="C569" s="40" t="str">
        <f t="shared" si="8"/>
        <v>Mar</v>
      </c>
      <c r="D569" s="27" t="s">
        <v>465</v>
      </c>
      <c r="E569" s="32">
        <v>10830</v>
      </c>
      <c r="F569" s="28" t="s">
        <v>493</v>
      </c>
      <c r="G569" s="28" t="s">
        <v>474</v>
      </c>
      <c r="H569" s="26">
        <v>1</v>
      </c>
      <c r="I569" s="35">
        <v>150</v>
      </c>
      <c r="J569" s="35">
        <v>0</v>
      </c>
      <c r="K569" s="35">
        <v>11.7</v>
      </c>
      <c r="L569" s="35">
        <v>161.69999999999999</v>
      </c>
    </row>
    <row r="570" spans="2:12" x14ac:dyDescent="0.35">
      <c r="B570" s="31">
        <v>45015</v>
      </c>
      <c r="C570" s="40" t="str">
        <f t="shared" si="8"/>
        <v>Mar</v>
      </c>
      <c r="D570" s="27" t="s">
        <v>466</v>
      </c>
      <c r="E570" s="32">
        <v>8533</v>
      </c>
      <c r="F570" s="28" t="s">
        <v>480</v>
      </c>
      <c r="G570" s="28" t="s">
        <v>476</v>
      </c>
      <c r="H570" s="26">
        <v>1</v>
      </c>
      <c r="I570" s="35">
        <v>0</v>
      </c>
      <c r="J570" s="35">
        <v>0</v>
      </c>
      <c r="K570" s="35">
        <v>0</v>
      </c>
      <c r="L570" s="35">
        <v>0</v>
      </c>
    </row>
    <row r="571" spans="2:12" x14ac:dyDescent="0.35">
      <c r="B571" s="31">
        <v>45016</v>
      </c>
      <c r="C571" s="40" t="str">
        <f t="shared" si="8"/>
        <v>Mar</v>
      </c>
      <c r="D571" s="27" t="s">
        <v>467</v>
      </c>
      <c r="E571" s="32">
        <v>10810</v>
      </c>
      <c r="F571" s="28" t="s">
        <v>496</v>
      </c>
      <c r="G571" s="28" t="s">
        <v>476</v>
      </c>
      <c r="H571" s="26">
        <v>1</v>
      </c>
      <c r="I571" s="35">
        <v>0</v>
      </c>
      <c r="J571" s="35">
        <v>0</v>
      </c>
      <c r="K571" s="35">
        <v>0</v>
      </c>
      <c r="L571" s="35">
        <v>0</v>
      </c>
    </row>
    <row r="572" spans="2:12" x14ac:dyDescent="0.35">
      <c r="B572" s="31">
        <v>45016</v>
      </c>
      <c r="C572" s="40" t="str">
        <f t="shared" si="8"/>
        <v>Mar</v>
      </c>
      <c r="D572" s="27" t="s">
        <v>468</v>
      </c>
      <c r="E572" s="32">
        <v>10810</v>
      </c>
      <c r="F572" s="28" t="s">
        <v>482</v>
      </c>
      <c r="G572" s="28" t="s">
        <v>475</v>
      </c>
      <c r="H572" s="26">
        <v>1</v>
      </c>
      <c r="I572" s="35">
        <v>10</v>
      </c>
      <c r="J572" s="35">
        <v>0</v>
      </c>
      <c r="K572" s="35">
        <v>0.78</v>
      </c>
      <c r="L572" s="35">
        <v>10.78</v>
      </c>
    </row>
    <row r="573" spans="2:12" x14ac:dyDescent="0.35">
      <c r="B573" s="31">
        <v>45016</v>
      </c>
      <c r="C573" s="40" t="str">
        <f t="shared" si="8"/>
        <v>Mar</v>
      </c>
      <c r="D573" s="27" t="s">
        <v>469</v>
      </c>
      <c r="E573" s="32">
        <v>8704</v>
      </c>
      <c r="F573" s="28" t="s">
        <v>493</v>
      </c>
      <c r="G573" s="28" t="s">
        <v>476</v>
      </c>
      <c r="H573" s="26">
        <v>1</v>
      </c>
      <c r="I573" s="35">
        <v>50</v>
      </c>
      <c r="J573" s="35">
        <v>0</v>
      </c>
      <c r="K573" s="35">
        <v>0</v>
      </c>
      <c r="L573" s="35">
        <v>50</v>
      </c>
    </row>
    <row r="574" spans="2:12" x14ac:dyDescent="0.35">
      <c r="B574" s="31">
        <v>45016</v>
      </c>
      <c r="C574" s="40" t="str">
        <f t="shared" si="8"/>
        <v>Mar</v>
      </c>
      <c r="D574" s="27" t="s">
        <v>470</v>
      </c>
      <c r="E574" s="32">
        <v>17990</v>
      </c>
      <c r="F574" s="28" t="s">
        <v>482</v>
      </c>
      <c r="G574" s="28" t="s">
        <v>476</v>
      </c>
      <c r="H574" s="26">
        <v>1</v>
      </c>
      <c r="I574" s="35">
        <v>180</v>
      </c>
      <c r="J574" s="35">
        <v>0</v>
      </c>
      <c r="K574" s="35">
        <v>14.04</v>
      </c>
      <c r="L574" s="35">
        <v>194.04</v>
      </c>
    </row>
    <row r="575" spans="2:12" x14ac:dyDescent="0.35">
      <c r="B575" s="31">
        <v>45016</v>
      </c>
      <c r="C575" s="40" t="str">
        <f t="shared" si="8"/>
        <v>Mar</v>
      </c>
      <c r="D575" s="27" t="s">
        <v>471</v>
      </c>
      <c r="E575" s="32">
        <v>18034</v>
      </c>
      <c r="F575" s="28" t="s">
        <v>488</v>
      </c>
      <c r="G575" s="28" t="s">
        <v>474</v>
      </c>
      <c r="H575" s="26">
        <v>1</v>
      </c>
      <c r="I575" s="35">
        <v>19.989999999999998</v>
      </c>
      <c r="J575" s="35">
        <v>0</v>
      </c>
      <c r="K575" s="35">
        <v>1.56</v>
      </c>
      <c r="L575" s="35">
        <v>21.549999999999997</v>
      </c>
    </row>
    <row r="576" spans="2:12" x14ac:dyDescent="0.35">
      <c r="B576" s="31">
        <v>45016</v>
      </c>
      <c r="C576" s="40" t="str">
        <f t="shared" si="8"/>
        <v>Mar</v>
      </c>
      <c r="D576" s="27" t="s">
        <v>472</v>
      </c>
      <c r="E576" s="32">
        <v>13073</v>
      </c>
      <c r="F576" s="28" t="s">
        <v>497</v>
      </c>
      <c r="G576" s="28" t="s">
        <v>474</v>
      </c>
      <c r="H576" s="26">
        <v>1</v>
      </c>
      <c r="I576" s="35">
        <v>15</v>
      </c>
      <c r="J576" s="35">
        <v>0</v>
      </c>
      <c r="K576" s="35">
        <v>1.05</v>
      </c>
      <c r="L576" s="35">
        <v>16.05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774F9-3B65-46BD-B2CB-5E331330F14E}">
  <sheetPr>
    <tabColor theme="4" tint="0.59999389629810485"/>
  </sheetPr>
  <dimension ref="B2:H585"/>
  <sheetViews>
    <sheetView showGridLines="0" workbookViewId="0"/>
  </sheetViews>
  <sheetFormatPr defaultColWidth="12.61328125" defaultRowHeight="14.15" x14ac:dyDescent="0.35"/>
  <cols>
    <col min="1" max="1" width="1.61328125" style="1" customWidth="1"/>
    <col min="2" max="2" width="40.69140625" style="1" customWidth="1"/>
    <col min="3" max="3" width="12.69140625" style="1" customWidth="1"/>
    <col min="4" max="5" width="30.69140625" style="1" customWidth="1"/>
    <col min="6" max="7" width="12.69140625" style="21" customWidth="1"/>
    <col min="8" max="8" width="12.69140625" style="1" customWidth="1"/>
    <col min="9" max="9" width="1.69140625" style="1" customWidth="1"/>
    <col min="10" max="16384" width="12.61328125" style="1"/>
  </cols>
  <sheetData>
    <row r="2" spans="2:8" ht="24.9" x14ac:dyDescent="0.55000000000000004">
      <c r="B2" s="19" t="s">
        <v>1093</v>
      </c>
      <c r="C2" s="20"/>
      <c r="D2" s="20"/>
      <c r="E2" s="20"/>
      <c r="F2" s="20"/>
      <c r="G2" s="20"/>
      <c r="H2" s="20"/>
    </row>
    <row r="4" spans="2:8" ht="28.3" x14ac:dyDescent="0.35">
      <c r="B4" s="30" t="s">
        <v>1088</v>
      </c>
      <c r="C4" s="44" t="s">
        <v>55</v>
      </c>
      <c r="D4" s="44" t="s">
        <v>1089</v>
      </c>
      <c r="E4" s="33" t="s">
        <v>510</v>
      </c>
      <c r="F4" s="33" t="s">
        <v>506</v>
      </c>
      <c r="G4" s="33" t="s">
        <v>1087</v>
      </c>
      <c r="H4" s="42" t="s">
        <v>1090</v>
      </c>
    </row>
    <row r="5" spans="2:8" x14ac:dyDescent="0.35">
      <c r="B5" s="31" t="s">
        <v>511</v>
      </c>
      <c r="C5" s="29">
        <v>258272.41439999998</v>
      </c>
      <c r="D5" s="46"/>
      <c r="E5" s="43"/>
      <c r="F5" s="47"/>
      <c r="G5" s="47"/>
      <c r="H5" s="40"/>
    </row>
    <row r="6" spans="2:8" s="7" customFormat="1" x14ac:dyDescent="0.35">
      <c r="B6" s="31" t="s">
        <v>512</v>
      </c>
      <c r="C6" s="29">
        <v>0</v>
      </c>
      <c r="D6" s="46"/>
      <c r="E6" s="43"/>
      <c r="F6" s="47"/>
      <c r="G6" s="47"/>
      <c r="H6" s="40"/>
    </row>
    <row r="7" spans="2:8" x14ac:dyDescent="0.35">
      <c r="B7" s="31" t="s">
        <v>513</v>
      </c>
      <c r="C7" s="29">
        <v>787339.93790000002</v>
      </c>
      <c r="D7" s="46"/>
      <c r="E7" s="43"/>
      <c r="F7" s="47"/>
      <c r="G7" s="47"/>
      <c r="H7" s="40"/>
    </row>
    <row r="8" spans="2:8" x14ac:dyDescent="0.35">
      <c r="B8" s="31" t="s">
        <v>514</v>
      </c>
      <c r="C8" s="29">
        <v>131133.6</v>
      </c>
      <c r="D8" s="46"/>
      <c r="E8" s="43"/>
      <c r="F8" s="47"/>
      <c r="G8" s="47"/>
      <c r="H8" s="40"/>
    </row>
    <row r="9" spans="2:8" x14ac:dyDescent="0.35">
      <c r="B9" s="31" t="s">
        <v>515</v>
      </c>
      <c r="C9" s="29">
        <v>522416.54159999994</v>
      </c>
      <c r="D9" s="46"/>
      <c r="E9" s="43"/>
      <c r="F9" s="47"/>
      <c r="G9" s="47"/>
      <c r="H9" s="40"/>
    </row>
    <row r="10" spans="2:8" s="7" customFormat="1" x14ac:dyDescent="0.35">
      <c r="B10" s="31" t="s">
        <v>516</v>
      </c>
      <c r="C10" s="29">
        <v>0</v>
      </c>
      <c r="D10" s="46"/>
      <c r="E10" s="43"/>
      <c r="F10" s="47"/>
      <c r="G10" s="47"/>
      <c r="H10" s="40"/>
    </row>
    <row r="11" spans="2:8" x14ac:dyDescent="0.35">
      <c r="B11" s="31" t="s">
        <v>517</v>
      </c>
      <c r="C11" s="29">
        <v>9129.6</v>
      </c>
      <c r="D11" s="46"/>
      <c r="E11" s="43"/>
      <c r="F11" s="47"/>
      <c r="G11" s="47"/>
      <c r="H11" s="40"/>
    </row>
    <row r="12" spans="2:8" s="7" customFormat="1" x14ac:dyDescent="0.35">
      <c r="B12" s="31" t="s">
        <v>518</v>
      </c>
      <c r="C12" s="29">
        <v>0</v>
      </c>
      <c r="D12" s="46"/>
      <c r="E12" s="43"/>
      <c r="F12" s="47"/>
      <c r="G12" s="47"/>
      <c r="H12" s="40"/>
    </row>
    <row r="13" spans="2:8" x14ac:dyDescent="0.35">
      <c r="B13" s="31" t="s">
        <v>519</v>
      </c>
      <c r="C13" s="29">
        <v>0</v>
      </c>
      <c r="D13" s="46"/>
      <c r="E13" s="43"/>
      <c r="F13" s="47"/>
      <c r="G13" s="47"/>
      <c r="H13" s="40"/>
    </row>
    <row r="14" spans="2:8" x14ac:dyDescent="0.35">
      <c r="B14" s="31" t="s">
        <v>520</v>
      </c>
      <c r="C14" s="29">
        <v>0</v>
      </c>
      <c r="D14" s="46"/>
      <c r="E14" s="43"/>
      <c r="F14" s="47"/>
      <c r="G14" s="47"/>
      <c r="H14" s="40"/>
    </row>
    <row r="15" spans="2:8" x14ac:dyDescent="0.35">
      <c r="B15" s="31" t="s">
        <v>521</v>
      </c>
      <c r="C15" s="29">
        <v>0</v>
      </c>
      <c r="D15" s="46"/>
      <c r="E15" s="43"/>
      <c r="F15" s="47"/>
      <c r="G15" s="47"/>
      <c r="H15" s="40"/>
    </row>
    <row r="16" spans="2:8" x14ac:dyDescent="0.35">
      <c r="B16" s="31" t="s">
        <v>522</v>
      </c>
      <c r="C16" s="29">
        <v>63522.646400000005</v>
      </c>
      <c r="D16" s="46"/>
      <c r="E16" s="43"/>
      <c r="F16" s="47"/>
      <c r="G16" s="47"/>
      <c r="H16" s="40"/>
    </row>
    <row r="17" spans="2:8" x14ac:dyDescent="0.35">
      <c r="B17" s="31" t="s">
        <v>523</v>
      </c>
      <c r="C17" s="29">
        <v>0</v>
      </c>
      <c r="D17" s="46"/>
      <c r="E17" s="43"/>
      <c r="F17" s="47"/>
      <c r="G17" s="47"/>
      <c r="H17" s="40"/>
    </row>
    <row r="18" spans="2:8" x14ac:dyDescent="0.35">
      <c r="B18" s="31" t="s">
        <v>524</v>
      </c>
      <c r="C18" s="29">
        <v>-1900.472</v>
      </c>
      <c r="D18" s="46"/>
      <c r="E18" s="43"/>
      <c r="F18" s="47"/>
      <c r="G18" s="47"/>
      <c r="H18" s="40"/>
    </row>
    <row r="19" spans="2:8" x14ac:dyDescent="0.35">
      <c r="B19" s="31" t="s">
        <v>525</v>
      </c>
      <c r="C19" s="29">
        <v>314.07050000000004</v>
      </c>
      <c r="D19" s="46"/>
      <c r="E19" s="43"/>
      <c r="F19" s="47"/>
      <c r="G19" s="47"/>
      <c r="H19" s="40"/>
    </row>
    <row r="20" spans="2:8" x14ac:dyDescent="0.35">
      <c r="B20" s="31" t="s">
        <v>526</v>
      </c>
      <c r="C20" s="29">
        <v>-5064.1750000000002</v>
      </c>
      <c r="D20" s="46"/>
      <c r="E20" s="43"/>
      <c r="F20" s="47"/>
      <c r="G20" s="47"/>
      <c r="H20" s="40"/>
    </row>
    <row r="21" spans="2:8" x14ac:dyDescent="0.35">
      <c r="B21" s="31" t="s">
        <v>527</v>
      </c>
      <c r="C21" s="29">
        <v>242767.86819999997</v>
      </c>
      <c r="D21" s="46"/>
      <c r="E21" s="43"/>
      <c r="F21" s="47"/>
      <c r="G21" s="47"/>
      <c r="H21" s="40"/>
    </row>
    <row r="22" spans="2:8" x14ac:dyDescent="0.35">
      <c r="B22" s="31" t="s">
        <v>528</v>
      </c>
      <c r="C22" s="29">
        <v>3975</v>
      </c>
      <c r="D22" s="46"/>
      <c r="E22" s="43"/>
      <c r="F22" s="47"/>
      <c r="G22" s="47"/>
      <c r="H22" s="40"/>
    </row>
    <row r="23" spans="2:8" x14ac:dyDescent="0.35">
      <c r="B23" s="31" t="s">
        <v>529</v>
      </c>
      <c r="C23" s="29">
        <v>635380.18950000009</v>
      </c>
      <c r="D23" s="46"/>
      <c r="E23" s="43"/>
      <c r="F23" s="47"/>
      <c r="G23" s="47"/>
      <c r="H23" s="40"/>
    </row>
    <row r="24" spans="2:8" x14ac:dyDescent="0.35">
      <c r="B24" s="31" t="s">
        <v>530</v>
      </c>
      <c r="C24" s="29">
        <v>134265.60000000001</v>
      </c>
      <c r="D24" s="46"/>
      <c r="E24" s="43"/>
      <c r="F24" s="47"/>
      <c r="G24" s="47"/>
      <c r="H24" s="40"/>
    </row>
    <row r="25" spans="2:8" x14ac:dyDescent="0.35">
      <c r="B25" s="31" t="s">
        <v>531</v>
      </c>
      <c r="C25" s="29">
        <v>492292.79999999993</v>
      </c>
      <c r="D25" s="46"/>
      <c r="E25" s="43"/>
      <c r="F25" s="47"/>
      <c r="G25" s="47"/>
      <c r="H25" s="40"/>
    </row>
    <row r="26" spans="2:8" x14ac:dyDescent="0.35">
      <c r="B26" s="31" t="s">
        <v>532</v>
      </c>
      <c r="C26" s="29">
        <v>0</v>
      </c>
      <c r="D26" s="46"/>
      <c r="E26" s="43"/>
      <c r="F26" s="47"/>
      <c r="G26" s="47"/>
      <c r="H26" s="40"/>
    </row>
    <row r="27" spans="2:8" x14ac:dyDescent="0.35">
      <c r="B27" s="31" t="s">
        <v>533</v>
      </c>
      <c r="C27" s="29">
        <v>6447.384</v>
      </c>
      <c r="D27" s="46"/>
      <c r="E27" s="43"/>
      <c r="F27" s="47"/>
      <c r="G27" s="47"/>
      <c r="H27" s="40"/>
    </row>
    <row r="28" spans="2:8" x14ac:dyDescent="0.35">
      <c r="B28" s="31" t="s">
        <v>534</v>
      </c>
      <c r="C28" s="29">
        <v>0</v>
      </c>
      <c r="D28" s="46"/>
      <c r="E28" s="43"/>
      <c r="F28" s="47"/>
      <c r="G28" s="47"/>
      <c r="H28" s="40"/>
    </row>
    <row r="29" spans="2:8" x14ac:dyDescent="0.35">
      <c r="B29" s="31" t="s">
        <v>535</v>
      </c>
      <c r="C29" s="29">
        <v>64424.97</v>
      </c>
      <c r="D29" s="46"/>
      <c r="E29" s="43"/>
      <c r="F29" s="47"/>
      <c r="G29" s="47"/>
      <c r="H29" s="40"/>
    </row>
    <row r="30" spans="2:8" x14ac:dyDescent="0.35">
      <c r="B30" s="31" t="s">
        <v>536</v>
      </c>
      <c r="C30" s="29">
        <v>22764.449999999997</v>
      </c>
      <c r="D30" s="46"/>
      <c r="E30" s="43"/>
      <c r="F30" s="47"/>
      <c r="G30" s="47"/>
      <c r="H30" s="40"/>
    </row>
    <row r="31" spans="2:8" x14ac:dyDescent="0.35">
      <c r="B31" s="31" t="s">
        <v>537</v>
      </c>
      <c r="C31" s="29">
        <v>0</v>
      </c>
      <c r="D31" s="46"/>
      <c r="E31" s="43"/>
      <c r="F31" s="47"/>
      <c r="G31" s="47"/>
      <c r="H31" s="40"/>
    </row>
    <row r="32" spans="2:8" x14ac:dyDescent="0.35">
      <c r="B32" s="31" t="s">
        <v>538</v>
      </c>
      <c r="C32" s="29">
        <v>84865.83140000001</v>
      </c>
      <c r="D32" s="46"/>
      <c r="E32" s="43"/>
      <c r="F32" s="47"/>
      <c r="G32" s="47"/>
      <c r="H32" s="40"/>
    </row>
    <row r="33" spans="2:8" x14ac:dyDescent="0.35">
      <c r="B33" s="31" t="s">
        <v>539</v>
      </c>
      <c r="C33" s="29">
        <v>0</v>
      </c>
      <c r="D33" s="46"/>
      <c r="E33" s="43"/>
      <c r="F33" s="47"/>
      <c r="G33" s="47"/>
      <c r="H33" s="40"/>
    </row>
    <row r="34" spans="2:8" x14ac:dyDescent="0.35">
      <c r="B34" s="31" t="s">
        <v>540</v>
      </c>
      <c r="C34" s="29">
        <v>-6560.0919999999996</v>
      </c>
      <c r="D34" s="46"/>
      <c r="E34" s="43"/>
      <c r="F34" s="47"/>
      <c r="G34" s="47"/>
      <c r="H34" s="40"/>
    </row>
    <row r="35" spans="2:8" x14ac:dyDescent="0.35">
      <c r="B35" s="31" t="s">
        <v>541</v>
      </c>
      <c r="C35" s="29">
        <v>372.25590000000005</v>
      </c>
      <c r="D35" s="46"/>
      <c r="E35" s="43"/>
      <c r="F35" s="47"/>
      <c r="G35" s="47"/>
      <c r="H35" s="40"/>
    </row>
    <row r="36" spans="2:8" x14ac:dyDescent="0.35">
      <c r="B36" s="31" t="s">
        <v>542</v>
      </c>
      <c r="C36" s="29">
        <v>-380.9375</v>
      </c>
      <c r="D36" s="46"/>
      <c r="E36" s="43"/>
      <c r="F36" s="47"/>
      <c r="G36" s="47"/>
      <c r="H36" s="40"/>
    </row>
    <row r="37" spans="2:8" x14ac:dyDescent="0.35">
      <c r="B37" s="31" t="s">
        <v>543</v>
      </c>
      <c r="C37" s="29">
        <v>313154.31289999996</v>
      </c>
      <c r="D37" s="46"/>
      <c r="E37" s="43"/>
      <c r="F37" s="47"/>
      <c r="G37" s="47"/>
      <c r="H37" s="40"/>
    </row>
    <row r="38" spans="2:8" x14ac:dyDescent="0.35">
      <c r="B38" s="31" t="s">
        <v>544</v>
      </c>
      <c r="C38" s="29">
        <v>32012</v>
      </c>
      <c r="D38" s="46"/>
      <c r="E38" s="43"/>
      <c r="F38" s="47"/>
      <c r="G38" s="47"/>
      <c r="H38" s="40"/>
    </row>
    <row r="39" spans="2:8" x14ac:dyDescent="0.35">
      <c r="B39" s="31" t="s">
        <v>545</v>
      </c>
      <c r="C39" s="29">
        <v>795176.59110000008</v>
      </c>
      <c r="D39" s="46"/>
      <c r="E39" s="43"/>
      <c r="F39" s="47"/>
      <c r="G39" s="47"/>
      <c r="H39" s="40"/>
    </row>
    <row r="40" spans="2:8" x14ac:dyDescent="0.35">
      <c r="B40" s="31" t="s">
        <v>546</v>
      </c>
      <c r="C40" s="29">
        <v>547444.79999999993</v>
      </c>
      <c r="D40" s="46"/>
      <c r="E40" s="43"/>
      <c r="F40" s="47"/>
      <c r="G40" s="47"/>
      <c r="H40" s="40"/>
    </row>
    <row r="41" spans="2:8" x14ac:dyDescent="0.35">
      <c r="B41" s="31" t="s">
        <v>547</v>
      </c>
      <c r="C41" s="29">
        <v>561853.53599999996</v>
      </c>
      <c r="D41" s="46"/>
      <c r="E41" s="43"/>
      <c r="F41" s="47"/>
      <c r="G41" s="47"/>
      <c r="H41" s="40"/>
    </row>
    <row r="42" spans="2:8" x14ac:dyDescent="0.35">
      <c r="B42" s="31" t="s">
        <v>548</v>
      </c>
      <c r="C42" s="29">
        <v>0</v>
      </c>
      <c r="D42" s="46"/>
      <c r="E42" s="43"/>
      <c r="F42" s="47"/>
      <c r="G42" s="47"/>
      <c r="H42" s="40"/>
    </row>
    <row r="43" spans="2:8" x14ac:dyDescent="0.35">
      <c r="B43" s="31" t="s">
        <v>549</v>
      </c>
      <c r="C43" s="29">
        <v>3885.12</v>
      </c>
      <c r="D43" s="46"/>
      <c r="E43" s="43"/>
      <c r="F43" s="47"/>
      <c r="G43" s="47"/>
      <c r="H43" s="40"/>
    </row>
    <row r="44" spans="2:8" x14ac:dyDescent="0.35">
      <c r="B44" s="31" t="s">
        <v>550</v>
      </c>
      <c r="C44" s="29">
        <v>0</v>
      </c>
      <c r="D44" s="46"/>
      <c r="E44" s="43"/>
      <c r="F44" s="47"/>
      <c r="G44" s="47"/>
      <c r="H44" s="40"/>
    </row>
    <row r="45" spans="2:8" x14ac:dyDescent="0.35">
      <c r="B45" s="31" t="s">
        <v>551</v>
      </c>
      <c r="C45" s="29">
        <v>118260</v>
      </c>
      <c r="D45" s="46"/>
      <c r="E45" s="43"/>
      <c r="F45" s="47"/>
      <c r="G45" s="47"/>
      <c r="H45" s="40"/>
    </row>
    <row r="46" spans="2:8" x14ac:dyDescent="0.35">
      <c r="B46" s="31" t="s">
        <v>552</v>
      </c>
      <c r="C46" s="29">
        <v>14919.21</v>
      </c>
      <c r="D46" s="46"/>
      <c r="E46" s="43"/>
      <c r="F46" s="47"/>
      <c r="G46" s="47"/>
      <c r="H46" s="40"/>
    </row>
    <row r="47" spans="2:8" x14ac:dyDescent="0.35">
      <c r="B47" s="31" t="s">
        <v>553</v>
      </c>
      <c r="C47" s="29">
        <v>0</v>
      </c>
      <c r="D47" s="46"/>
      <c r="E47" s="43"/>
      <c r="F47" s="47"/>
      <c r="G47" s="47"/>
      <c r="H47" s="40"/>
    </row>
    <row r="48" spans="2:8" x14ac:dyDescent="0.35">
      <c r="B48" s="31" t="s">
        <v>554</v>
      </c>
      <c r="C48" s="29">
        <v>259910.63440000001</v>
      </c>
      <c r="D48" s="46"/>
      <c r="E48" s="43"/>
      <c r="F48" s="47"/>
      <c r="G48" s="47"/>
      <c r="H48" s="40"/>
    </row>
    <row r="49" spans="2:8" x14ac:dyDescent="0.35">
      <c r="B49" s="31" t="s">
        <v>555</v>
      </c>
      <c r="C49" s="29">
        <v>112703.90999999999</v>
      </c>
      <c r="D49" s="46"/>
      <c r="E49" s="43"/>
      <c r="F49" s="47"/>
      <c r="G49" s="47"/>
      <c r="H49" s="40"/>
    </row>
    <row r="50" spans="2:8" x14ac:dyDescent="0.35">
      <c r="B50" s="31" t="s">
        <v>556</v>
      </c>
      <c r="C50" s="29">
        <v>-3621.9959999999996</v>
      </c>
      <c r="D50" s="46"/>
      <c r="E50" s="43"/>
      <c r="F50" s="47"/>
      <c r="G50" s="47"/>
      <c r="H50" s="40"/>
    </row>
    <row r="51" spans="2:8" x14ac:dyDescent="0.35">
      <c r="B51" s="31" t="s">
        <v>557</v>
      </c>
      <c r="C51" s="29">
        <v>5450.4402</v>
      </c>
      <c r="D51" s="46"/>
      <c r="E51" s="43"/>
      <c r="F51" s="47"/>
      <c r="G51" s="47"/>
      <c r="H51" s="40"/>
    </row>
    <row r="52" spans="2:8" x14ac:dyDescent="0.35">
      <c r="B52" s="31" t="s">
        <v>558</v>
      </c>
      <c r="C52" s="29">
        <v>-1875</v>
      </c>
      <c r="D52" s="46"/>
      <c r="E52" s="43"/>
      <c r="F52" s="47"/>
      <c r="G52" s="47"/>
      <c r="H52" s="40"/>
    </row>
    <row r="53" spans="2:8" x14ac:dyDescent="0.35">
      <c r="B53" s="31" t="s">
        <v>559</v>
      </c>
      <c r="C53" s="29">
        <v>210869.11560000002</v>
      </c>
      <c r="D53" s="46"/>
      <c r="E53" s="43"/>
      <c r="F53" s="47"/>
      <c r="G53" s="47"/>
      <c r="H53" s="40"/>
    </row>
    <row r="54" spans="2:8" x14ac:dyDescent="0.35">
      <c r="B54" s="31" t="s">
        <v>560</v>
      </c>
      <c r="C54" s="29">
        <v>49820</v>
      </c>
      <c r="D54" s="46"/>
      <c r="E54" s="43"/>
      <c r="F54" s="47"/>
      <c r="G54" s="47"/>
      <c r="H54" s="40"/>
    </row>
    <row r="55" spans="2:8" x14ac:dyDescent="0.35">
      <c r="B55" s="31" t="s">
        <v>561</v>
      </c>
      <c r="C55" s="29">
        <v>666805.33730000001</v>
      </c>
      <c r="D55" s="46"/>
      <c r="E55" s="43"/>
      <c r="F55" s="47"/>
      <c r="G55" s="47"/>
      <c r="H55" s="40"/>
    </row>
    <row r="56" spans="2:8" x14ac:dyDescent="0.35">
      <c r="B56" s="31" t="s">
        <v>562</v>
      </c>
      <c r="C56" s="29">
        <v>3024</v>
      </c>
      <c r="D56" s="46"/>
      <c r="E56" s="43"/>
      <c r="F56" s="47"/>
      <c r="G56" s="47"/>
      <c r="H56" s="40"/>
    </row>
    <row r="57" spans="2:8" x14ac:dyDescent="0.35">
      <c r="B57" s="31" t="s">
        <v>563</v>
      </c>
      <c r="C57" s="29">
        <v>376897.0175999999</v>
      </c>
      <c r="D57" s="46"/>
      <c r="E57" s="43"/>
      <c r="F57" s="47"/>
      <c r="G57" s="47"/>
      <c r="H57" s="40"/>
    </row>
    <row r="58" spans="2:8" x14ac:dyDescent="0.35">
      <c r="B58" s="31" t="s">
        <v>564</v>
      </c>
      <c r="C58" s="29">
        <v>0</v>
      </c>
      <c r="D58" s="46"/>
      <c r="E58" s="43"/>
      <c r="F58" s="47"/>
      <c r="G58" s="47"/>
      <c r="H58" s="40"/>
    </row>
    <row r="59" spans="2:8" x14ac:dyDescent="0.35">
      <c r="B59" s="31" t="s">
        <v>565</v>
      </c>
      <c r="C59" s="29">
        <v>3845.8079999999995</v>
      </c>
      <c r="D59" s="46"/>
      <c r="E59" s="43"/>
      <c r="F59" s="47"/>
      <c r="G59" s="47"/>
      <c r="H59" s="40"/>
    </row>
    <row r="60" spans="2:8" x14ac:dyDescent="0.35">
      <c r="B60" s="31" t="s">
        <v>566</v>
      </c>
      <c r="C60" s="29">
        <v>0</v>
      </c>
      <c r="D60" s="46"/>
      <c r="E60" s="43"/>
      <c r="F60" s="47"/>
      <c r="G60" s="47"/>
      <c r="H60" s="40"/>
    </row>
    <row r="61" spans="2:8" x14ac:dyDescent="0.35">
      <c r="B61" s="31" t="s">
        <v>567</v>
      </c>
      <c r="C61" s="29">
        <v>59701.59</v>
      </c>
      <c r="D61" s="46"/>
      <c r="E61" s="43"/>
      <c r="F61" s="47"/>
      <c r="G61" s="47"/>
      <c r="H61" s="40"/>
    </row>
    <row r="62" spans="2:8" x14ac:dyDescent="0.35">
      <c r="B62" s="31" t="s">
        <v>568</v>
      </c>
      <c r="C62" s="29">
        <v>0</v>
      </c>
      <c r="D62" s="46"/>
      <c r="E62" s="43"/>
      <c r="F62" s="47"/>
      <c r="G62" s="47"/>
      <c r="H62" s="40"/>
    </row>
    <row r="63" spans="2:8" x14ac:dyDescent="0.35">
      <c r="B63" s="31" t="s">
        <v>569</v>
      </c>
      <c r="C63" s="29">
        <v>0</v>
      </c>
      <c r="D63" s="46"/>
      <c r="E63" s="43"/>
      <c r="F63" s="47"/>
      <c r="G63" s="47"/>
      <c r="H63" s="40"/>
    </row>
    <row r="64" spans="2:8" x14ac:dyDescent="0.35">
      <c r="B64" s="31" t="s">
        <v>570</v>
      </c>
      <c r="C64" s="29">
        <v>125345.04720000002</v>
      </c>
      <c r="D64" s="46"/>
      <c r="E64" s="43"/>
      <c r="F64" s="47"/>
      <c r="G64" s="47"/>
      <c r="H64" s="40"/>
    </row>
    <row r="65" spans="2:8" x14ac:dyDescent="0.35">
      <c r="B65" s="31" t="s">
        <v>571</v>
      </c>
      <c r="C65" s="29">
        <v>-12090</v>
      </c>
      <c r="D65" s="46"/>
      <c r="E65" s="43"/>
      <c r="F65" s="47"/>
      <c r="G65" s="47"/>
      <c r="H65" s="40"/>
    </row>
    <row r="66" spans="2:8" x14ac:dyDescent="0.35">
      <c r="B66" s="31" t="s">
        <v>572</v>
      </c>
      <c r="C66" s="29">
        <v>-2120.6779999999999</v>
      </c>
      <c r="D66" s="46"/>
      <c r="E66" s="43"/>
      <c r="F66" s="47"/>
      <c r="G66" s="47"/>
      <c r="H66" s="40"/>
    </row>
    <row r="67" spans="2:8" x14ac:dyDescent="0.35">
      <c r="B67" s="31" t="s">
        <v>573</v>
      </c>
      <c r="C67" s="29">
        <v>26.493400000000001</v>
      </c>
      <c r="D67" s="46"/>
      <c r="E67" s="43"/>
      <c r="F67" s="47"/>
      <c r="G67" s="47"/>
      <c r="H67" s="40"/>
    </row>
    <row r="68" spans="2:8" x14ac:dyDescent="0.35">
      <c r="B68" s="31" t="s">
        <v>574</v>
      </c>
      <c r="C68" s="29">
        <v>-4716.8125</v>
      </c>
      <c r="D68" s="46"/>
      <c r="E68" s="43"/>
      <c r="F68" s="47"/>
      <c r="G68" s="47"/>
      <c r="H68" s="40"/>
    </row>
    <row r="69" spans="2:8" x14ac:dyDescent="0.35">
      <c r="B69" s="31" t="s">
        <v>575</v>
      </c>
      <c r="C69" s="29">
        <v>352905.36709999997</v>
      </c>
      <c r="D69" s="46"/>
      <c r="E69" s="43"/>
      <c r="F69" s="47"/>
      <c r="G69" s="47"/>
      <c r="H69" s="40"/>
    </row>
    <row r="70" spans="2:8" x14ac:dyDescent="0.35">
      <c r="B70" s="31" t="s">
        <v>576</v>
      </c>
      <c r="C70" s="29">
        <v>0</v>
      </c>
      <c r="D70" s="46"/>
      <c r="E70" s="43"/>
      <c r="F70" s="47"/>
      <c r="G70" s="47"/>
      <c r="H70" s="40"/>
    </row>
    <row r="71" spans="2:8" x14ac:dyDescent="0.35">
      <c r="B71" s="31" t="s">
        <v>577</v>
      </c>
      <c r="C71" s="29">
        <v>695795.80280000006</v>
      </c>
      <c r="D71" s="46"/>
      <c r="E71" s="43"/>
      <c r="F71" s="47"/>
      <c r="G71" s="47"/>
      <c r="H71" s="40"/>
    </row>
    <row r="72" spans="2:8" x14ac:dyDescent="0.35">
      <c r="B72" s="31" t="s">
        <v>578</v>
      </c>
      <c r="C72" s="29">
        <v>68950.080000000002</v>
      </c>
      <c r="D72" s="46"/>
      <c r="E72" s="43"/>
      <c r="F72" s="47"/>
      <c r="G72" s="47"/>
      <c r="H72" s="40"/>
    </row>
    <row r="73" spans="2:8" x14ac:dyDescent="0.35">
      <c r="B73" s="31" t="s">
        <v>579</v>
      </c>
      <c r="C73" s="29">
        <v>355823.42319999996</v>
      </c>
      <c r="D73" s="46"/>
      <c r="E73" s="43"/>
      <c r="F73" s="47"/>
      <c r="G73" s="47"/>
      <c r="H73" s="40"/>
    </row>
    <row r="74" spans="2:8" x14ac:dyDescent="0.35">
      <c r="B74" s="31" t="s">
        <v>580</v>
      </c>
      <c r="C74" s="29">
        <v>55908</v>
      </c>
      <c r="D74" s="46"/>
      <c r="E74" s="43"/>
      <c r="F74" s="47"/>
      <c r="G74" s="47"/>
      <c r="H74" s="40"/>
    </row>
    <row r="75" spans="2:8" x14ac:dyDescent="0.35">
      <c r="B75" s="31" t="s">
        <v>581</v>
      </c>
      <c r="C75" s="29">
        <v>1082.7359999999999</v>
      </c>
      <c r="D75" s="46"/>
      <c r="E75" s="43"/>
      <c r="F75" s="47"/>
      <c r="G75" s="47"/>
      <c r="H75" s="40"/>
    </row>
    <row r="76" spans="2:8" x14ac:dyDescent="0.35">
      <c r="B76" s="31" t="s">
        <v>582</v>
      </c>
      <c r="C76" s="29">
        <v>0</v>
      </c>
      <c r="D76" s="46"/>
      <c r="E76" s="43"/>
      <c r="F76" s="47"/>
      <c r="G76" s="47"/>
      <c r="H76" s="40"/>
    </row>
    <row r="77" spans="2:8" x14ac:dyDescent="0.35">
      <c r="B77" s="31" t="s">
        <v>583</v>
      </c>
      <c r="C77" s="29">
        <v>0</v>
      </c>
      <c r="D77" s="46"/>
      <c r="E77" s="43"/>
      <c r="F77" s="47"/>
      <c r="G77" s="47"/>
      <c r="H77" s="40"/>
    </row>
    <row r="78" spans="2:8" x14ac:dyDescent="0.35">
      <c r="B78" s="31" t="s">
        <v>584</v>
      </c>
      <c r="C78" s="29">
        <v>34968</v>
      </c>
      <c r="D78" s="46"/>
      <c r="E78" s="43"/>
      <c r="F78" s="47"/>
      <c r="G78" s="47"/>
      <c r="H78" s="40"/>
    </row>
    <row r="79" spans="2:8" x14ac:dyDescent="0.35">
      <c r="B79" s="31" t="s">
        <v>585</v>
      </c>
      <c r="C79" s="29">
        <v>0</v>
      </c>
      <c r="D79" s="46"/>
      <c r="E79" s="43"/>
      <c r="F79" s="47"/>
      <c r="G79" s="47"/>
      <c r="H79" s="40"/>
    </row>
    <row r="80" spans="2:8" x14ac:dyDescent="0.35">
      <c r="B80" s="31" t="s">
        <v>586</v>
      </c>
      <c r="C80" s="29">
        <v>165952.54120000001</v>
      </c>
      <c r="D80" s="46"/>
      <c r="E80" s="43"/>
      <c r="F80" s="47"/>
      <c r="G80" s="47"/>
      <c r="H80" s="40"/>
    </row>
    <row r="81" spans="2:8" x14ac:dyDescent="0.35">
      <c r="B81" s="31" t="s">
        <v>587</v>
      </c>
      <c r="C81" s="29">
        <v>42082.5</v>
      </c>
      <c r="D81" s="46"/>
      <c r="E81" s="43"/>
      <c r="F81" s="47"/>
      <c r="G81" s="47"/>
      <c r="H81" s="40"/>
    </row>
    <row r="82" spans="2:8" x14ac:dyDescent="0.35">
      <c r="B82" s="31" t="s">
        <v>588</v>
      </c>
      <c r="C82" s="29">
        <v>-1826.4259999999997</v>
      </c>
      <c r="D82" s="46"/>
      <c r="E82" s="43"/>
      <c r="F82" s="47"/>
      <c r="G82" s="47"/>
      <c r="H82" s="40"/>
    </row>
    <row r="83" spans="2:8" x14ac:dyDescent="0.35">
      <c r="B83" s="31" t="s">
        <v>589</v>
      </c>
      <c r="C83" s="29">
        <v>211.44680000000002</v>
      </c>
      <c r="D83" s="46"/>
      <c r="E83" s="43"/>
      <c r="F83" s="47"/>
      <c r="G83" s="47"/>
      <c r="H83" s="40"/>
    </row>
    <row r="84" spans="2:8" x14ac:dyDescent="0.35">
      <c r="B84" s="31" t="s">
        <v>590</v>
      </c>
      <c r="C84" s="29">
        <v>-1689.25</v>
      </c>
      <c r="D84" s="46"/>
      <c r="E84" s="43"/>
      <c r="F84" s="47"/>
      <c r="G84" s="47"/>
      <c r="H84" s="40"/>
    </row>
    <row r="85" spans="2:8" x14ac:dyDescent="0.35">
      <c r="B85" s="31" t="s">
        <v>591</v>
      </c>
      <c r="C85" s="29">
        <v>243880.00779999999</v>
      </c>
      <c r="D85" s="46"/>
      <c r="E85" s="43"/>
      <c r="F85" s="47"/>
      <c r="G85" s="47"/>
      <c r="H85" s="40"/>
    </row>
    <row r="86" spans="2:8" x14ac:dyDescent="0.35">
      <c r="B86" s="31" t="s">
        <v>592</v>
      </c>
      <c r="C86" s="29">
        <v>50297</v>
      </c>
      <c r="D86" s="46"/>
      <c r="E86" s="43"/>
      <c r="F86" s="47"/>
      <c r="G86" s="47"/>
      <c r="H86" s="40"/>
    </row>
    <row r="87" spans="2:8" x14ac:dyDescent="0.35">
      <c r="B87" s="31" t="s">
        <v>593</v>
      </c>
      <c r="C87" s="29">
        <v>686437.23860000004</v>
      </c>
      <c r="D87" s="46"/>
      <c r="E87" s="43"/>
      <c r="F87" s="47"/>
      <c r="G87" s="47"/>
      <c r="H87" s="40"/>
    </row>
    <row r="88" spans="2:8" x14ac:dyDescent="0.35">
      <c r="B88" s="31" t="s">
        <v>594</v>
      </c>
      <c r="C88" s="29">
        <v>166046.39999999999</v>
      </c>
      <c r="D88" s="46"/>
      <c r="E88" s="43"/>
      <c r="F88" s="47"/>
      <c r="G88" s="47"/>
      <c r="H88" s="40"/>
    </row>
    <row r="89" spans="2:8" x14ac:dyDescent="0.35">
      <c r="B89" s="31" t="s">
        <v>595</v>
      </c>
      <c r="C89" s="29">
        <v>454665.72080000001</v>
      </c>
      <c r="D89" s="46"/>
      <c r="E89" s="43"/>
      <c r="F89" s="47"/>
      <c r="G89" s="47"/>
      <c r="H89" s="40"/>
    </row>
    <row r="90" spans="2:8" x14ac:dyDescent="0.35">
      <c r="B90" s="31" t="s">
        <v>596</v>
      </c>
      <c r="C90" s="29">
        <v>0</v>
      </c>
      <c r="D90" s="46"/>
      <c r="E90" s="43"/>
      <c r="F90" s="47"/>
      <c r="G90" s="47"/>
      <c r="H90" s="40"/>
    </row>
    <row r="91" spans="2:8" x14ac:dyDescent="0.35">
      <c r="B91" s="31" t="s">
        <v>597</v>
      </c>
      <c r="C91" s="29">
        <v>9259.7759999999998</v>
      </c>
      <c r="D91" s="46"/>
      <c r="E91" s="43"/>
      <c r="F91" s="47"/>
      <c r="G91" s="47"/>
      <c r="H91" s="40"/>
    </row>
    <row r="92" spans="2:8" x14ac:dyDescent="0.35">
      <c r="B92" s="31" t="s">
        <v>598</v>
      </c>
      <c r="C92" s="29">
        <v>0</v>
      </c>
      <c r="D92" s="46"/>
      <c r="E92" s="43"/>
      <c r="F92" s="47"/>
      <c r="G92" s="47"/>
      <c r="H92" s="40"/>
    </row>
    <row r="93" spans="2:8" x14ac:dyDescent="0.35">
      <c r="B93" s="31" t="s">
        <v>599</v>
      </c>
      <c r="C93" s="29">
        <v>59130</v>
      </c>
      <c r="D93" s="46"/>
      <c r="E93" s="43"/>
      <c r="F93" s="47"/>
      <c r="G93" s="47"/>
      <c r="H93" s="40"/>
    </row>
    <row r="94" spans="2:8" x14ac:dyDescent="0.35">
      <c r="B94" s="31" t="s">
        <v>600</v>
      </c>
      <c r="C94" s="29">
        <v>120516.93</v>
      </c>
      <c r="D94" s="46"/>
      <c r="E94" s="43"/>
      <c r="F94" s="47"/>
      <c r="G94" s="47"/>
      <c r="H94" s="40"/>
    </row>
    <row r="95" spans="2:8" x14ac:dyDescent="0.35">
      <c r="B95" s="31" t="s">
        <v>601</v>
      </c>
      <c r="C95" s="29">
        <v>0</v>
      </c>
      <c r="D95" s="46"/>
      <c r="E95" s="43"/>
      <c r="F95" s="47"/>
      <c r="G95" s="47"/>
      <c r="H95" s="40"/>
    </row>
    <row r="96" spans="2:8" x14ac:dyDescent="0.35">
      <c r="B96" s="31" t="s">
        <v>602</v>
      </c>
      <c r="C96" s="29">
        <v>233290.06040000002</v>
      </c>
      <c r="D96" s="46"/>
      <c r="E96" s="43"/>
      <c r="F96" s="47"/>
      <c r="G96" s="47"/>
      <c r="H96" s="40"/>
    </row>
    <row r="97" spans="2:8" x14ac:dyDescent="0.35">
      <c r="B97" s="31" t="s">
        <v>603</v>
      </c>
      <c r="C97" s="29">
        <v>29992.499999999996</v>
      </c>
      <c r="D97" s="46"/>
      <c r="E97" s="43"/>
      <c r="F97" s="47"/>
      <c r="G97" s="47"/>
      <c r="H97" s="40"/>
    </row>
    <row r="98" spans="2:8" x14ac:dyDescent="0.35">
      <c r="B98" s="31" t="s">
        <v>604</v>
      </c>
      <c r="C98" s="29">
        <v>-3746.2459999999996</v>
      </c>
      <c r="D98" s="46"/>
      <c r="E98" s="43"/>
      <c r="F98" s="47"/>
      <c r="G98" s="47"/>
      <c r="H98" s="40"/>
    </row>
    <row r="99" spans="2:8" x14ac:dyDescent="0.35">
      <c r="B99" s="31" t="s">
        <v>605</v>
      </c>
      <c r="C99" s="29">
        <v>145.90830000000003</v>
      </c>
      <c r="D99" s="46"/>
      <c r="E99" s="43"/>
      <c r="F99" s="47"/>
      <c r="G99" s="47"/>
      <c r="H99" s="40"/>
    </row>
    <row r="100" spans="2:8" x14ac:dyDescent="0.35">
      <c r="B100" s="31" t="s">
        <v>606</v>
      </c>
      <c r="C100" s="29">
        <v>-17595.724999999999</v>
      </c>
      <c r="D100" s="46"/>
      <c r="E100" s="43"/>
      <c r="F100" s="47"/>
      <c r="G100" s="47"/>
      <c r="H100" s="40"/>
    </row>
    <row r="101" spans="2:8" x14ac:dyDescent="0.35">
      <c r="B101" s="31" t="s">
        <v>607</v>
      </c>
      <c r="C101" s="29">
        <v>-343087.13010000001</v>
      </c>
      <c r="D101" s="46"/>
      <c r="E101" s="43"/>
      <c r="F101" s="47"/>
      <c r="G101" s="47"/>
      <c r="H101" s="40"/>
    </row>
    <row r="102" spans="2:8" x14ac:dyDescent="0.35">
      <c r="B102" s="31" t="s">
        <v>608</v>
      </c>
      <c r="C102" s="29">
        <v>0</v>
      </c>
      <c r="D102" s="46"/>
      <c r="E102" s="43"/>
      <c r="F102" s="47"/>
      <c r="G102" s="47"/>
      <c r="H102" s="40"/>
    </row>
    <row r="103" spans="2:8" x14ac:dyDescent="0.35">
      <c r="B103" s="31" t="s">
        <v>609</v>
      </c>
      <c r="C103" s="29">
        <v>-1105656.0678000001</v>
      </c>
      <c r="D103" s="46"/>
      <c r="E103" s="43"/>
      <c r="F103" s="47"/>
      <c r="G103" s="47"/>
      <c r="H103" s="40"/>
    </row>
    <row r="104" spans="2:8" x14ac:dyDescent="0.35">
      <c r="B104" s="31" t="s">
        <v>610</v>
      </c>
      <c r="C104" s="29">
        <v>-8352</v>
      </c>
      <c r="D104" s="46"/>
      <c r="E104" s="43"/>
      <c r="F104" s="47"/>
      <c r="G104" s="47"/>
      <c r="H104" s="40"/>
    </row>
    <row r="105" spans="2:8" x14ac:dyDescent="0.35">
      <c r="B105" s="31" t="s">
        <v>611</v>
      </c>
      <c r="C105" s="29">
        <v>-382278.56479999993</v>
      </c>
      <c r="D105" s="46"/>
      <c r="E105" s="43"/>
      <c r="F105" s="47"/>
      <c r="G105" s="47"/>
      <c r="H105" s="40"/>
    </row>
    <row r="106" spans="2:8" x14ac:dyDescent="0.35">
      <c r="B106" s="31" t="s">
        <v>612</v>
      </c>
      <c r="C106" s="29">
        <v>0</v>
      </c>
      <c r="D106" s="46"/>
      <c r="E106" s="43"/>
      <c r="F106" s="47"/>
      <c r="G106" s="47"/>
      <c r="H106" s="40"/>
    </row>
    <row r="107" spans="2:8" x14ac:dyDescent="0.35">
      <c r="B107" s="31" t="s">
        <v>613</v>
      </c>
      <c r="C107" s="29">
        <v>-4377.5999999999995</v>
      </c>
      <c r="D107" s="46"/>
      <c r="E107" s="43"/>
      <c r="F107" s="47"/>
      <c r="G107" s="47"/>
      <c r="H107" s="40"/>
    </row>
    <row r="108" spans="2:8" x14ac:dyDescent="0.35">
      <c r="B108" s="31" t="s">
        <v>614</v>
      </c>
      <c r="C108" s="29">
        <v>0</v>
      </c>
      <c r="D108" s="46"/>
      <c r="E108" s="43"/>
      <c r="F108" s="47"/>
      <c r="G108" s="47"/>
      <c r="H108" s="40"/>
    </row>
    <row r="109" spans="2:8" x14ac:dyDescent="0.35">
      <c r="B109" s="31" t="s">
        <v>615</v>
      </c>
      <c r="C109" s="29">
        <v>-77867.625</v>
      </c>
      <c r="D109" s="46"/>
      <c r="E109" s="43"/>
      <c r="F109" s="47"/>
      <c r="G109" s="47"/>
      <c r="H109" s="40"/>
    </row>
    <row r="110" spans="2:8" x14ac:dyDescent="0.35">
      <c r="B110" s="31" t="s">
        <v>616</v>
      </c>
      <c r="C110" s="29">
        <v>0</v>
      </c>
      <c r="D110" s="46"/>
      <c r="E110" s="43"/>
      <c r="F110" s="47"/>
      <c r="G110" s="47"/>
      <c r="H110" s="40"/>
    </row>
    <row r="111" spans="2:8" x14ac:dyDescent="0.35">
      <c r="B111" s="31" t="s">
        <v>617</v>
      </c>
      <c r="C111" s="29">
        <v>0</v>
      </c>
      <c r="D111" s="46"/>
      <c r="E111" s="43"/>
      <c r="F111" s="47"/>
      <c r="G111" s="47"/>
      <c r="H111" s="40"/>
    </row>
    <row r="112" spans="2:8" x14ac:dyDescent="0.35">
      <c r="B112" s="31" t="s">
        <v>618</v>
      </c>
      <c r="C112" s="29">
        <v>-144560.71420000002</v>
      </c>
      <c r="D112" s="46"/>
      <c r="E112" s="43"/>
      <c r="F112" s="47"/>
      <c r="G112" s="47"/>
      <c r="H112" s="40"/>
    </row>
    <row r="113" spans="2:8" x14ac:dyDescent="0.35">
      <c r="B113" s="31" t="s">
        <v>619</v>
      </c>
      <c r="C113" s="29">
        <v>0</v>
      </c>
      <c r="D113" s="46"/>
      <c r="E113" s="43"/>
      <c r="F113" s="47"/>
      <c r="G113" s="47"/>
      <c r="H113" s="40"/>
    </row>
    <row r="114" spans="2:8" x14ac:dyDescent="0.35">
      <c r="B114" s="31" t="s">
        <v>620</v>
      </c>
      <c r="C114" s="29">
        <v>-3027.2759999999998</v>
      </c>
      <c r="D114" s="46"/>
      <c r="E114" s="43"/>
      <c r="F114" s="47"/>
      <c r="G114" s="47"/>
      <c r="H114" s="40"/>
    </row>
    <row r="115" spans="2:8" x14ac:dyDescent="0.35">
      <c r="B115" s="31" t="s">
        <v>621</v>
      </c>
      <c r="C115" s="29">
        <v>7433.0528000000004</v>
      </c>
      <c r="D115" s="46"/>
      <c r="E115" s="43"/>
      <c r="F115" s="47"/>
      <c r="G115" s="47"/>
      <c r="H115" s="40"/>
    </row>
    <row r="116" spans="2:8" x14ac:dyDescent="0.35">
      <c r="B116" s="31" t="s">
        <v>622</v>
      </c>
      <c r="C116" s="29">
        <v>-5513.0375000000004</v>
      </c>
      <c r="D116" s="46"/>
      <c r="E116" s="43"/>
      <c r="F116" s="47"/>
      <c r="G116" s="47"/>
      <c r="H116" s="40"/>
    </row>
    <row r="117" spans="2:8" x14ac:dyDescent="0.35">
      <c r="B117" s="31" t="s">
        <v>623</v>
      </c>
      <c r="C117" s="29">
        <v>159815.0411</v>
      </c>
      <c r="D117" s="46"/>
      <c r="E117" s="43"/>
      <c r="F117" s="47"/>
      <c r="G117" s="47"/>
      <c r="H117" s="40"/>
    </row>
    <row r="118" spans="2:8" x14ac:dyDescent="0.35">
      <c r="B118" s="31" t="s">
        <v>624</v>
      </c>
      <c r="C118" s="29">
        <v>0</v>
      </c>
      <c r="D118" s="46"/>
      <c r="E118" s="43"/>
      <c r="F118" s="47"/>
      <c r="G118" s="47"/>
      <c r="H118" s="40"/>
    </row>
    <row r="119" spans="2:8" x14ac:dyDescent="0.35">
      <c r="B119" s="31" t="s">
        <v>625</v>
      </c>
      <c r="C119" s="29">
        <v>767747.90180000011</v>
      </c>
      <c r="D119" s="46"/>
      <c r="E119" s="43"/>
      <c r="F119" s="47"/>
      <c r="G119" s="47"/>
      <c r="H119" s="40"/>
    </row>
    <row r="120" spans="2:8" x14ac:dyDescent="0.35">
      <c r="B120" s="31" t="s">
        <v>626</v>
      </c>
      <c r="C120" s="29">
        <v>127728</v>
      </c>
      <c r="D120" s="46"/>
      <c r="E120" s="43"/>
      <c r="F120" s="47"/>
      <c r="G120" s="47"/>
      <c r="H120" s="40"/>
    </row>
    <row r="121" spans="2:8" x14ac:dyDescent="0.35">
      <c r="B121" s="31" t="s">
        <v>627</v>
      </c>
      <c r="C121" s="29">
        <v>350637.37599999999</v>
      </c>
      <c r="D121" s="46"/>
      <c r="E121" s="43"/>
      <c r="F121" s="47"/>
      <c r="G121" s="47"/>
      <c r="H121" s="40"/>
    </row>
    <row r="122" spans="2:8" x14ac:dyDescent="0.35">
      <c r="B122" s="31" t="s">
        <v>628</v>
      </c>
      <c r="C122" s="29">
        <v>9720</v>
      </c>
      <c r="D122" s="46"/>
      <c r="E122" s="43"/>
      <c r="F122" s="47"/>
      <c r="G122" s="47"/>
      <c r="H122" s="40"/>
    </row>
    <row r="123" spans="2:8" x14ac:dyDescent="0.35">
      <c r="B123" s="31" t="s">
        <v>629</v>
      </c>
      <c r="C123" s="29">
        <v>17905.982399999997</v>
      </c>
      <c r="D123" s="46"/>
      <c r="E123" s="43"/>
      <c r="F123" s="47"/>
      <c r="G123" s="47"/>
      <c r="H123" s="40"/>
    </row>
    <row r="124" spans="2:8" x14ac:dyDescent="0.35">
      <c r="B124" s="31" t="s">
        <v>630</v>
      </c>
      <c r="C124" s="29">
        <v>0</v>
      </c>
      <c r="D124" s="46"/>
      <c r="E124" s="43"/>
      <c r="F124" s="47"/>
      <c r="G124" s="47"/>
      <c r="H124" s="40"/>
    </row>
    <row r="125" spans="2:8" x14ac:dyDescent="0.35">
      <c r="B125" s="31" t="s">
        <v>631</v>
      </c>
      <c r="C125" s="29">
        <v>-956.26499999999999</v>
      </c>
      <c r="D125" s="46"/>
      <c r="E125" s="43"/>
      <c r="F125" s="47"/>
      <c r="G125" s="47"/>
      <c r="H125" s="40"/>
    </row>
    <row r="126" spans="2:8" x14ac:dyDescent="0.35">
      <c r="B126" s="31" t="s">
        <v>632</v>
      </c>
      <c r="C126" s="29">
        <v>22271.372999999996</v>
      </c>
      <c r="D126" s="46"/>
      <c r="E126" s="43"/>
      <c r="F126" s="47"/>
      <c r="G126" s="47"/>
      <c r="H126" s="40"/>
    </row>
    <row r="127" spans="2:8" x14ac:dyDescent="0.35">
      <c r="B127" s="31" t="s">
        <v>633</v>
      </c>
      <c r="C127" s="29">
        <v>0</v>
      </c>
      <c r="D127" s="46"/>
      <c r="E127" s="43"/>
      <c r="F127" s="47"/>
      <c r="G127" s="47"/>
      <c r="H127" s="40"/>
    </row>
    <row r="128" spans="2:8" x14ac:dyDescent="0.35">
      <c r="B128" s="31" t="s">
        <v>634</v>
      </c>
      <c r="C128" s="29">
        <v>18351.300000000003</v>
      </c>
      <c r="D128" s="46"/>
      <c r="E128" s="43"/>
      <c r="F128" s="47"/>
      <c r="G128" s="47"/>
      <c r="H128" s="40"/>
    </row>
    <row r="129" spans="2:8" x14ac:dyDescent="0.35">
      <c r="B129" s="31" t="s">
        <v>635</v>
      </c>
      <c r="C129" s="29">
        <v>7207.4999999999991</v>
      </c>
      <c r="D129" s="46"/>
      <c r="E129" s="43"/>
      <c r="F129" s="47"/>
      <c r="G129" s="47"/>
      <c r="H129" s="40"/>
    </row>
    <row r="130" spans="2:8" x14ac:dyDescent="0.35">
      <c r="B130" s="31" t="s">
        <v>636</v>
      </c>
      <c r="C130" s="29">
        <v>-2110.2339999999999</v>
      </c>
      <c r="D130" s="46"/>
      <c r="E130" s="43"/>
      <c r="F130" s="47"/>
      <c r="G130" s="47"/>
      <c r="H130" s="40"/>
    </row>
    <row r="131" spans="2:8" x14ac:dyDescent="0.35">
      <c r="B131" s="31" t="s">
        <v>637</v>
      </c>
      <c r="C131" s="29">
        <v>33.123699999999999</v>
      </c>
      <c r="D131" s="46"/>
      <c r="E131" s="43"/>
      <c r="F131" s="47"/>
      <c r="G131" s="47"/>
      <c r="H131" s="40"/>
    </row>
    <row r="132" spans="2:8" x14ac:dyDescent="0.35">
      <c r="B132" s="31" t="s">
        <v>638</v>
      </c>
      <c r="C132" s="29">
        <v>-34604.224999999999</v>
      </c>
      <c r="D132" s="46"/>
      <c r="E132" s="43"/>
      <c r="F132" s="47"/>
      <c r="G132" s="47"/>
      <c r="H132" s="40"/>
    </row>
    <row r="133" spans="2:8" x14ac:dyDescent="0.35">
      <c r="B133" s="31" t="s">
        <v>639</v>
      </c>
      <c r="C133" s="29">
        <v>282688.4203</v>
      </c>
      <c r="D133" s="46"/>
      <c r="E133" s="43"/>
      <c r="F133" s="47"/>
      <c r="G133" s="47"/>
      <c r="H133" s="40"/>
    </row>
    <row r="134" spans="2:8" x14ac:dyDescent="0.35">
      <c r="B134" s="31" t="s">
        <v>640</v>
      </c>
      <c r="C134" s="29">
        <v>0</v>
      </c>
      <c r="D134" s="46"/>
      <c r="E134" s="43"/>
      <c r="F134" s="47"/>
      <c r="G134" s="47"/>
      <c r="H134" s="40"/>
    </row>
    <row r="135" spans="2:8" x14ac:dyDescent="0.35">
      <c r="B135" s="31" t="s">
        <v>641</v>
      </c>
      <c r="C135" s="29">
        <v>948385.75490000017</v>
      </c>
      <c r="D135" s="46"/>
      <c r="E135" s="43"/>
      <c r="F135" s="47"/>
      <c r="G135" s="47"/>
      <c r="H135" s="40"/>
    </row>
    <row r="136" spans="2:8" x14ac:dyDescent="0.35">
      <c r="B136" s="31" t="s">
        <v>642</v>
      </c>
      <c r="C136" s="29">
        <v>154080</v>
      </c>
      <c r="D136" s="46"/>
      <c r="E136" s="43"/>
      <c r="F136" s="47"/>
      <c r="G136" s="47"/>
      <c r="H136" s="40"/>
    </row>
    <row r="137" spans="2:8" x14ac:dyDescent="0.35">
      <c r="B137" s="31" t="s">
        <v>643</v>
      </c>
      <c r="C137" s="29">
        <v>434741.84319999994</v>
      </c>
      <c r="D137" s="46"/>
      <c r="E137" s="43"/>
      <c r="F137" s="47"/>
      <c r="G137" s="47"/>
      <c r="H137" s="40"/>
    </row>
    <row r="138" spans="2:8" x14ac:dyDescent="0.35">
      <c r="B138" s="31" t="s">
        <v>644</v>
      </c>
      <c r="C138" s="29">
        <v>59220</v>
      </c>
      <c r="D138" s="46"/>
      <c r="E138" s="43"/>
      <c r="F138" s="47"/>
      <c r="G138" s="47"/>
      <c r="H138" s="40"/>
    </row>
    <row r="139" spans="2:8" x14ac:dyDescent="0.35">
      <c r="B139" s="31" t="s">
        <v>645</v>
      </c>
      <c r="C139" s="29">
        <v>16446.081599999998</v>
      </c>
      <c r="D139" s="46"/>
      <c r="E139" s="43"/>
      <c r="F139" s="47"/>
      <c r="G139" s="47"/>
      <c r="H139" s="40"/>
    </row>
    <row r="140" spans="2:8" x14ac:dyDescent="0.35">
      <c r="B140" s="31" t="s">
        <v>646</v>
      </c>
      <c r="C140" s="29">
        <v>0</v>
      </c>
      <c r="D140" s="46"/>
      <c r="E140" s="43"/>
      <c r="F140" s="47"/>
      <c r="G140" s="47"/>
      <c r="H140" s="40"/>
    </row>
    <row r="141" spans="2:8" x14ac:dyDescent="0.35">
      <c r="B141" s="31" t="s">
        <v>647</v>
      </c>
      <c r="C141" s="29">
        <v>29565</v>
      </c>
      <c r="D141" s="46"/>
      <c r="E141" s="43"/>
      <c r="F141" s="47"/>
      <c r="G141" s="47"/>
      <c r="H141" s="40"/>
    </row>
    <row r="142" spans="2:8" x14ac:dyDescent="0.35">
      <c r="B142" s="31" t="s">
        <v>648</v>
      </c>
      <c r="C142" s="29">
        <v>93972.48149999998</v>
      </c>
      <c r="D142" s="46"/>
      <c r="E142" s="43"/>
      <c r="F142" s="47"/>
      <c r="G142" s="47"/>
      <c r="H142" s="40"/>
    </row>
    <row r="143" spans="2:8" x14ac:dyDescent="0.35">
      <c r="B143" s="31" t="s">
        <v>649</v>
      </c>
      <c r="C143" s="29">
        <v>0</v>
      </c>
      <c r="D143" s="46"/>
      <c r="E143" s="43"/>
      <c r="F143" s="47"/>
      <c r="G143" s="47"/>
      <c r="H143" s="40"/>
    </row>
    <row r="144" spans="2:8" x14ac:dyDescent="0.35">
      <c r="B144" s="31" t="s">
        <v>650</v>
      </c>
      <c r="C144" s="29">
        <v>31665.861600000004</v>
      </c>
      <c r="D144" s="46"/>
      <c r="E144" s="43"/>
      <c r="F144" s="47"/>
      <c r="G144" s="47"/>
      <c r="H144" s="40"/>
    </row>
    <row r="145" spans="2:8" x14ac:dyDescent="0.35">
      <c r="B145" s="31" t="s">
        <v>651</v>
      </c>
      <c r="C145" s="29">
        <v>35526</v>
      </c>
      <c r="D145" s="46"/>
      <c r="E145" s="43"/>
      <c r="F145" s="47"/>
      <c r="G145" s="47"/>
      <c r="H145" s="40"/>
    </row>
    <row r="146" spans="2:8" x14ac:dyDescent="0.35">
      <c r="B146" s="31" t="s">
        <v>652</v>
      </c>
      <c r="C146" s="29">
        <v>-4484.2559999999994</v>
      </c>
      <c r="D146" s="46"/>
      <c r="E146" s="43"/>
      <c r="F146" s="47"/>
      <c r="G146" s="47"/>
      <c r="H146" s="40"/>
    </row>
    <row r="147" spans="2:8" x14ac:dyDescent="0.35">
      <c r="B147" s="31" t="s">
        <v>653</v>
      </c>
      <c r="C147" s="29">
        <v>155.09620000000001</v>
      </c>
      <c r="D147" s="46"/>
      <c r="E147" s="43"/>
      <c r="F147" s="47"/>
      <c r="G147" s="47"/>
      <c r="H147" s="40"/>
    </row>
    <row r="148" spans="2:8" x14ac:dyDescent="0.35">
      <c r="B148" s="31" t="s">
        <v>654</v>
      </c>
      <c r="C148" s="29">
        <v>-7036.0375000000004</v>
      </c>
      <c r="D148" s="46"/>
      <c r="E148" s="43"/>
      <c r="F148" s="47"/>
      <c r="G148" s="47"/>
      <c r="H148" s="40"/>
    </row>
    <row r="149" spans="2:8" x14ac:dyDescent="0.35">
      <c r="B149" s="31" t="s">
        <v>655</v>
      </c>
      <c r="C149" s="29">
        <v>136919.09659999999</v>
      </c>
      <c r="D149" s="46"/>
      <c r="E149" s="43"/>
      <c r="F149" s="47"/>
      <c r="G149" s="47"/>
      <c r="H149" s="40"/>
    </row>
    <row r="150" spans="2:8" x14ac:dyDescent="0.35">
      <c r="B150" s="31" t="s">
        <v>656</v>
      </c>
      <c r="C150" s="29">
        <v>0</v>
      </c>
      <c r="D150" s="46"/>
      <c r="E150" s="43"/>
      <c r="F150" s="47"/>
      <c r="G150" s="47"/>
      <c r="H150" s="40"/>
    </row>
    <row r="151" spans="2:8" x14ac:dyDescent="0.35">
      <c r="B151" s="31" t="s">
        <v>657</v>
      </c>
      <c r="C151" s="29">
        <v>662704.93460000004</v>
      </c>
      <c r="D151" s="46"/>
      <c r="E151" s="43"/>
      <c r="F151" s="47"/>
      <c r="G151" s="47"/>
      <c r="H151" s="40"/>
    </row>
    <row r="152" spans="2:8" x14ac:dyDescent="0.35">
      <c r="B152" s="31" t="s">
        <v>658</v>
      </c>
      <c r="C152" s="29">
        <v>1728</v>
      </c>
      <c r="D152" s="46"/>
      <c r="E152" s="43"/>
      <c r="F152" s="47"/>
      <c r="G152" s="47"/>
      <c r="H152" s="40"/>
    </row>
    <row r="153" spans="2:8" x14ac:dyDescent="0.35">
      <c r="B153" s="31" t="s">
        <v>659</v>
      </c>
      <c r="C153" s="29">
        <v>319411.89839999995</v>
      </c>
      <c r="D153" s="46"/>
      <c r="E153" s="43"/>
      <c r="F153" s="47"/>
      <c r="G153" s="47"/>
      <c r="H153" s="40"/>
    </row>
    <row r="154" spans="2:8" x14ac:dyDescent="0.35">
      <c r="B154" s="31" t="s">
        <v>660</v>
      </c>
      <c r="C154" s="29">
        <v>0</v>
      </c>
      <c r="D154" s="46"/>
      <c r="E154" s="43"/>
      <c r="F154" s="47"/>
      <c r="G154" s="47"/>
      <c r="H154" s="40"/>
    </row>
    <row r="155" spans="2:8" x14ac:dyDescent="0.35">
      <c r="B155" s="31" t="s">
        <v>661</v>
      </c>
      <c r="C155" s="29">
        <v>26193.599999999999</v>
      </c>
      <c r="D155" s="46"/>
      <c r="E155" s="43"/>
      <c r="F155" s="47"/>
      <c r="G155" s="47"/>
      <c r="H155" s="40"/>
    </row>
    <row r="156" spans="2:8" x14ac:dyDescent="0.35">
      <c r="B156" s="31" t="s">
        <v>662</v>
      </c>
      <c r="C156" s="29">
        <v>0</v>
      </c>
      <c r="D156" s="46"/>
      <c r="E156" s="43"/>
      <c r="F156" s="47"/>
      <c r="G156" s="47"/>
      <c r="H156" s="40"/>
    </row>
    <row r="157" spans="2:8" x14ac:dyDescent="0.35">
      <c r="B157" s="31" t="s">
        <v>663</v>
      </c>
      <c r="C157" s="29">
        <v>50567.535000000003</v>
      </c>
      <c r="D157" s="46"/>
      <c r="E157" s="43"/>
      <c r="F157" s="47"/>
      <c r="G157" s="47"/>
      <c r="H157" s="40"/>
    </row>
    <row r="158" spans="2:8" x14ac:dyDescent="0.35">
      <c r="B158" s="31" t="s">
        <v>664</v>
      </c>
      <c r="C158" s="29">
        <v>5718.3254999999999</v>
      </c>
      <c r="D158" s="46"/>
      <c r="E158" s="43"/>
      <c r="F158" s="47"/>
      <c r="G158" s="47"/>
      <c r="H158" s="40"/>
    </row>
    <row r="159" spans="2:8" x14ac:dyDescent="0.35">
      <c r="B159" s="31" t="s">
        <v>665</v>
      </c>
      <c r="C159" s="29">
        <v>0</v>
      </c>
      <c r="D159" s="46"/>
      <c r="E159" s="43"/>
      <c r="F159" s="47"/>
      <c r="G159" s="47"/>
      <c r="H159" s="40"/>
    </row>
    <row r="160" spans="2:8" x14ac:dyDescent="0.35">
      <c r="B160" s="31" t="s">
        <v>666</v>
      </c>
      <c r="C160" s="29">
        <v>185560.03760000004</v>
      </c>
      <c r="D160" s="46"/>
      <c r="E160" s="43"/>
      <c r="F160" s="47"/>
      <c r="G160" s="47"/>
      <c r="H160" s="40"/>
    </row>
    <row r="161" spans="2:8" x14ac:dyDescent="0.35">
      <c r="B161" s="31" t="s">
        <v>667</v>
      </c>
      <c r="C161" s="29">
        <v>0</v>
      </c>
      <c r="D161" s="46"/>
      <c r="E161" s="43"/>
      <c r="F161" s="47"/>
      <c r="G161" s="47"/>
      <c r="H161" s="40"/>
    </row>
    <row r="162" spans="2:8" x14ac:dyDescent="0.35">
      <c r="B162" s="31" t="s">
        <v>668</v>
      </c>
      <c r="C162" s="29">
        <v>-3909.4299999999994</v>
      </c>
      <c r="D162" s="46"/>
      <c r="E162" s="43"/>
      <c r="F162" s="47"/>
      <c r="G162" s="47"/>
      <c r="H162" s="40"/>
    </row>
    <row r="163" spans="2:8" x14ac:dyDescent="0.35">
      <c r="B163" s="31" t="s">
        <v>669</v>
      </c>
      <c r="C163" s="29">
        <v>92.490600000000015</v>
      </c>
      <c r="D163" s="46"/>
      <c r="E163" s="43"/>
      <c r="F163" s="47"/>
      <c r="G163" s="47"/>
      <c r="H163" s="40"/>
    </row>
    <row r="164" spans="2:8" x14ac:dyDescent="0.35">
      <c r="B164" s="31" t="s">
        <v>670</v>
      </c>
      <c r="C164" s="29">
        <v>4299.3999999999996</v>
      </c>
      <c r="D164" s="46"/>
      <c r="E164" s="43"/>
      <c r="F164" s="47"/>
      <c r="G164" s="47"/>
      <c r="H164" s="40"/>
    </row>
    <row r="165" spans="2:8" x14ac:dyDescent="0.35">
      <c r="B165" s="31" t="s">
        <v>671</v>
      </c>
      <c r="C165" s="29">
        <v>242473.93169999999</v>
      </c>
      <c r="D165" s="46"/>
      <c r="E165" s="43"/>
      <c r="F165" s="47"/>
      <c r="G165" s="47"/>
      <c r="H165" s="40"/>
    </row>
    <row r="166" spans="2:8" x14ac:dyDescent="0.35">
      <c r="B166" s="31" t="s">
        <v>672</v>
      </c>
      <c r="C166" s="29">
        <v>2650</v>
      </c>
      <c r="D166" s="46"/>
      <c r="E166" s="43"/>
      <c r="F166" s="47"/>
      <c r="G166" s="47"/>
      <c r="H166" s="40"/>
    </row>
    <row r="167" spans="2:8" x14ac:dyDescent="0.35">
      <c r="B167" s="31" t="s">
        <v>673</v>
      </c>
      <c r="C167" s="29">
        <v>839806.8918000001</v>
      </c>
      <c r="D167" s="46"/>
      <c r="E167" s="43"/>
      <c r="F167" s="47"/>
      <c r="G167" s="47"/>
      <c r="H167" s="40"/>
    </row>
    <row r="168" spans="2:8" x14ac:dyDescent="0.35">
      <c r="B168" s="31" t="s">
        <v>674</v>
      </c>
      <c r="C168" s="29">
        <v>17568</v>
      </c>
      <c r="D168" s="46"/>
      <c r="E168" s="43"/>
      <c r="F168" s="47"/>
      <c r="G168" s="47"/>
      <c r="H168" s="40"/>
    </row>
    <row r="169" spans="2:8" x14ac:dyDescent="0.35">
      <c r="B169" s="31" t="s">
        <v>675</v>
      </c>
      <c r="C169" s="29">
        <v>348099.95599999995</v>
      </c>
      <c r="D169" s="46"/>
      <c r="E169" s="43"/>
      <c r="F169" s="47"/>
      <c r="G169" s="47"/>
      <c r="H169" s="40"/>
    </row>
    <row r="170" spans="2:8" x14ac:dyDescent="0.35">
      <c r="B170" s="31" t="s">
        <v>676</v>
      </c>
      <c r="C170" s="29">
        <v>0</v>
      </c>
      <c r="D170" s="46"/>
      <c r="E170" s="43"/>
      <c r="F170" s="47"/>
      <c r="G170" s="47"/>
      <c r="H170" s="40"/>
    </row>
    <row r="171" spans="2:8" x14ac:dyDescent="0.35">
      <c r="B171" s="31" t="s">
        <v>677</v>
      </c>
      <c r="C171" s="29">
        <v>0</v>
      </c>
      <c r="D171" s="46"/>
      <c r="E171" s="43"/>
      <c r="F171" s="47"/>
      <c r="G171" s="47"/>
      <c r="H171" s="40"/>
    </row>
    <row r="172" spans="2:8" x14ac:dyDescent="0.35">
      <c r="B172" s="31" t="s">
        <v>678</v>
      </c>
      <c r="C172" s="29">
        <v>0</v>
      </c>
      <c r="D172" s="46"/>
      <c r="E172" s="43"/>
      <c r="F172" s="47"/>
      <c r="G172" s="47"/>
      <c r="H172" s="40"/>
    </row>
    <row r="173" spans="2:8" x14ac:dyDescent="0.35">
      <c r="B173" s="31" t="s">
        <v>679</v>
      </c>
      <c r="C173" s="29">
        <v>32905.845000000001</v>
      </c>
      <c r="D173" s="46"/>
      <c r="E173" s="43"/>
      <c r="F173" s="47"/>
      <c r="G173" s="47"/>
      <c r="H173" s="40"/>
    </row>
    <row r="174" spans="2:8" x14ac:dyDescent="0.35">
      <c r="B174" s="31" t="s">
        <v>680</v>
      </c>
      <c r="C174" s="29">
        <v>12666.3966</v>
      </c>
      <c r="D174" s="46"/>
      <c r="E174" s="43"/>
      <c r="F174" s="47"/>
      <c r="G174" s="47"/>
      <c r="H174" s="40"/>
    </row>
    <row r="175" spans="2:8" x14ac:dyDescent="0.35">
      <c r="B175" s="31" t="s">
        <v>681</v>
      </c>
      <c r="C175" s="29">
        <v>0</v>
      </c>
      <c r="D175" s="46"/>
      <c r="E175" s="43"/>
      <c r="F175" s="47"/>
      <c r="G175" s="47"/>
      <c r="H175" s="40"/>
    </row>
    <row r="176" spans="2:8" x14ac:dyDescent="0.35">
      <c r="B176" s="31" t="s">
        <v>682</v>
      </c>
      <c r="C176" s="29">
        <v>212568.17980000001</v>
      </c>
      <c r="D176" s="46"/>
      <c r="E176" s="43"/>
      <c r="F176" s="47"/>
      <c r="G176" s="47"/>
      <c r="H176" s="40"/>
    </row>
    <row r="177" spans="2:8" x14ac:dyDescent="0.35">
      <c r="B177" s="31" t="s">
        <v>683</v>
      </c>
      <c r="C177" s="29">
        <v>6091.5929999999998</v>
      </c>
      <c r="D177" s="46"/>
      <c r="E177" s="43"/>
      <c r="F177" s="47"/>
      <c r="G177" s="47"/>
      <c r="H177" s="40"/>
    </row>
    <row r="178" spans="2:8" x14ac:dyDescent="0.35">
      <c r="B178" s="31" t="s">
        <v>684</v>
      </c>
      <c r="C178" s="29">
        <v>-1539.5519999999999</v>
      </c>
      <c r="D178" s="46"/>
      <c r="E178" s="43"/>
      <c r="F178" s="47"/>
      <c r="G178" s="47"/>
      <c r="H178" s="40"/>
    </row>
    <row r="179" spans="2:8" x14ac:dyDescent="0.35">
      <c r="B179" s="31" t="s">
        <v>685</v>
      </c>
      <c r="C179" s="29">
        <v>240.12250000000003</v>
      </c>
      <c r="D179" s="46"/>
      <c r="E179" s="43"/>
      <c r="F179" s="47"/>
      <c r="G179" s="47"/>
      <c r="H179" s="40"/>
    </row>
    <row r="180" spans="2:8" x14ac:dyDescent="0.35">
      <c r="B180" s="31" t="s">
        <v>686</v>
      </c>
      <c r="C180" s="29">
        <v>-8175.3125</v>
      </c>
      <c r="D180" s="46"/>
      <c r="E180" s="43"/>
      <c r="F180" s="47"/>
      <c r="G180" s="47"/>
      <c r="H180" s="40"/>
    </row>
    <row r="181" spans="2:8" x14ac:dyDescent="0.35">
      <c r="B181" s="31" t="s">
        <v>687</v>
      </c>
      <c r="C181" s="29">
        <v>545756.86879999994</v>
      </c>
      <c r="D181" s="46"/>
      <c r="E181" s="43"/>
      <c r="F181" s="47"/>
      <c r="G181" s="47"/>
      <c r="H181" s="40"/>
    </row>
    <row r="182" spans="2:8" x14ac:dyDescent="0.35">
      <c r="B182" s="31" t="s">
        <v>688</v>
      </c>
      <c r="C182" s="29">
        <v>43942.3</v>
      </c>
      <c r="D182" s="46"/>
      <c r="E182" s="43"/>
      <c r="F182" s="47"/>
      <c r="G182" s="47"/>
      <c r="H182" s="40"/>
    </row>
    <row r="183" spans="2:8" x14ac:dyDescent="0.35">
      <c r="B183" s="31" t="s">
        <v>689</v>
      </c>
      <c r="C183" s="29">
        <v>990469.1725000001</v>
      </c>
      <c r="D183" s="46"/>
      <c r="E183" s="43"/>
      <c r="F183" s="47"/>
      <c r="G183" s="47"/>
      <c r="H183" s="40"/>
    </row>
    <row r="184" spans="2:8" x14ac:dyDescent="0.35">
      <c r="B184" s="31" t="s">
        <v>690</v>
      </c>
      <c r="C184" s="29">
        <v>24336</v>
      </c>
      <c r="D184" s="46"/>
      <c r="E184" s="43"/>
      <c r="F184" s="47"/>
      <c r="G184" s="47"/>
      <c r="H184" s="40"/>
    </row>
    <row r="185" spans="2:8" x14ac:dyDescent="0.35">
      <c r="B185" s="31" t="s">
        <v>691</v>
      </c>
      <c r="C185" s="29">
        <v>794930.41759999993</v>
      </c>
      <c r="D185" s="46"/>
      <c r="E185" s="43"/>
      <c r="F185" s="47"/>
      <c r="G185" s="47"/>
      <c r="H185" s="40"/>
    </row>
    <row r="186" spans="2:8" x14ac:dyDescent="0.35">
      <c r="B186" s="31" t="s">
        <v>692</v>
      </c>
      <c r="C186" s="29">
        <v>41328</v>
      </c>
      <c r="D186" s="46"/>
      <c r="E186" s="43"/>
      <c r="F186" s="47"/>
      <c r="G186" s="47"/>
      <c r="H186" s="40"/>
    </row>
    <row r="187" spans="2:8" x14ac:dyDescent="0.35">
      <c r="B187" s="31" t="s">
        <v>693</v>
      </c>
      <c r="C187" s="29">
        <v>16419.599999999999</v>
      </c>
      <c r="D187" s="46"/>
      <c r="E187" s="43"/>
      <c r="F187" s="47"/>
      <c r="G187" s="47"/>
      <c r="H187" s="40"/>
    </row>
    <row r="188" spans="2:8" x14ac:dyDescent="0.35">
      <c r="B188" s="31" t="s">
        <v>694</v>
      </c>
      <c r="C188" s="29">
        <v>0</v>
      </c>
      <c r="D188" s="46"/>
      <c r="E188" s="43"/>
      <c r="F188" s="47"/>
      <c r="G188" s="47"/>
      <c r="H188" s="40"/>
    </row>
    <row r="189" spans="2:8" x14ac:dyDescent="0.35">
      <c r="B189" s="31" t="s">
        <v>695</v>
      </c>
      <c r="C189" s="29">
        <v>102928.56</v>
      </c>
      <c r="D189" s="46"/>
      <c r="E189" s="43"/>
      <c r="F189" s="47"/>
      <c r="G189" s="47"/>
      <c r="H189" s="40"/>
    </row>
    <row r="190" spans="2:8" x14ac:dyDescent="0.35">
      <c r="B190" s="31" t="s">
        <v>696</v>
      </c>
      <c r="C190" s="29">
        <v>94630.739999999991</v>
      </c>
      <c r="D190" s="46"/>
      <c r="E190" s="43"/>
      <c r="F190" s="47"/>
      <c r="G190" s="47"/>
      <c r="H190" s="40"/>
    </row>
    <row r="191" spans="2:8" x14ac:dyDescent="0.35">
      <c r="B191" s="31" t="s">
        <v>697</v>
      </c>
      <c r="C191" s="29">
        <v>0</v>
      </c>
      <c r="D191" s="46"/>
      <c r="E191" s="43"/>
      <c r="F191" s="47"/>
      <c r="G191" s="47"/>
      <c r="H191" s="40"/>
    </row>
    <row r="192" spans="2:8" x14ac:dyDescent="0.35">
      <c r="B192" s="31" t="s">
        <v>698</v>
      </c>
      <c r="C192" s="29">
        <v>321703.31400000001</v>
      </c>
      <c r="D192" s="46"/>
      <c r="E192" s="43"/>
      <c r="F192" s="47"/>
      <c r="G192" s="47"/>
      <c r="H192" s="40"/>
    </row>
    <row r="193" spans="2:8" x14ac:dyDescent="0.35">
      <c r="B193" s="31" t="s">
        <v>699</v>
      </c>
      <c r="C193" s="29">
        <v>137593.5</v>
      </c>
      <c r="D193" s="46"/>
      <c r="E193" s="43"/>
      <c r="F193" s="47"/>
      <c r="G193" s="47"/>
      <c r="H193" s="40"/>
    </row>
    <row r="194" spans="2:8" x14ac:dyDescent="0.35">
      <c r="B194" s="31" t="s">
        <v>700</v>
      </c>
      <c r="C194" s="29">
        <v>-4759.482</v>
      </c>
      <c r="D194" s="46"/>
      <c r="E194" s="43"/>
      <c r="F194" s="47"/>
      <c r="G194" s="47"/>
      <c r="H194" s="40"/>
    </row>
    <row r="195" spans="2:8" x14ac:dyDescent="0.35">
      <c r="B195" s="31" t="s">
        <v>701</v>
      </c>
      <c r="C195" s="29">
        <v>264.00270000000006</v>
      </c>
      <c r="D195" s="46"/>
      <c r="E195" s="43"/>
      <c r="F195" s="47"/>
      <c r="G195" s="47"/>
      <c r="H195" s="40"/>
    </row>
    <row r="196" spans="2:8" x14ac:dyDescent="0.35">
      <c r="B196" s="31" t="s">
        <v>702</v>
      </c>
      <c r="C196" s="29">
        <v>-10527.449999999999</v>
      </c>
      <c r="D196" s="46"/>
      <c r="E196" s="43"/>
      <c r="F196" s="47"/>
      <c r="G196" s="47"/>
      <c r="H196" s="40"/>
    </row>
    <row r="197" spans="2:8" x14ac:dyDescent="0.35">
      <c r="B197" s="31" t="s">
        <v>703</v>
      </c>
      <c r="C197" s="29">
        <v>144562.93280000001</v>
      </c>
      <c r="D197" s="46"/>
      <c r="E197" s="43"/>
      <c r="F197" s="47"/>
      <c r="G197" s="47"/>
      <c r="H197" s="40"/>
    </row>
    <row r="198" spans="2:8" x14ac:dyDescent="0.35">
      <c r="B198" s="31" t="s">
        <v>704</v>
      </c>
      <c r="C198" s="29">
        <v>0</v>
      </c>
      <c r="D198" s="46"/>
      <c r="E198" s="43"/>
      <c r="F198" s="47"/>
      <c r="G198" s="47"/>
      <c r="H198" s="40"/>
    </row>
    <row r="199" spans="2:8" x14ac:dyDescent="0.35">
      <c r="B199" s="31" t="s">
        <v>705</v>
      </c>
      <c r="C199" s="29">
        <v>972997.84550000005</v>
      </c>
      <c r="D199" s="46"/>
      <c r="E199" s="43"/>
      <c r="F199" s="47"/>
      <c r="G199" s="47"/>
      <c r="H199" s="40"/>
    </row>
    <row r="200" spans="2:8" x14ac:dyDescent="0.35">
      <c r="B200" s="31" t="s">
        <v>706</v>
      </c>
      <c r="C200" s="29">
        <v>0</v>
      </c>
      <c r="D200" s="46"/>
      <c r="E200" s="43"/>
      <c r="F200" s="47"/>
      <c r="G200" s="47"/>
      <c r="H200" s="40"/>
    </row>
    <row r="201" spans="2:8" x14ac:dyDescent="0.35">
      <c r="B201" s="31" t="s">
        <v>707</v>
      </c>
      <c r="C201" s="29">
        <v>351063.88559999998</v>
      </c>
      <c r="D201" s="46"/>
      <c r="E201" s="43"/>
      <c r="F201" s="47"/>
      <c r="G201" s="47"/>
      <c r="H201" s="40"/>
    </row>
    <row r="202" spans="2:8" x14ac:dyDescent="0.35">
      <c r="B202" s="31" t="s">
        <v>708</v>
      </c>
      <c r="C202" s="29">
        <v>6120</v>
      </c>
      <c r="D202" s="46"/>
      <c r="E202" s="43"/>
      <c r="F202" s="47"/>
      <c r="G202" s="47"/>
      <c r="H202" s="40"/>
    </row>
    <row r="203" spans="2:8" x14ac:dyDescent="0.35">
      <c r="B203" s="31" t="s">
        <v>709</v>
      </c>
      <c r="C203" s="29">
        <v>20704.982399999997</v>
      </c>
      <c r="D203" s="46"/>
      <c r="E203" s="43"/>
      <c r="F203" s="47"/>
      <c r="G203" s="47"/>
      <c r="H203" s="40"/>
    </row>
    <row r="204" spans="2:8" x14ac:dyDescent="0.35">
      <c r="B204" s="31" t="s">
        <v>710</v>
      </c>
      <c r="C204" s="29">
        <v>0</v>
      </c>
      <c r="D204" s="46"/>
      <c r="E204" s="43"/>
      <c r="F204" s="47"/>
      <c r="G204" s="47"/>
      <c r="H204" s="40"/>
    </row>
    <row r="205" spans="2:8" x14ac:dyDescent="0.35">
      <c r="B205" s="31" t="s">
        <v>711</v>
      </c>
      <c r="C205" s="29">
        <v>0</v>
      </c>
      <c r="D205" s="46"/>
      <c r="E205" s="43"/>
      <c r="F205" s="47"/>
      <c r="G205" s="47"/>
      <c r="H205" s="40"/>
    </row>
    <row r="206" spans="2:8" x14ac:dyDescent="0.35">
      <c r="B206" s="31" t="s">
        <v>712</v>
      </c>
      <c r="C206" s="29">
        <v>0</v>
      </c>
      <c r="D206" s="46"/>
      <c r="E206" s="43"/>
      <c r="F206" s="47"/>
      <c r="G206" s="47"/>
      <c r="H206" s="40"/>
    </row>
    <row r="207" spans="2:8" x14ac:dyDescent="0.35">
      <c r="B207" s="31" t="s">
        <v>713</v>
      </c>
      <c r="C207" s="29">
        <v>0</v>
      </c>
      <c r="D207" s="46"/>
      <c r="E207" s="43"/>
      <c r="F207" s="47"/>
      <c r="G207" s="47"/>
      <c r="H207" s="40"/>
    </row>
    <row r="208" spans="2:8" x14ac:dyDescent="0.35">
      <c r="B208" s="31" t="s">
        <v>714</v>
      </c>
      <c r="C208" s="29">
        <v>148571.77640000003</v>
      </c>
      <c r="D208" s="46"/>
      <c r="E208" s="43"/>
      <c r="F208" s="47"/>
      <c r="G208" s="47"/>
      <c r="H208" s="40"/>
    </row>
    <row r="209" spans="2:8" x14ac:dyDescent="0.35">
      <c r="B209" s="31" t="s">
        <v>715</v>
      </c>
      <c r="C209" s="29">
        <v>66629.849999999991</v>
      </c>
      <c r="D209" s="46"/>
      <c r="E209" s="43"/>
      <c r="F209" s="47"/>
      <c r="G209" s="47"/>
      <c r="H209" s="40"/>
    </row>
    <row r="210" spans="2:8" x14ac:dyDescent="0.35">
      <c r="B210" s="31" t="s">
        <v>716</v>
      </c>
      <c r="C210" s="29">
        <v>-3504.116</v>
      </c>
      <c r="D210" s="46"/>
      <c r="E210" s="43"/>
      <c r="F210" s="47"/>
      <c r="G210" s="47"/>
      <c r="H210" s="40"/>
    </row>
    <row r="211" spans="2:8" x14ac:dyDescent="0.35">
      <c r="B211" s="31" t="s">
        <v>717</v>
      </c>
      <c r="C211" s="29">
        <v>159.82220000000001</v>
      </c>
      <c r="D211" s="46"/>
      <c r="E211" s="43"/>
      <c r="F211" s="47"/>
      <c r="G211" s="47"/>
      <c r="H211" s="40"/>
    </row>
    <row r="212" spans="2:8" x14ac:dyDescent="0.35">
      <c r="B212" s="31" t="s">
        <v>718</v>
      </c>
      <c r="C212" s="29">
        <v>-18208.349999999999</v>
      </c>
      <c r="D212" s="46"/>
      <c r="E212" s="43"/>
      <c r="F212" s="47"/>
      <c r="G212" s="47"/>
      <c r="H212" s="40"/>
    </row>
    <row r="213" spans="2:8" x14ac:dyDescent="0.35">
      <c r="B213" s="31" t="s">
        <v>719</v>
      </c>
      <c r="C213" s="29">
        <v>85186.987599999993</v>
      </c>
      <c r="D213" s="46"/>
      <c r="E213" s="43"/>
      <c r="F213" s="47"/>
      <c r="G213" s="47"/>
      <c r="H213" s="40"/>
    </row>
    <row r="214" spans="2:8" x14ac:dyDescent="0.35">
      <c r="B214" s="31" t="s">
        <v>720</v>
      </c>
      <c r="C214" s="29">
        <v>0</v>
      </c>
      <c r="D214" s="46"/>
      <c r="E214" s="43"/>
      <c r="F214" s="47"/>
      <c r="G214" s="47"/>
      <c r="H214" s="40"/>
    </row>
    <row r="215" spans="2:8" x14ac:dyDescent="0.35">
      <c r="B215" s="31" t="s">
        <v>721</v>
      </c>
      <c r="C215" s="29">
        <v>726308.80480000004</v>
      </c>
      <c r="D215" s="46"/>
      <c r="E215" s="43"/>
      <c r="F215" s="47"/>
      <c r="G215" s="47"/>
      <c r="H215" s="40"/>
    </row>
    <row r="216" spans="2:8" x14ac:dyDescent="0.35">
      <c r="B216" s="31" t="s">
        <v>722</v>
      </c>
      <c r="C216" s="29">
        <v>50976</v>
      </c>
      <c r="D216" s="46"/>
      <c r="E216" s="43"/>
      <c r="F216" s="47"/>
      <c r="G216" s="47"/>
      <c r="H216" s="40"/>
    </row>
    <row r="217" spans="2:8" x14ac:dyDescent="0.35">
      <c r="B217" s="31" t="s">
        <v>723</v>
      </c>
      <c r="C217" s="29">
        <v>407551.09119999997</v>
      </c>
      <c r="D217" s="46"/>
      <c r="E217" s="43"/>
      <c r="F217" s="47"/>
      <c r="G217" s="47"/>
      <c r="H217" s="40"/>
    </row>
    <row r="218" spans="2:8" x14ac:dyDescent="0.35">
      <c r="B218" s="31" t="s">
        <v>724</v>
      </c>
      <c r="C218" s="29">
        <v>69696</v>
      </c>
      <c r="D218" s="46"/>
      <c r="E218" s="43"/>
      <c r="F218" s="47"/>
      <c r="G218" s="47"/>
      <c r="H218" s="40"/>
    </row>
    <row r="219" spans="2:8" x14ac:dyDescent="0.35">
      <c r="B219" s="31" t="s">
        <v>725</v>
      </c>
      <c r="C219" s="29">
        <v>5994.9359999999997</v>
      </c>
      <c r="D219" s="46"/>
      <c r="E219" s="43"/>
      <c r="F219" s="47"/>
      <c r="G219" s="47"/>
      <c r="H219" s="40"/>
    </row>
    <row r="220" spans="2:8" x14ac:dyDescent="0.35">
      <c r="B220" s="31" t="s">
        <v>726</v>
      </c>
      <c r="C220" s="29">
        <v>0</v>
      </c>
      <c r="D220" s="46"/>
      <c r="E220" s="43"/>
      <c r="F220" s="47"/>
      <c r="G220" s="47"/>
      <c r="H220" s="40"/>
    </row>
    <row r="221" spans="2:8" x14ac:dyDescent="0.35">
      <c r="B221" s="31" t="s">
        <v>727</v>
      </c>
      <c r="C221" s="29">
        <v>29565</v>
      </c>
      <c r="D221" s="46"/>
      <c r="E221" s="43"/>
      <c r="F221" s="47"/>
      <c r="G221" s="47"/>
      <c r="H221" s="40"/>
    </row>
    <row r="222" spans="2:8" x14ac:dyDescent="0.35">
      <c r="B222" s="31" t="s">
        <v>728</v>
      </c>
      <c r="C222" s="29">
        <v>10575</v>
      </c>
      <c r="D222" s="46"/>
      <c r="E222" s="43"/>
      <c r="F222" s="47"/>
      <c r="G222" s="47"/>
      <c r="H222" s="40"/>
    </row>
    <row r="223" spans="2:8" x14ac:dyDescent="0.35">
      <c r="B223" s="31" t="s">
        <v>729</v>
      </c>
      <c r="C223" s="29">
        <v>17200</v>
      </c>
      <c r="D223" s="46"/>
      <c r="E223" s="43"/>
      <c r="F223" s="47"/>
      <c r="G223" s="47"/>
      <c r="H223" s="40"/>
    </row>
    <row r="224" spans="2:8" x14ac:dyDescent="0.35">
      <c r="B224" s="31" t="s">
        <v>730</v>
      </c>
      <c r="C224" s="29">
        <v>94850.318800000008</v>
      </c>
      <c r="D224" s="46"/>
      <c r="E224" s="43"/>
      <c r="F224" s="47"/>
      <c r="G224" s="47"/>
      <c r="H224" s="40"/>
    </row>
    <row r="225" spans="2:8" x14ac:dyDescent="0.35">
      <c r="B225" s="31" t="s">
        <v>731</v>
      </c>
      <c r="C225" s="29">
        <v>0</v>
      </c>
      <c r="D225" s="46"/>
      <c r="E225" s="43"/>
      <c r="F225" s="47"/>
      <c r="G225" s="47"/>
      <c r="H225" s="40"/>
    </row>
    <row r="226" spans="2:8" x14ac:dyDescent="0.35">
      <c r="B226" s="31" t="s">
        <v>732</v>
      </c>
      <c r="C226" s="29">
        <v>-2356.3399999999997</v>
      </c>
      <c r="D226" s="46"/>
      <c r="E226" s="43"/>
      <c r="F226" s="47"/>
      <c r="G226" s="47"/>
      <c r="H226" s="40"/>
    </row>
    <row r="227" spans="2:8" x14ac:dyDescent="0.35">
      <c r="B227" s="31" t="s">
        <v>733</v>
      </c>
      <c r="C227" s="29">
        <v>91.781700000000015</v>
      </c>
      <c r="D227" s="46"/>
      <c r="E227" s="43"/>
      <c r="F227" s="47"/>
      <c r="G227" s="47"/>
      <c r="H227" s="40"/>
    </row>
    <row r="228" spans="2:8" x14ac:dyDescent="0.35">
      <c r="B228" s="31" t="s">
        <v>734</v>
      </c>
      <c r="C228" s="29">
        <v>-133.87500000000728</v>
      </c>
      <c r="D228" s="46"/>
      <c r="E228" s="43"/>
      <c r="F228" s="47"/>
      <c r="G228" s="47"/>
      <c r="H228" s="40"/>
    </row>
    <row r="229" spans="2:8" x14ac:dyDescent="0.35">
      <c r="B229" s="31" t="s">
        <v>735</v>
      </c>
      <c r="C229" s="29">
        <v>93939.989000000001</v>
      </c>
      <c r="D229" s="46"/>
      <c r="E229" s="43"/>
      <c r="F229" s="47"/>
      <c r="G229" s="47"/>
      <c r="H229" s="40"/>
    </row>
    <row r="230" spans="2:8" x14ac:dyDescent="0.35">
      <c r="B230" s="31" t="s">
        <v>736</v>
      </c>
      <c r="C230" s="29">
        <v>0</v>
      </c>
      <c r="D230" s="46"/>
      <c r="E230" s="43"/>
      <c r="F230" s="47"/>
      <c r="G230" s="47"/>
      <c r="H230" s="40"/>
    </row>
    <row r="231" spans="2:8" x14ac:dyDescent="0.35">
      <c r="B231" s="31" t="s">
        <v>737</v>
      </c>
      <c r="C231" s="29">
        <v>945930.47280000011</v>
      </c>
      <c r="D231" s="46"/>
      <c r="E231" s="43"/>
      <c r="F231" s="47"/>
      <c r="G231" s="47"/>
      <c r="H231" s="40"/>
    </row>
    <row r="232" spans="2:8" x14ac:dyDescent="0.35">
      <c r="B232" s="31" t="s">
        <v>738</v>
      </c>
      <c r="C232" s="29">
        <v>76099.679999999993</v>
      </c>
      <c r="D232" s="46"/>
      <c r="E232" s="43"/>
      <c r="F232" s="47"/>
      <c r="G232" s="47"/>
      <c r="H232" s="40"/>
    </row>
    <row r="233" spans="2:8" x14ac:dyDescent="0.35">
      <c r="B233" s="31" t="s">
        <v>739</v>
      </c>
      <c r="C233" s="29">
        <v>429041.48479999998</v>
      </c>
      <c r="D233" s="46"/>
      <c r="E233" s="43"/>
      <c r="F233" s="47"/>
      <c r="G233" s="47"/>
      <c r="H233" s="40"/>
    </row>
    <row r="234" spans="2:8" x14ac:dyDescent="0.35">
      <c r="B234" s="31" t="s">
        <v>740</v>
      </c>
      <c r="C234" s="29">
        <v>38304</v>
      </c>
      <c r="D234" s="46"/>
      <c r="E234" s="43"/>
      <c r="F234" s="47"/>
      <c r="G234" s="47"/>
      <c r="H234" s="40"/>
    </row>
    <row r="235" spans="2:8" x14ac:dyDescent="0.35">
      <c r="B235" s="31" t="s">
        <v>741</v>
      </c>
      <c r="C235" s="29">
        <v>5919.2064</v>
      </c>
      <c r="D235" s="46"/>
      <c r="E235" s="43"/>
      <c r="F235" s="47"/>
      <c r="G235" s="47"/>
      <c r="H235" s="40"/>
    </row>
    <row r="236" spans="2:8" x14ac:dyDescent="0.35">
      <c r="B236" s="31" t="s">
        <v>742</v>
      </c>
      <c r="C236" s="29">
        <v>0</v>
      </c>
      <c r="D236" s="46"/>
      <c r="E236" s="43"/>
      <c r="F236" s="47"/>
      <c r="G236" s="47"/>
      <c r="H236" s="40"/>
    </row>
    <row r="237" spans="2:8" x14ac:dyDescent="0.35">
      <c r="B237" s="31" t="s">
        <v>743</v>
      </c>
      <c r="C237" s="29">
        <v>72207.584999999992</v>
      </c>
      <c r="D237" s="46"/>
      <c r="E237" s="43"/>
      <c r="F237" s="47"/>
      <c r="G237" s="47"/>
      <c r="H237" s="40"/>
    </row>
    <row r="238" spans="2:8" x14ac:dyDescent="0.35">
      <c r="B238" s="31" t="s">
        <v>744</v>
      </c>
      <c r="C238" s="29">
        <v>27266.579999999998</v>
      </c>
      <c r="D238" s="46"/>
      <c r="E238" s="43"/>
      <c r="F238" s="47"/>
      <c r="G238" s="47"/>
      <c r="H238" s="40"/>
    </row>
    <row r="239" spans="2:8" x14ac:dyDescent="0.35">
      <c r="B239" s="31" t="s">
        <v>745</v>
      </c>
      <c r="C239" s="29">
        <v>6519.66</v>
      </c>
      <c r="D239" s="46"/>
      <c r="E239" s="43"/>
      <c r="F239" s="47"/>
      <c r="G239" s="47"/>
      <c r="H239" s="40"/>
    </row>
    <row r="240" spans="2:8" x14ac:dyDescent="0.35">
      <c r="B240" s="31" t="s">
        <v>746</v>
      </c>
      <c r="C240" s="29">
        <v>326575.60760000005</v>
      </c>
      <c r="D240" s="46"/>
      <c r="E240" s="43"/>
      <c r="F240" s="47"/>
      <c r="G240" s="47"/>
      <c r="H240" s="40"/>
    </row>
    <row r="241" spans="2:8" x14ac:dyDescent="0.35">
      <c r="B241" s="31" t="s">
        <v>747</v>
      </c>
      <c r="C241" s="29">
        <v>3617.7</v>
      </c>
      <c r="D241" s="46"/>
      <c r="E241" s="43"/>
      <c r="F241" s="47"/>
      <c r="G241" s="47"/>
      <c r="H241" s="40"/>
    </row>
    <row r="242" spans="2:8" x14ac:dyDescent="0.35">
      <c r="B242" s="31" t="s">
        <v>748</v>
      </c>
      <c r="C242" s="29">
        <v>-1746.164</v>
      </c>
      <c r="D242" s="46"/>
      <c r="E242" s="43"/>
      <c r="F242" s="47"/>
      <c r="G242" s="47"/>
      <c r="H242" s="40"/>
    </row>
    <row r="243" spans="2:8" x14ac:dyDescent="0.35">
      <c r="B243" s="31" t="s">
        <v>749</v>
      </c>
      <c r="C243" s="29">
        <v>244.62610000000004</v>
      </c>
      <c r="D243" s="46"/>
      <c r="E243" s="43"/>
      <c r="F243" s="47"/>
      <c r="G243" s="47"/>
      <c r="H243" s="40"/>
    </row>
    <row r="244" spans="2:8" x14ac:dyDescent="0.35">
      <c r="B244" s="31" t="s">
        <v>750</v>
      </c>
      <c r="C244" s="29">
        <v>-44440.574999999997</v>
      </c>
      <c r="D244" s="46"/>
      <c r="E244" s="43"/>
      <c r="F244" s="47"/>
      <c r="G244" s="47"/>
      <c r="H244" s="40"/>
    </row>
    <row r="245" spans="2:8" x14ac:dyDescent="0.35">
      <c r="B245" s="31" t="s">
        <v>751</v>
      </c>
      <c r="C245" s="29">
        <v>145968.89449999999</v>
      </c>
      <c r="D245" s="46"/>
      <c r="E245" s="43"/>
      <c r="F245" s="47"/>
      <c r="G245" s="47"/>
      <c r="H245" s="40"/>
    </row>
    <row r="246" spans="2:8" x14ac:dyDescent="0.35">
      <c r="B246" s="31" t="s">
        <v>752</v>
      </c>
      <c r="C246" s="29">
        <v>27560</v>
      </c>
      <c r="D246" s="46"/>
      <c r="E246" s="43"/>
      <c r="F246" s="47"/>
      <c r="G246" s="47"/>
      <c r="H246" s="40"/>
    </row>
    <row r="247" spans="2:8" x14ac:dyDescent="0.35">
      <c r="B247" s="31" t="s">
        <v>753</v>
      </c>
      <c r="C247" s="29">
        <v>679604.15150000004</v>
      </c>
      <c r="D247" s="46"/>
      <c r="E247" s="43"/>
      <c r="F247" s="47"/>
      <c r="G247" s="47"/>
      <c r="H247" s="40"/>
    </row>
    <row r="248" spans="2:8" x14ac:dyDescent="0.35">
      <c r="B248" s="31" t="s">
        <v>754</v>
      </c>
      <c r="C248" s="29">
        <v>0</v>
      </c>
      <c r="D248" s="46"/>
      <c r="E248" s="43"/>
      <c r="F248" s="47"/>
      <c r="G248" s="47"/>
      <c r="H248" s="40"/>
    </row>
    <row r="249" spans="2:8" x14ac:dyDescent="0.35">
      <c r="B249" s="31" t="s">
        <v>755</v>
      </c>
      <c r="C249" s="29">
        <v>549424.68639999989</v>
      </c>
      <c r="D249" s="46"/>
      <c r="E249" s="43"/>
      <c r="F249" s="47"/>
      <c r="G249" s="47"/>
      <c r="H249" s="40"/>
    </row>
    <row r="250" spans="2:8" x14ac:dyDescent="0.35">
      <c r="B250" s="31" t="s">
        <v>756</v>
      </c>
      <c r="C250" s="29">
        <v>11448</v>
      </c>
      <c r="D250" s="46"/>
      <c r="E250" s="43"/>
      <c r="F250" s="47"/>
      <c r="G250" s="47"/>
      <c r="H250" s="40"/>
    </row>
    <row r="251" spans="2:8" x14ac:dyDescent="0.35">
      <c r="B251" s="31" t="s">
        <v>757</v>
      </c>
      <c r="C251" s="29">
        <v>0</v>
      </c>
      <c r="D251" s="46"/>
      <c r="E251" s="43"/>
      <c r="F251" s="47"/>
      <c r="G251" s="47"/>
      <c r="H251" s="40"/>
    </row>
    <row r="252" spans="2:8" x14ac:dyDescent="0.35">
      <c r="B252" s="31" t="s">
        <v>758</v>
      </c>
      <c r="C252" s="29">
        <v>0</v>
      </c>
      <c r="D252" s="46"/>
      <c r="E252" s="43"/>
      <c r="F252" s="47"/>
      <c r="G252" s="47"/>
      <c r="H252" s="40"/>
    </row>
    <row r="253" spans="2:8" x14ac:dyDescent="0.35">
      <c r="B253" s="31" t="s">
        <v>759</v>
      </c>
      <c r="C253" s="29">
        <v>41824.620000000003</v>
      </c>
      <c r="D253" s="46"/>
      <c r="E253" s="43"/>
      <c r="F253" s="47"/>
      <c r="G253" s="47"/>
      <c r="H253" s="40"/>
    </row>
    <row r="254" spans="2:8" x14ac:dyDescent="0.35">
      <c r="B254" s="31" t="s">
        <v>760</v>
      </c>
      <c r="C254" s="29">
        <v>0</v>
      </c>
      <c r="D254" s="46"/>
      <c r="E254" s="43"/>
      <c r="F254" s="47"/>
      <c r="G254" s="47"/>
      <c r="H254" s="40"/>
    </row>
    <row r="255" spans="2:8" x14ac:dyDescent="0.35">
      <c r="B255" s="31" t="s">
        <v>761</v>
      </c>
      <c r="C255" s="29">
        <v>0</v>
      </c>
      <c r="D255" s="46"/>
      <c r="E255" s="43"/>
      <c r="F255" s="47"/>
      <c r="G255" s="47"/>
      <c r="H255" s="40"/>
    </row>
    <row r="256" spans="2:8" x14ac:dyDescent="0.35">
      <c r="B256" s="31" t="s">
        <v>762</v>
      </c>
      <c r="C256" s="29">
        <v>246918.6912</v>
      </c>
      <c r="D256" s="46"/>
      <c r="E256" s="43"/>
      <c r="F256" s="47"/>
      <c r="G256" s="47"/>
      <c r="H256" s="40"/>
    </row>
    <row r="257" spans="2:8" x14ac:dyDescent="0.35">
      <c r="B257" s="31" t="s">
        <v>763</v>
      </c>
      <c r="C257" s="29">
        <v>0</v>
      </c>
      <c r="D257" s="46"/>
      <c r="E257" s="43"/>
      <c r="F257" s="47"/>
      <c r="G257" s="47"/>
      <c r="H257" s="40"/>
    </row>
    <row r="258" spans="2:8" x14ac:dyDescent="0.35">
      <c r="B258" s="31" t="s">
        <v>764</v>
      </c>
      <c r="C258" s="29">
        <v>-3668.6019999999994</v>
      </c>
      <c r="D258" s="46"/>
      <c r="E258" s="43"/>
      <c r="F258" s="47"/>
      <c r="G258" s="47"/>
      <c r="H258" s="40"/>
    </row>
    <row r="259" spans="2:8" x14ac:dyDescent="0.35">
      <c r="B259" s="31" t="s">
        <v>765</v>
      </c>
      <c r="C259" s="29">
        <v>79.299500000000009</v>
      </c>
      <c r="D259" s="46"/>
      <c r="E259" s="43"/>
      <c r="F259" s="47"/>
      <c r="G259" s="47"/>
      <c r="H259" s="40"/>
    </row>
    <row r="260" spans="2:8" x14ac:dyDescent="0.35">
      <c r="B260" s="31" t="s">
        <v>766</v>
      </c>
      <c r="C260" s="29">
        <v>-32168.25</v>
      </c>
      <c r="D260" s="46"/>
      <c r="E260" s="43"/>
      <c r="F260" s="47"/>
      <c r="G260" s="47"/>
      <c r="H260" s="40"/>
    </row>
    <row r="261" spans="2:8" x14ac:dyDescent="0.35">
      <c r="B261" s="31" t="s">
        <v>767</v>
      </c>
      <c r="C261" s="29">
        <v>280861.08049999998</v>
      </c>
      <c r="D261" s="46"/>
      <c r="E261" s="43"/>
      <c r="F261" s="47"/>
      <c r="G261" s="47"/>
      <c r="H261" s="40"/>
    </row>
    <row r="262" spans="2:8" x14ac:dyDescent="0.35">
      <c r="B262" s="31" t="s">
        <v>768</v>
      </c>
      <c r="C262" s="29">
        <v>26320.542000000001</v>
      </c>
      <c r="D262" s="46"/>
      <c r="E262" s="43"/>
      <c r="F262" s="47"/>
      <c r="G262" s="47"/>
      <c r="H262" s="40"/>
    </row>
    <row r="263" spans="2:8" x14ac:dyDescent="0.35">
      <c r="B263" s="31" t="s">
        <v>769</v>
      </c>
      <c r="C263" s="29">
        <v>694552.68410000007</v>
      </c>
      <c r="D263" s="46"/>
      <c r="E263" s="43"/>
      <c r="F263" s="47"/>
      <c r="G263" s="47"/>
      <c r="H263" s="40"/>
    </row>
    <row r="264" spans="2:8" x14ac:dyDescent="0.35">
      <c r="B264" s="31" t="s">
        <v>770</v>
      </c>
      <c r="C264" s="29">
        <v>0</v>
      </c>
      <c r="D264" s="46"/>
      <c r="E264" s="43"/>
      <c r="F264" s="47"/>
      <c r="G264" s="47"/>
      <c r="H264" s="40"/>
    </row>
    <row r="265" spans="2:8" x14ac:dyDescent="0.35">
      <c r="B265" s="31" t="s">
        <v>771</v>
      </c>
      <c r="C265" s="29">
        <v>528938.58479999995</v>
      </c>
      <c r="D265" s="46"/>
      <c r="E265" s="43"/>
      <c r="F265" s="47"/>
      <c r="G265" s="47"/>
      <c r="H265" s="40"/>
    </row>
    <row r="266" spans="2:8" x14ac:dyDescent="0.35">
      <c r="B266" s="31" t="s">
        <v>772</v>
      </c>
      <c r="C266" s="29">
        <v>16531.2</v>
      </c>
      <c r="D266" s="46"/>
      <c r="E266" s="43"/>
      <c r="F266" s="47"/>
      <c r="G266" s="47"/>
      <c r="H266" s="40"/>
    </row>
    <row r="267" spans="2:8" x14ac:dyDescent="0.35">
      <c r="B267" s="31" t="s">
        <v>773</v>
      </c>
      <c r="C267" s="29">
        <v>3830.3999999999996</v>
      </c>
      <c r="D267" s="46"/>
      <c r="E267" s="43"/>
      <c r="F267" s="47"/>
      <c r="G267" s="47"/>
      <c r="H267" s="40"/>
    </row>
    <row r="268" spans="2:8" x14ac:dyDescent="0.35">
      <c r="B268" s="31" t="s">
        <v>774</v>
      </c>
      <c r="C268" s="29">
        <v>0</v>
      </c>
      <c r="D268" s="46"/>
      <c r="E268" s="43"/>
      <c r="F268" s="47"/>
      <c r="G268" s="47"/>
      <c r="H268" s="40"/>
    </row>
    <row r="269" spans="2:8" x14ac:dyDescent="0.35">
      <c r="B269" s="31" t="s">
        <v>775</v>
      </c>
      <c r="C269" s="29">
        <v>71507.88</v>
      </c>
      <c r="D269" s="46"/>
      <c r="E269" s="43"/>
      <c r="F269" s="47"/>
      <c r="G269" s="47"/>
      <c r="H269" s="40"/>
    </row>
    <row r="270" spans="2:8" x14ac:dyDescent="0.35">
      <c r="B270" s="31" t="s">
        <v>776</v>
      </c>
      <c r="C270" s="29">
        <v>5992.5</v>
      </c>
      <c r="D270" s="46"/>
      <c r="E270" s="43"/>
      <c r="F270" s="47"/>
      <c r="G270" s="47"/>
      <c r="H270" s="40"/>
    </row>
    <row r="271" spans="2:8" x14ac:dyDescent="0.35">
      <c r="B271" s="31" t="s">
        <v>777</v>
      </c>
      <c r="C271" s="29">
        <v>0</v>
      </c>
      <c r="D271" s="46"/>
      <c r="E271" s="43"/>
      <c r="F271" s="47"/>
      <c r="G271" s="47"/>
      <c r="H271" s="40"/>
    </row>
    <row r="272" spans="2:8" x14ac:dyDescent="0.35">
      <c r="B272" s="31" t="s">
        <v>778</v>
      </c>
      <c r="C272" s="29">
        <v>174288.89560000002</v>
      </c>
      <c r="D272" s="46"/>
      <c r="E272" s="43"/>
      <c r="F272" s="47"/>
      <c r="G272" s="47"/>
      <c r="H272" s="40"/>
    </row>
    <row r="273" spans="2:8" x14ac:dyDescent="0.35">
      <c r="B273" s="31" t="s">
        <v>779</v>
      </c>
      <c r="C273" s="29">
        <v>59147.999999999993</v>
      </c>
      <c r="D273" s="46"/>
      <c r="E273" s="43"/>
      <c r="F273" s="47"/>
      <c r="G273" s="47"/>
      <c r="H273" s="40"/>
    </row>
    <row r="274" spans="2:8" x14ac:dyDescent="0.35">
      <c r="B274" s="31" t="s">
        <v>780</v>
      </c>
      <c r="C274" s="29">
        <v>-4232.76</v>
      </c>
      <c r="D274" s="46"/>
      <c r="E274" s="43"/>
      <c r="F274" s="47"/>
      <c r="G274" s="47"/>
      <c r="H274" s="40"/>
    </row>
    <row r="275" spans="2:8" x14ac:dyDescent="0.35">
      <c r="B275" s="31" t="s">
        <v>781</v>
      </c>
      <c r="C275" s="29">
        <v>55.071800000000003</v>
      </c>
      <c r="D275" s="46"/>
      <c r="E275" s="43"/>
      <c r="F275" s="47"/>
      <c r="G275" s="47"/>
      <c r="H275" s="40"/>
    </row>
    <row r="276" spans="2:8" x14ac:dyDescent="0.35">
      <c r="B276" s="31" t="s">
        <v>782</v>
      </c>
      <c r="C276" s="29">
        <v>-11537.487499999999</v>
      </c>
      <c r="D276" s="46"/>
      <c r="E276" s="43"/>
      <c r="F276" s="47"/>
      <c r="G276" s="47"/>
      <c r="H276" s="40"/>
    </row>
    <row r="277" spans="2:8" x14ac:dyDescent="0.35">
      <c r="B277" s="31" t="s">
        <v>783</v>
      </c>
      <c r="C277" s="29">
        <v>417863.7034</v>
      </c>
      <c r="D277" s="46"/>
      <c r="E277" s="43"/>
      <c r="F277" s="47"/>
      <c r="G277" s="47"/>
      <c r="H277" s="40"/>
    </row>
    <row r="278" spans="2:8" x14ac:dyDescent="0.35">
      <c r="B278" s="31" t="s">
        <v>784</v>
      </c>
      <c r="C278" s="29">
        <v>0</v>
      </c>
      <c r="D278" s="46"/>
      <c r="E278" s="43"/>
      <c r="F278" s="47"/>
      <c r="G278" s="47"/>
      <c r="H278" s="40"/>
    </row>
    <row r="279" spans="2:8" x14ac:dyDescent="0.35">
      <c r="B279" s="31" t="s">
        <v>785</v>
      </c>
      <c r="C279" s="29">
        <v>839695.91420000012</v>
      </c>
      <c r="D279" s="46"/>
      <c r="E279" s="43"/>
      <c r="F279" s="47"/>
      <c r="G279" s="47"/>
      <c r="H279" s="40"/>
    </row>
    <row r="280" spans="2:8" x14ac:dyDescent="0.35">
      <c r="B280" s="31" t="s">
        <v>786</v>
      </c>
      <c r="C280" s="29">
        <v>158155.77599999998</v>
      </c>
      <c r="D280" s="46"/>
      <c r="E280" s="43"/>
      <c r="F280" s="47"/>
      <c r="G280" s="47"/>
      <c r="H280" s="40"/>
    </row>
    <row r="281" spans="2:8" x14ac:dyDescent="0.35">
      <c r="B281" s="31" t="s">
        <v>787</v>
      </c>
      <c r="C281" s="29">
        <v>707599.97599999991</v>
      </c>
      <c r="D281" s="46"/>
      <c r="E281" s="43"/>
      <c r="F281" s="47"/>
      <c r="G281" s="47"/>
      <c r="H281" s="40"/>
    </row>
    <row r="282" spans="2:8" x14ac:dyDescent="0.35">
      <c r="B282" s="31" t="s">
        <v>788</v>
      </c>
      <c r="C282" s="29">
        <v>7416</v>
      </c>
      <c r="D282" s="46"/>
      <c r="E282" s="43"/>
      <c r="F282" s="47"/>
      <c r="G282" s="47"/>
      <c r="H282" s="40"/>
    </row>
    <row r="283" spans="2:8" x14ac:dyDescent="0.35">
      <c r="B283" s="31" t="s">
        <v>789</v>
      </c>
      <c r="C283" s="29">
        <v>16323.7248</v>
      </c>
      <c r="D283" s="46"/>
      <c r="E283" s="43"/>
      <c r="F283" s="47"/>
      <c r="G283" s="47"/>
      <c r="H283" s="40"/>
    </row>
    <row r="284" spans="2:8" x14ac:dyDescent="0.35">
      <c r="B284" s="31" t="s">
        <v>790</v>
      </c>
      <c r="C284" s="29">
        <v>0</v>
      </c>
      <c r="D284" s="46"/>
      <c r="E284" s="43"/>
      <c r="F284" s="47"/>
      <c r="G284" s="47"/>
      <c r="H284" s="40"/>
    </row>
    <row r="285" spans="2:8" x14ac:dyDescent="0.35">
      <c r="B285" s="31" t="s">
        <v>791</v>
      </c>
      <c r="C285" s="29">
        <v>134254.66500000001</v>
      </c>
      <c r="D285" s="46"/>
      <c r="E285" s="43"/>
      <c r="F285" s="47"/>
      <c r="G285" s="47"/>
      <c r="H285" s="40"/>
    </row>
    <row r="286" spans="2:8" x14ac:dyDescent="0.35">
      <c r="B286" s="31" t="s">
        <v>792</v>
      </c>
      <c r="C286" s="29">
        <v>60644.1</v>
      </c>
      <c r="D286" s="46"/>
      <c r="E286" s="43"/>
      <c r="F286" s="47"/>
      <c r="G286" s="47"/>
      <c r="H286" s="40"/>
    </row>
    <row r="287" spans="2:8" x14ac:dyDescent="0.35">
      <c r="B287" s="31" t="s">
        <v>793</v>
      </c>
      <c r="C287" s="29">
        <v>452.36</v>
      </c>
      <c r="D287" s="46"/>
      <c r="E287" s="43"/>
      <c r="F287" s="47"/>
      <c r="G287" s="47"/>
      <c r="H287" s="40"/>
    </row>
    <row r="288" spans="2:8" x14ac:dyDescent="0.35">
      <c r="B288" s="31" t="s">
        <v>794</v>
      </c>
      <c r="C288" s="29">
        <v>350252.89840000001</v>
      </c>
      <c r="D288" s="46"/>
      <c r="E288" s="43"/>
      <c r="F288" s="47"/>
      <c r="G288" s="47"/>
      <c r="H288" s="40"/>
    </row>
    <row r="289" spans="2:8" x14ac:dyDescent="0.35">
      <c r="B289" s="31" t="s">
        <v>795</v>
      </c>
      <c r="C289" s="29">
        <v>7811.9999999999991</v>
      </c>
      <c r="D289" s="46"/>
      <c r="E289" s="43"/>
      <c r="F289" s="47"/>
      <c r="G289" s="47"/>
      <c r="H289" s="40"/>
    </row>
    <row r="290" spans="2:8" x14ac:dyDescent="0.35">
      <c r="B290" s="31" t="s">
        <v>796</v>
      </c>
      <c r="C290" s="29">
        <v>-3817.7439999999997</v>
      </c>
      <c r="D290" s="46"/>
      <c r="E290" s="43"/>
      <c r="F290" s="47"/>
      <c r="G290" s="47"/>
      <c r="H290" s="40"/>
    </row>
    <row r="291" spans="2:8" x14ac:dyDescent="0.35">
      <c r="B291" s="31" t="s">
        <v>797</v>
      </c>
      <c r="C291" s="29">
        <v>108.2115</v>
      </c>
      <c r="D291" s="46"/>
      <c r="E291" s="43"/>
      <c r="F291" s="47"/>
      <c r="G291" s="47"/>
      <c r="H291" s="40"/>
    </row>
    <row r="292" spans="2:8" x14ac:dyDescent="0.35">
      <c r="B292" s="31" t="s">
        <v>798</v>
      </c>
      <c r="C292" s="29">
        <v>-10270.6625</v>
      </c>
      <c r="D292" s="46"/>
      <c r="E292" s="43"/>
      <c r="F292" s="47"/>
      <c r="G292" s="47"/>
      <c r="H292" s="40"/>
    </row>
    <row r="293" spans="2:8" x14ac:dyDescent="0.35">
      <c r="B293" s="31" t="s">
        <v>799</v>
      </c>
      <c r="C293" s="29">
        <v>-334801.22389999998</v>
      </c>
      <c r="D293" s="46"/>
      <c r="E293" s="43"/>
      <c r="F293" s="47"/>
      <c r="G293" s="47"/>
      <c r="H293" s="40"/>
    </row>
    <row r="294" spans="2:8" x14ac:dyDescent="0.35">
      <c r="B294" s="31" t="s">
        <v>800</v>
      </c>
      <c r="C294" s="29">
        <v>0</v>
      </c>
      <c r="D294" s="46"/>
      <c r="E294" s="43"/>
      <c r="F294" s="47"/>
      <c r="G294" s="47"/>
      <c r="H294" s="40"/>
    </row>
    <row r="295" spans="2:8" x14ac:dyDescent="0.35">
      <c r="B295" s="31" t="s">
        <v>801</v>
      </c>
      <c r="C295" s="29">
        <v>-1026272.4867000001</v>
      </c>
      <c r="D295" s="46"/>
      <c r="E295" s="43"/>
      <c r="F295" s="47"/>
      <c r="G295" s="47"/>
      <c r="H295" s="40"/>
    </row>
    <row r="296" spans="2:8" x14ac:dyDescent="0.35">
      <c r="B296" s="31" t="s">
        <v>802</v>
      </c>
      <c r="C296" s="29">
        <v>-182275.19999999998</v>
      </c>
      <c r="D296" s="46"/>
      <c r="E296" s="43"/>
      <c r="F296" s="47"/>
      <c r="G296" s="47"/>
      <c r="H296" s="40"/>
    </row>
    <row r="297" spans="2:8" x14ac:dyDescent="0.35">
      <c r="B297" s="31" t="s">
        <v>803</v>
      </c>
      <c r="C297" s="29">
        <v>-542890.75679999997</v>
      </c>
      <c r="D297" s="46"/>
      <c r="E297" s="43"/>
      <c r="F297" s="47"/>
      <c r="G297" s="47"/>
      <c r="H297" s="40"/>
    </row>
    <row r="298" spans="2:8" x14ac:dyDescent="0.35">
      <c r="B298" s="31" t="s">
        <v>804</v>
      </c>
      <c r="C298" s="29">
        <v>-59400</v>
      </c>
      <c r="D298" s="46"/>
      <c r="E298" s="43"/>
      <c r="F298" s="47"/>
      <c r="G298" s="47"/>
      <c r="H298" s="40"/>
    </row>
    <row r="299" spans="2:8" x14ac:dyDescent="0.35">
      <c r="B299" s="31" t="s">
        <v>805</v>
      </c>
      <c r="C299" s="29">
        <v>0</v>
      </c>
      <c r="D299" s="46"/>
      <c r="E299" s="43"/>
      <c r="F299" s="47"/>
      <c r="G299" s="47"/>
      <c r="H299" s="40"/>
    </row>
    <row r="300" spans="2:8" x14ac:dyDescent="0.35">
      <c r="B300" s="31" t="s">
        <v>806</v>
      </c>
      <c r="C300" s="29">
        <v>0</v>
      </c>
      <c r="D300" s="46"/>
      <c r="E300" s="43"/>
      <c r="F300" s="47"/>
      <c r="G300" s="47"/>
      <c r="H300" s="40"/>
    </row>
    <row r="301" spans="2:8" x14ac:dyDescent="0.35">
      <c r="B301" s="31" t="s">
        <v>807</v>
      </c>
      <c r="C301" s="29">
        <v>0</v>
      </c>
      <c r="D301" s="46"/>
      <c r="E301" s="43"/>
      <c r="F301" s="47"/>
      <c r="G301" s="47"/>
      <c r="H301" s="40"/>
    </row>
    <row r="302" spans="2:8" x14ac:dyDescent="0.35">
      <c r="B302" s="31" t="s">
        <v>808</v>
      </c>
      <c r="C302" s="29">
        <v>0</v>
      </c>
      <c r="D302" s="46"/>
      <c r="E302" s="43"/>
      <c r="F302" s="47"/>
      <c r="G302" s="47"/>
      <c r="H302" s="40"/>
    </row>
    <row r="303" spans="2:8" x14ac:dyDescent="0.35">
      <c r="B303" s="31" t="s">
        <v>809</v>
      </c>
      <c r="C303" s="29">
        <v>0</v>
      </c>
      <c r="D303" s="46"/>
      <c r="E303" s="43"/>
      <c r="F303" s="47"/>
      <c r="G303" s="47"/>
      <c r="H303" s="40"/>
    </row>
    <row r="304" spans="2:8" x14ac:dyDescent="0.35">
      <c r="B304" s="31" t="s">
        <v>810</v>
      </c>
      <c r="C304" s="29">
        <v>-177675.96000000002</v>
      </c>
      <c r="D304" s="46"/>
      <c r="E304" s="43"/>
      <c r="F304" s="47"/>
      <c r="G304" s="47"/>
      <c r="H304" s="40"/>
    </row>
    <row r="305" spans="2:8" x14ac:dyDescent="0.35">
      <c r="B305" s="31" t="s">
        <v>811</v>
      </c>
      <c r="C305" s="29">
        <v>0</v>
      </c>
      <c r="D305" s="46"/>
      <c r="E305" s="43"/>
      <c r="F305" s="47"/>
      <c r="G305" s="47"/>
      <c r="H305" s="40"/>
    </row>
    <row r="306" spans="2:8" x14ac:dyDescent="0.35">
      <c r="B306" s="31" t="s">
        <v>812</v>
      </c>
      <c r="C306" s="29">
        <v>-7688.9259999999995</v>
      </c>
      <c r="D306" s="46"/>
      <c r="E306" s="43"/>
      <c r="F306" s="47"/>
      <c r="G306" s="47"/>
      <c r="H306" s="40"/>
    </row>
    <row r="307" spans="2:8" x14ac:dyDescent="0.35">
      <c r="B307" s="31" t="s">
        <v>813</v>
      </c>
      <c r="C307" s="29">
        <v>5974.4146000000001</v>
      </c>
      <c r="D307" s="46"/>
      <c r="E307" s="43"/>
      <c r="F307" s="47"/>
      <c r="G307" s="47"/>
      <c r="H307" s="40"/>
    </row>
    <row r="308" spans="2:8" x14ac:dyDescent="0.35">
      <c r="B308" s="31" t="s">
        <v>814</v>
      </c>
      <c r="C308" s="29">
        <v>-17417.724999999999</v>
      </c>
      <c r="D308" s="46"/>
      <c r="E308" s="43"/>
      <c r="F308" s="47"/>
      <c r="G308" s="47"/>
      <c r="H308" s="40"/>
    </row>
    <row r="309" spans="2:8" x14ac:dyDescent="0.35">
      <c r="B309" s="31" t="s">
        <v>815</v>
      </c>
      <c r="C309" s="29">
        <v>197648.15069999997</v>
      </c>
      <c r="D309" s="46"/>
      <c r="E309" s="43"/>
      <c r="F309" s="47"/>
      <c r="G309" s="47"/>
      <c r="H309" s="40"/>
    </row>
    <row r="310" spans="2:8" x14ac:dyDescent="0.35">
      <c r="B310" s="31" t="s">
        <v>816</v>
      </c>
      <c r="C310" s="29">
        <v>254506</v>
      </c>
      <c r="D310" s="46"/>
      <c r="E310" s="43"/>
      <c r="F310" s="47"/>
      <c r="G310" s="47"/>
      <c r="H310" s="40"/>
    </row>
    <row r="311" spans="2:8" x14ac:dyDescent="0.35">
      <c r="B311" s="31" t="s">
        <v>817</v>
      </c>
      <c r="C311" s="29">
        <v>526496.56890000007</v>
      </c>
      <c r="D311" s="46"/>
      <c r="E311" s="43"/>
      <c r="F311" s="47"/>
      <c r="G311" s="47"/>
      <c r="H311" s="40"/>
    </row>
    <row r="312" spans="2:8" x14ac:dyDescent="0.35">
      <c r="B312" s="31" t="s">
        <v>818</v>
      </c>
      <c r="C312" s="29">
        <v>58705.919999999998</v>
      </c>
      <c r="D312" s="46"/>
      <c r="E312" s="43"/>
      <c r="F312" s="47"/>
      <c r="G312" s="47"/>
      <c r="H312" s="40"/>
    </row>
    <row r="313" spans="2:8" x14ac:dyDescent="0.35">
      <c r="B313" s="31" t="s">
        <v>819</v>
      </c>
      <c r="C313" s="29">
        <v>480019.00400000002</v>
      </c>
      <c r="D313" s="46"/>
      <c r="E313" s="43"/>
      <c r="F313" s="47"/>
      <c r="G313" s="47"/>
      <c r="H313" s="40"/>
    </row>
    <row r="314" spans="2:8" x14ac:dyDescent="0.35">
      <c r="B314" s="31" t="s">
        <v>820</v>
      </c>
      <c r="C314" s="29">
        <v>0</v>
      </c>
      <c r="D314" s="46"/>
      <c r="E314" s="43"/>
      <c r="F314" s="47"/>
      <c r="G314" s="47"/>
      <c r="H314" s="40"/>
    </row>
    <row r="315" spans="2:8" x14ac:dyDescent="0.35">
      <c r="B315" s="31" t="s">
        <v>821</v>
      </c>
      <c r="C315" s="29">
        <v>2495.232</v>
      </c>
      <c r="D315" s="46"/>
      <c r="E315" s="43"/>
      <c r="F315" s="47"/>
      <c r="G315" s="47"/>
      <c r="H315" s="40"/>
    </row>
    <row r="316" spans="2:8" x14ac:dyDescent="0.35">
      <c r="B316" s="31" t="s">
        <v>822</v>
      </c>
      <c r="C316" s="29">
        <v>0</v>
      </c>
      <c r="D316" s="46"/>
      <c r="E316" s="43"/>
      <c r="F316" s="47"/>
      <c r="G316" s="47"/>
      <c r="H316" s="40"/>
    </row>
    <row r="317" spans="2:8" x14ac:dyDescent="0.35">
      <c r="B317" s="31" t="s">
        <v>823</v>
      </c>
      <c r="C317" s="29">
        <v>0</v>
      </c>
      <c r="D317" s="46"/>
      <c r="E317" s="43"/>
      <c r="F317" s="47"/>
      <c r="G317" s="47"/>
      <c r="H317" s="40"/>
    </row>
    <row r="318" spans="2:8" x14ac:dyDescent="0.35">
      <c r="B318" s="31" t="s">
        <v>824</v>
      </c>
      <c r="C318" s="29">
        <v>33734.25</v>
      </c>
      <c r="D318" s="46"/>
      <c r="E318" s="43"/>
      <c r="F318" s="47"/>
      <c r="G318" s="47"/>
      <c r="H318" s="40"/>
    </row>
    <row r="319" spans="2:8" x14ac:dyDescent="0.35">
      <c r="B319" s="31" t="s">
        <v>825</v>
      </c>
      <c r="C319" s="29">
        <v>0</v>
      </c>
      <c r="D319" s="46"/>
      <c r="E319" s="43"/>
      <c r="F319" s="47"/>
      <c r="G319" s="47"/>
      <c r="H319" s="40"/>
    </row>
    <row r="320" spans="2:8" x14ac:dyDescent="0.35">
      <c r="B320" s="31" t="s">
        <v>826</v>
      </c>
      <c r="C320" s="29">
        <v>41272</v>
      </c>
      <c r="D320" s="46"/>
      <c r="E320" s="43"/>
      <c r="F320" s="47"/>
      <c r="G320" s="47"/>
      <c r="H320" s="40"/>
    </row>
    <row r="321" spans="2:8" x14ac:dyDescent="0.35">
      <c r="B321" s="31" t="s">
        <v>827</v>
      </c>
      <c r="C321" s="29">
        <v>38827.5</v>
      </c>
      <c r="D321" s="46"/>
      <c r="E321" s="43"/>
      <c r="F321" s="47"/>
      <c r="G321" s="47"/>
      <c r="H321" s="40"/>
    </row>
    <row r="322" spans="2:8" x14ac:dyDescent="0.35">
      <c r="B322" s="31" t="s">
        <v>828</v>
      </c>
      <c r="C322" s="29">
        <v>-1761.396</v>
      </c>
      <c r="D322" s="46"/>
      <c r="E322" s="43"/>
      <c r="F322" s="47"/>
      <c r="G322" s="47"/>
      <c r="H322" s="40"/>
    </row>
    <row r="323" spans="2:8" x14ac:dyDescent="0.35">
      <c r="B323" s="31" t="s">
        <v>829</v>
      </c>
      <c r="C323" s="29">
        <v>104.02760000000002</v>
      </c>
      <c r="D323" s="46"/>
      <c r="E323" s="43"/>
      <c r="F323" s="47"/>
      <c r="G323" s="47"/>
      <c r="H323" s="40"/>
    </row>
    <row r="324" spans="2:8" x14ac:dyDescent="0.35">
      <c r="B324" s="31" t="s">
        <v>830</v>
      </c>
      <c r="C324" s="29">
        <v>-27168.449999999997</v>
      </c>
      <c r="D324" s="46"/>
      <c r="E324" s="43"/>
      <c r="F324" s="47"/>
      <c r="G324" s="47"/>
      <c r="H324" s="40"/>
    </row>
    <row r="325" spans="2:8" x14ac:dyDescent="0.35">
      <c r="B325" s="31" t="s">
        <v>831</v>
      </c>
      <c r="C325" s="29">
        <v>163957.40789999999</v>
      </c>
      <c r="D325" s="46"/>
      <c r="E325" s="43"/>
      <c r="F325" s="47"/>
      <c r="G325" s="47"/>
      <c r="H325" s="40"/>
    </row>
    <row r="326" spans="2:8" x14ac:dyDescent="0.35">
      <c r="B326" s="31" t="s">
        <v>832</v>
      </c>
      <c r="C326" s="29">
        <v>0</v>
      </c>
      <c r="D326" s="46"/>
      <c r="E326" s="43"/>
      <c r="F326" s="47"/>
      <c r="G326" s="47"/>
      <c r="H326" s="40"/>
    </row>
    <row r="327" spans="2:8" x14ac:dyDescent="0.35">
      <c r="B327" s="31" t="s">
        <v>833</v>
      </c>
      <c r="C327" s="29">
        <v>589727.00170000014</v>
      </c>
      <c r="D327" s="46"/>
      <c r="E327" s="43"/>
      <c r="F327" s="47"/>
      <c r="G327" s="47"/>
      <c r="H327" s="40"/>
    </row>
    <row r="328" spans="2:8" x14ac:dyDescent="0.35">
      <c r="B328" s="31" t="s">
        <v>834</v>
      </c>
      <c r="C328" s="29">
        <v>155792.9088</v>
      </c>
      <c r="D328" s="46"/>
      <c r="E328" s="43"/>
      <c r="F328" s="47"/>
      <c r="G328" s="47"/>
      <c r="H328" s="40"/>
    </row>
    <row r="329" spans="2:8" x14ac:dyDescent="0.35">
      <c r="B329" s="31" t="s">
        <v>835</v>
      </c>
      <c r="C329" s="29">
        <v>626165.14799999993</v>
      </c>
      <c r="D329" s="46"/>
      <c r="E329" s="43"/>
      <c r="F329" s="47"/>
      <c r="G329" s="47"/>
      <c r="H329" s="40"/>
    </row>
    <row r="330" spans="2:8" x14ac:dyDescent="0.35">
      <c r="B330" s="31" t="s">
        <v>836</v>
      </c>
      <c r="C330" s="29">
        <v>0</v>
      </c>
      <c r="D330" s="46"/>
      <c r="E330" s="43"/>
      <c r="F330" s="47"/>
      <c r="G330" s="47"/>
      <c r="H330" s="40"/>
    </row>
    <row r="331" spans="2:8" x14ac:dyDescent="0.35">
      <c r="B331" s="31" t="s">
        <v>837</v>
      </c>
      <c r="C331" s="29">
        <v>44182.843199999996</v>
      </c>
      <c r="D331" s="46"/>
      <c r="E331" s="43"/>
      <c r="F331" s="47"/>
      <c r="G331" s="47"/>
      <c r="H331" s="40"/>
    </row>
    <row r="332" spans="2:8" x14ac:dyDescent="0.35">
      <c r="B332" s="31" t="s">
        <v>838</v>
      </c>
      <c r="C332" s="29">
        <v>0</v>
      </c>
      <c r="D332" s="46"/>
      <c r="E332" s="43"/>
      <c r="F332" s="47"/>
      <c r="G332" s="47"/>
      <c r="H332" s="40"/>
    </row>
    <row r="333" spans="2:8" x14ac:dyDescent="0.35">
      <c r="B333" s="31" t="s">
        <v>839</v>
      </c>
      <c r="C333" s="29">
        <v>162183.73500000002</v>
      </c>
      <c r="D333" s="46"/>
      <c r="E333" s="43"/>
      <c r="F333" s="47"/>
      <c r="G333" s="47"/>
      <c r="H333" s="40"/>
    </row>
    <row r="334" spans="2:8" x14ac:dyDescent="0.35">
      <c r="B334" s="31" t="s">
        <v>840</v>
      </c>
      <c r="C334" s="29">
        <v>38483.129999999997</v>
      </c>
      <c r="D334" s="46"/>
      <c r="E334" s="43"/>
      <c r="F334" s="47"/>
      <c r="G334" s="47"/>
      <c r="H334" s="40"/>
    </row>
    <row r="335" spans="2:8" x14ac:dyDescent="0.35">
      <c r="B335" s="31" t="s">
        <v>841</v>
      </c>
      <c r="C335" s="29">
        <v>0</v>
      </c>
      <c r="D335" s="46"/>
      <c r="E335" s="43"/>
      <c r="F335" s="47"/>
      <c r="G335" s="47"/>
      <c r="H335" s="40"/>
    </row>
    <row r="336" spans="2:8" x14ac:dyDescent="0.35">
      <c r="B336" s="31" t="s">
        <v>842</v>
      </c>
      <c r="C336" s="29">
        <v>0</v>
      </c>
      <c r="D336" s="46"/>
      <c r="E336" s="43"/>
      <c r="F336" s="47"/>
      <c r="G336" s="47"/>
      <c r="H336" s="40"/>
    </row>
    <row r="337" spans="2:8" x14ac:dyDescent="0.35">
      <c r="B337" s="31" t="s">
        <v>843</v>
      </c>
      <c r="C337" s="29">
        <v>176979</v>
      </c>
      <c r="D337" s="46"/>
      <c r="E337" s="43"/>
      <c r="F337" s="47"/>
      <c r="G337" s="47"/>
      <c r="H337" s="40"/>
    </row>
    <row r="338" spans="2:8" x14ac:dyDescent="0.35">
      <c r="B338" s="31" t="s">
        <v>844</v>
      </c>
      <c r="C338" s="29">
        <v>-2972.1859999999997</v>
      </c>
      <c r="D338" s="46"/>
      <c r="E338" s="43"/>
      <c r="F338" s="47"/>
      <c r="G338" s="47"/>
      <c r="H338" s="40"/>
    </row>
    <row r="339" spans="2:8" x14ac:dyDescent="0.35">
      <c r="B339" s="31" t="s">
        <v>845</v>
      </c>
      <c r="C339" s="29">
        <v>5140.6787000000004</v>
      </c>
      <c r="D339" s="46"/>
      <c r="E339" s="43"/>
      <c r="F339" s="47"/>
      <c r="G339" s="47"/>
      <c r="H339" s="40"/>
    </row>
    <row r="340" spans="2:8" x14ac:dyDescent="0.35">
      <c r="B340" s="31" t="s">
        <v>846</v>
      </c>
      <c r="C340" s="29">
        <v>-7107.1624999999995</v>
      </c>
      <c r="D340" s="46"/>
      <c r="E340" s="43"/>
      <c r="F340" s="47"/>
      <c r="G340" s="47"/>
      <c r="H340" s="40"/>
    </row>
    <row r="341" spans="2:8" x14ac:dyDescent="0.35">
      <c r="B341" s="31" t="s">
        <v>847</v>
      </c>
      <c r="C341" s="29">
        <v>210881.7997</v>
      </c>
      <c r="D341" s="46"/>
      <c r="E341" s="43"/>
      <c r="F341" s="47"/>
      <c r="G341" s="47"/>
      <c r="H341" s="40"/>
    </row>
    <row r="342" spans="2:8" x14ac:dyDescent="0.35">
      <c r="B342" s="31" t="s">
        <v>848</v>
      </c>
      <c r="C342" s="29">
        <v>0</v>
      </c>
      <c r="D342" s="46"/>
      <c r="E342" s="43"/>
      <c r="F342" s="47"/>
      <c r="G342" s="47"/>
      <c r="H342" s="40"/>
    </row>
    <row r="343" spans="2:8" x14ac:dyDescent="0.35">
      <c r="B343" s="31" t="s">
        <v>849</v>
      </c>
      <c r="C343" s="29">
        <v>759149.66760000004</v>
      </c>
      <c r="D343" s="46"/>
      <c r="E343" s="43"/>
      <c r="F343" s="47"/>
      <c r="G343" s="47"/>
      <c r="H343" s="40"/>
    </row>
    <row r="344" spans="2:8" x14ac:dyDescent="0.35">
      <c r="B344" s="31" t="s">
        <v>850</v>
      </c>
      <c r="C344" s="29">
        <v>25855.200000000001</v>
      </c>
      <c r="D344" s="46"/>
      <c r="E344" s="43"/>
      <c r="F344" s="47"/>
      <c r="G344" s="47"/>
      <c r="H344" s="40"/>
    </row>
    <row r="345" spans="2:8" x14ac:dyDescent="0.35">
      <c r="B345" s="31" t="s">
        <v>851</v>
      </c>
      <c r="C345" s="29">
        <v>363536.90799999994</v>
      </c>
      <c r="D345" s="46"/>
      <c r="E345" s="43"/>
      <c r="F345" s="47"/>
      <c r="G345" s="47"/>
      <c r="H345" s="40"/>
    </row>
    <row r="346" spans="2:8" x14ac:dyDescent="0.35">
      <c r="B346" s="31" t="s">
        <v>852</v>
      </c>
      <c r="C346" s="29">
        <v>0</v>
      </c>
      <c r="D346" s="46"/>
      <c r="E346" s="43"/>
      <c r="F346" s="47"/>
      <c r="G346" s="47"/>
      <c r="H346" s="40"/>
    </row>
    <row r="347" spans="2:8" x14ac:dyDescent="0.35">
      <c r="B347" s="31" t="s">
        <v>853</v>
      </c>
      <c r="C347" s="29">
        <v>33331.2192</v>
      </c>
      <c r="D347" s="46"/>
      <c r="E347" s="43"/>
      <c r="F347" s="47"/>
      <c r="G347" s="47"/>
      <c r="H347" s="40"/>
    </row>
    <row r="348" spans="2:8" x14ac:dyDescent="0.35">
      <c r="B348" s="31" t="s">
        <v>854</v>
      </c>
      <c r="C348" s="29">
        <v>0</v>
      </c>
      <c r="D348" s="46"/>
      <c r="E348" s="43"/>
      <c r="F348" s="47"/>
      <c r="G348" s="47"/>
      <c r="H348" s="40"/>
    </row>
    <row r="349" spans="2:8" x14ac:dyDescent="0.35">
      <c r="B349" s="31" t="s">
        <v>855</v>
      </c>
      <c r="C349" s="29">
        <v>132145.69500000001</v>
      </c>
      <c r="D349" s="46"/>
      <c r="E349" s="43"/>
      <c r="F349" s="47"/>
      <c r="G349" s="47"/>
      <c r="H349" s="40"/>
    </row>
    <row r="350" spans="2:8" x14ac:dyDescent="0.35">
      <c r="B350" s="31" t="s">
        <v>856</v>
      </c>
      <c r="C350" s="29">
        <v>0</v>
      </c>
      <c r="D350" s="46"/>
      <c r="E350" s="43"/>
      <c r="F350" s="47"/>
      <c r="G350" s="47"/>
      <c r="H350" s="40"/>
    </row>
    <row r="351" spans="2:8" x14ac:dyDescent="0.35">
      <c r="B351" s="31" t="s">
        <v>857</v>
      </c>
      <c r="C351" s="29">
        <v>0</v>
      </c>
      <c r="D351" s="46"/>
      <c r="E351" s="43"/>
      <c r="F351" s="47"/>
      <c r="G351" s="47"/>
      <c r="H351" s="40"/>
    </row>
    <row r="352" spans="2:8" x14ac:dyDescent="0.35">
      <c r="B352" s="31" t="s">
        <v>858</v>
      </c>
      <c r="C352" s="29">
        <v>50294.166400000002</v>
      </c>
      <c r="D352" s="46"/>
      <c r="E352" s="43"/>
      <c r="F352" s="47"/>
      <c r="G352" s="47"/>
      <c r="H352" s="40"/>
    </row>
    <row r="353" spans="2:8" x14ac:dyDescent="0.35">
      <c r="B353" s="31" t="s">
        <v>859</v>
      </c>
      <c r="C353" s="29">
        <v>0</v>
      </c>
      <c r="D353" s="46"/>
      <c r="E353" s="43"/>
      <c r="F353" s="47"/>
      <c r="G353" s="47"/>
      <c r="H353" s="40"/>
    </row>
    <row r="354" spans="2:8" x14ac:dyDescent="0.35">
      <c r="B354" s="31" t="s">
        <v>860</v>
      </c>
      <c r="C354" s="29">
        <v>-2566.942</v>
      </c>
      <c r="D354" s="46"/>
      <c r="E354" s="43"/>
      <c r="F354" s="47"/>
      <c r="G354" s="47"/>
      <c r="H354" s="40"/>
    </row>
    <row r="355" spans="2:8" x14ac:dyDescent="0.35">
      <c r="B355" s="31" t="s">
        <v>861</v>
      </c>
      <c r="C355" s="29">
        <v>83.997700000000009</v>
      </c>
      <c r="D355" s="46"/>
      <c r="E355" s="43"/>
      <c r="F355" s="47"/>
      <c r="G355" s="47"/>
      <c r="H355" s="40"/>
    </row>
    <row r="356" spans="2:8" x14ac:dyDescent="0.35">
      <c r="B356" s="31" t="s">
        <v>862</v>
      </c>
      <c r="C356" s="29">
        <v>-90450.324999999997</v>
      </c>
      <c r="D356" s="46"/>
      <c r="E356" s="43"/>
      <c r="F356" s="47"/>
      <c r="G356" s="47"/>
      <c r="H356" s="40"/>
    </row>
    <row r="357" spans="2:8" x14ac:dyDescent="0.35">
      <c r="B357" s="31" t="s">
        <v>863</v>
      </c>
      <c r="C357" s="29">
        <v>108231.82369999999</v>
      </c>
      <c r="D357" s="46"/>
      <c r="E357" s="43"/>
      <c r="F357" s="47"/>
      <c r="G357" s="47"/>
      <c r="H357" s="40"/>
    </row>
    <row r="358" spans="2:8" x14ac:dyDescent="0.35">
      <c r="B358" s="31" t="s">
        <v>864</v>
      </c>
      <c r="C358" s="29">
        <v>0</v>
      </c>
      <c r="D358" s="46"/>
      <c r="E358" s="43"/>
      <c r="F358" s="47"/>
      <c r="G358" s="47"/>
      <c r="H358" s="40"/>
    </row>
    <row r="359" spans="2:8" x14ac:dyDescent="0.35">
      <c r="B359" s="31" t="s">
        <v>865</v>
      </c>
      <c r="C359" s="29">
        <v>771173.80700000015</v>
      </c>
      <c r="D359" s="46"/>
      <c r="E359" s="43"/>
      <c r="F359" s="47"/>
      <c r="G359" s="47"/>
      <c r="H359" s="40"/>
    </row>
    <row r="360" spans="2:8" x14ac:dyDescent="0.35">
      <c r="B360" s="31" t="s">
        <v>866</v>
      </c>
      <c r="C360" s="29">
        <v>29952</v>
      </c>
      <c r="D360" s="46"/>
      <c r="E360" s="43"/>
      <c r="F360" s="47"/>
      <c r="G360" s="47"/>
      <c r="H360" s="40"/>
    </row>
    <row r="361" spans="2:8" x14ac:dyDescent="0.35">
      <c r="B361" s="31" t="s">
        <v>867</v>
      </c>
      <c r="C361" s="29">
        <v>775290.1544</v>
      </c>
      <c r="D361" s="46"/>
      <c r="E361" s="43"/>
      <c r="F361" s="47"/>
      <c r="G361" s="47"/>
      <c r="H361" s="40"/>
    </row>
    <row r="362" spans="2:8" x14ac:dyDescent="0.35">
      <c r="B362" s="31" t="s">
        <v>868</v>
      </c>
      <c r="C362" s="29">
        <v>82800</v>
      </c>
      <c r="D362" s="46"/>
      <c r="E362" s="43"/>
      <c r="F362" s="47"/>
      <c r="G362" s="47"/>
      <c r="H362" s="40"/>
    </row>
    <row r="363" spans="2:8" x14ac:dyDescent="0.35">
      <c r="B363" s="31" t="s">
        <v>869</v>
      </c>
      <c r="C363" s="29">
        <v>18734.961599999999</v>
      </c>
      <c r="D363" s="46"/>
      <c r="E363" s="43"/>
      <c r="F363" s="47"/>
      <c r="G363" s="47"/>
      <c r="H363" s="40"/>
    </row>
    <row r="364" spans="2:8" x14ac:dyDescent="0.35">
      <c r="B364" s="31" t="s">
        <v>870</v>
      </c>
      <c r="C364" s="29">
        <v>0</v>
      </c>
      <c r="D364" s="46"/>
      <c r="E364" s="43"/>
      <c r="F364" s="47"/>
      <c r="G364" s="47"/>
      <c r="H364" s="40"/>
    </row>
    <row r="365" spans="2:8" x14ac:dyDescent="0.35">
      <c r="B365" s="31" t="s">
        <v>871</v>
      </c>
      <c r="C365" s="29">
        <v>0</v>
      </c>
      <c r="D365" s="46"/>
      <c r="E365" s="43"/>
      <c r="F365" s="47"/>
      <c r="G365" s="47"/>
      <c r="H365" s="40"/>
    </row>
    <row r="366" spans="2:8" x14ac:dyDescent="0.35">
      <c r="B366" s="31" t="s">
        <v>872</v>
      </c>
      <c r="C366" s="29">
        <v>0</v>
      </c>
      <c r="D366" s="46"/>
      <c r="E366" s="43"/>
      <c r="F366" s="47"/>
      <c r="G366" s="47"/>
      <c r="H366" s="40"/>
    </row>
    <row r="367" spans="2:8" x14ac:dyDescent="0.35">
      <c r="B367" s="31" t="s">
        <v>873</v>
      </c>
      <c r="C367" s="29">
        <v>0</v>
      </c>
      <c r="D367" s="46"/>
      <c r="E367" s="43"/>
      <c r="F367" s="47"/>
      <c r="G367" s="47"/>
      <c r="H367" s="40"/>
    </row>
    <row r="368" spans="2:8" x14ac:dyDescent="0.35">
      <c r="B368" s="31" t="s">
        <v>874</v>
      </c>
      <c r="C368" s="29">
        <v>16887.014999999999</v>
      </c>
      <c r="D368" s="46"/>
      <c r="E368" s="43"/>
      <c r="F368" s="47"/>
      <c r="G368" s="47"/>
      <c r="H368" s="40"/>
    </row>
    <row r="369" spans="2:8" x14ac:dyDescent="0.35">
      <c r="B369" s="31" t="s">
        <v>875</v>
      </c>
      <c r="C369" s="29">
        <v>0</v>
      </c>
      <c r="D369" s="46"/>
      <c r="E369" s="43"/>
      <c r="F369" s="47"/>
      <c r="G369" s="47"/>
      <c r="H369" s="40"/>
    </row>
    <row r="370" spans="2:8" x14ac:dyDescent="0.35">
      <c r="B370" s="31" t="s">
        <v>876</v>
      </c>
      <c r="C370" s="29">
        <v>-1793.0919999999999</v>
      </c>
      <c r="D370" s="46"/>
      <c r="E370" s="43"/>
      <c r="F370" s="47"/>
      <c r="G370" s="47"/>
      <c r="H370" s="40"/>
    </row>
    <row r="371" spans="2:8" x14ac:dyDescent="0.35">
      <c r="B371" s="31" t="s">
        <v>877</v>
      </c>
      <c r="C371" s="29">
        <v>107.54430000000002</v>
      </c>
      <c r="D371" s="46"/>
      <c r="E371" s="43"/>
      <c r="F371" s="47"/>
      <c r="G371" s="47"/>
      <c r="H371" s="40"/>
    </row>
    <row r="372" spans="2:8" x14ac:dyDescent="0.35">
      <c r="B372" s="31" t="s">
        <v>878</v>
      </c>
      <c r="C372" s="29">
        <v>-9672.3625000000011</v>
      </c>
      <c r="D372" s="46"/>
      <c r="E372" s="43"/>
      <c r="F372" s="47"/>
      <c r="G372" s="47"/>
      <c r="H372" s="40"/>
    </row>
    <row r="373" spans="2:8" x14ac:dyDescent="0.35">
      <c r="B373" s="31" t="s">
        <v>879</v>
      </c>
      <c r="C373" s="29">
        <v>204786.11009999999</v>
      </c>
      <c r="D373" s="46"/>
      <c r="E373" s="43"/>
      <c r="F373" s="47"/>
      <c r="G373" s="47"/>
      <c r="H373" s="40"/>
    </row>
    <row r="374" spans="2:8" x14ac:dyDescent="0.35">
      <c r="B374" s="31" t="s">
        <v>880</v>
      </c>
      <c r="C374" s="29">
        <v>0</v>
      </c>
      <c r="D374" s="46"/>
      <c r="E374" s="43"/>
      <c r="F374" s="47"/>
      <c r="G374" s="47"/>
      <c r="H374" s="40"/>
    </row>
    <row r="375" spans="2:8" x14ac:dyDescent="0.35">
      <c r="B375" s="31" t="s">
        <v>881</v>
      </c>
      <c r="C375" s="29">
        <v>924832.49680000008</v>
      </c>
      <c r="D375" s="46"/>
      <c r="E375" s="43"/>
      <c r="F375" s="47"/>
      <c r="G375" s="47"/>
      <c r="H375" s="40"/>
    </row>
    <row r="376" spans="2:8" x14ac:dyDescent="0.35">
      <c r="B376" s="31" t="s">
        <v>882</v>
      </c>
      <c r="C376" s="29">
        <v>168501.6</v>
      </c>
      <c r="D376" s="46"/>
      <c r="E376" s="43"/>
      <c r="F376" s="47"/>
      <c r="G376" s="47"/>
      <c r="H376" s="40"/>
    </row>
    <row r="377" spans="2:8" x14ac:dyDescent="0.35">
      <c r="B377" s="31" t="s">
        <v>883</v>
      </c>
      <c r="C377" s="29">
        <v>492990.54799999995</v>
      </c>
      <c r="D377" s="46"/>
      <c r="E377" s="43"/>
      <c r="F377" s="47"/>
      <c r="G377" s="47"/>
      <c r="H377" s="40"/>
    </row>
    <row r="378" spans="2:8" x14ac:dyDescent="0.35">
      <c r="B378" s="31" t="s">
        <v>884</v>
      </c>
      <c r="C378" s="29">
        <v>0</v>
      </c>
      <c r="D378" s="46"/>
      <c r="E378" s="43"/>
      <c r="F378" s="47"/>
      <c r="G378" s="47"/>
      <c r="H378" s="40"/>
    </row>
    <row r="379" spans="2:8" x14ac:dyDescent="0.35">
      <c r="B379" s="31" t="s">
        <v>885</v>
      </c>
      <c r="C379" s="29">
        <v>13147.199999999999</v>
      </c>
      <c r="D379" s="46"/>
      <c r="E379" s="43"/>
      <c r="F379" s="47"/>
      <c r="G379" s="47"/>
      <c r="H379" s="40"/>
    </row>
    <row r="380" spans="2:8" x14ac:dyDescent="0.35">
      <c r="B380" s="31" t="s">
        <v>886</v>
      </c>
      <c r="C380" s="29">
        <v>0</v>
      </c>
      <c r="D380" s="46"/>
      <c r="E380" s="43"/>
      <c r="F380" s="47"/>
      <c r="G380" s="47"/>
      <c r="H380" s="40"/>
    </row>
    <row r="381" spans="2:8" x14ac:dyDescent="0.35">
      <c r="B381" s="31" t="s">
        <v>887</v>
      </c>
      <c r="C381" s="29">
        <v>28875.149999999998</v>
      </c>
      <c r="D381" s="46"/>
      <c r="E381" s="43"/>
      <c r="F381" s="47"/>
      <c r="G381" s="47"/>
      <c r="H381" s="40"/>
    </row>
    <row r="382" spans="2:8" x14ac:dyDescent="0.35">
      <c r="B382" s="31" t="s">
        <v>888</v>
      </c>
      <c r="C382" s="29">
        <v>11711.46</v>
      </c>
      <c r="D382" s="46"/>
      <c r="E382" s="43"/>
      <c r="F382" s="47"/>
      <c r="G382" s="47"/>
      <c r="H382" s="40"/>
    </row>
    <row r="383" spans="2:8" x14ac:dyDescent="0.35">
      <c r="B383" s="31" t="s">
        <v>889</v>
      </c>
      <c r="C383" s="29">
        <v>0</v>
      </c>
      <c r="D383" s="46"/>
      <c r="E383" s="43"/>
      <c r="F383" s="47"/>
      <c r="G383" s="47"/>
      <c r="H383" s="40"/>
    </row>
    <row r="384" spans="2:8" x14ac:dyDescent="0.35">
      <c r="B384" s="31" t="s">
        <v>890</v>
      </c>
      <c r="C384" s="29">
        <v>102819.74099999999</v>
      </c>
      <c r="D384" s="46"/>
      <c r="E384" s="43"/>
      <c r="F384" s="47"/>
      <c r="G384" s="47"/>
      <c r="H384" s="40"/>
    </row>
    <row r="385" spans="2:8" x14ac:dyDescent="0.35">
      <c r="B385" s="31" t="s">
        <v>891</v>
      </c>
      <c r="C385" s="29">
        <v>89977.5</v>
      </c>
      <c r="D385" s="46"/>
      <c r="E385" s="43"/>
      <c r="F385" s="47"/>
      <c r="G385" s="47"/>
      <c r="H385" s="40"/>
    </row>
    <row r="386" spans="2:8" x14ac:dyDescent="0.35">
      <c r="B386" s="31" t="s">
        <v>892</v>
      </c>
      <c r="C386" s="29">
        <v>2440.6339999999996</v>
      </c>
      <c r="D386" s="46"/>
      <c r="E386" s="43"/>
      <c r="F386" s="47"/>
      <c r="G386" s="47"/>
      <c r="H386" s="40"/>
    </row>
    <row r="387" spans="2:8" x14ac:dyDescent="0.35">
      <c r="B387" s="31" t="s">
        <v>893</v>
      </c>
      <c r="C387" s="29">
        <v>137.92970000000003</v>
      </c>
      <c r="D387" s="46"/>
      <c r="E387" s="43"/>
      <c r="F387" s="47"/>
      <c r="G387" s="47"/>
      <c r="H387" s="40"/>
    </row>
    <row r="388" spans="2:8" x14ac:dyDescent="0.35">
      <c r="B388" s="31" t="s">
        <v>894</v>
      </c>
      <c r="C388" s="29">
        <v>-12637.5</v>
      </c>
      <c r="D388" s="46"/>
      <c r="E388" s="43"/>
      <c r="F388" s="47"/>
      <c r="G388" s="47"/>
      <c r="H388" s="40"/>
    </row>
    <row r="389" spans="2:8" x14ac:dyDescent="0.35">
      <c r="B389" s="31" t="s">
        <v>895</v>
      </c>
      <c r="C389" s="29">
        <v>639781.64249999996</v>
      </c>
      <c r="D389" s="46"/>
      <c r="E389" s="43"/>
      <c r="F389" s="47"/>
      <c r="G389" s="47"/>
      <c r="H389" s="40"/>
    </row>
    <row r="390" spans="2:8" x14ac:dyDescent="0.35">
      <c r="B390" s="31" t="s">
        <v>896</v>
      </c>
      <c r="C390" s="29">
        <v>4662.6432000000004</v>
      </c>
      <c r="D390" s="46"/>
      <c r="E390" s="43"/>
      <c r="F390" s="47"/>
      <c r="G390" s="47"/>
      <c r="H390" s="40"/>
    </row>
    <row r="391" spans="2:8" x14ac:dyDescent="0.35">
      <c r="B391" s="31" t="s">
        <v>897</v>
      </c>
      <c r="C391" s="29">
        <v>677494.70140000002</v>
      </c>
      <c r="D391" s="46"/>
      <c r="E391" s="43"/>
      <c r="F391" s="47"/>
      <c r="G391" s="47"/>
      <c r="H391" s="40"/>
    </row>
    <row r="392" spans="2:8" x14ac:dyDescent="0.35">
      <c r="B392" s="31" t="s">
        <v>898</v>
      </c>
      <c r="C392" s="29">
        <v>7200</v>
      </c>
      <c r="D392" s="46"/>
      <c r="E392" s="43"/>
      <c r="F392" s="47"/>
      <c r="G392" s="47"/>
      <c r="H392" s="40"/>
    </row>
    <row r="393" spans="2:8" x14ac:dyDescent="0.35">
      <c r="B393" s="31" t="s">
        <v>899</v>
      </c>
      <c r="C393" s="29">
        <v>453225.39919999993</v>
      </c>
      <c r="D393" s="46"/>
      <c r="E393" s="43"/>
      <c r="F393" s="47"/>
      <c r="G393" s="47"/>
      <c r="H393" s="40"/>
    </row>
    <row r="394" spans="2:8" x14ac:dyDescent="0.35">
      <c r="B394" s="31" t="s">
        <v>900</v>
      </c>
      <c r="C394" s="29">
        <v>96415.2</v>
      </c>
      <c r="D394" s="46"/>
      <c r="E394" s="43"/>
      <c r="F394" s="47"/>
      <c r="G394" s="47"/>
      <c r="H394" s="40"/>
    </row>
    <row r="395" spans="2:8" x14ac:dyDescent="0.35">
      <c r="B395" s="31" t="s">
        <v>901</v>
      </c>
      <c r="C395" s="29">
        <v>53991.705599999994</v>
      </c>
      <c r="D395" s="46"/>
      <c r="E395" s="43"/>
      <c r="F395" s="47"/>
      <c r="G395" s="47"/>
      <c r="H395" s="40"/>
    </row>
    <row r="396" spans="2:8" x14ac:dyDescent="0.35">
      <c r="B396" s="31" t="s">
        <v>902</v>
      </c>
      <c r="C396" s="29">
        <v>14211.999999999998</v>
      </c>
      <c r="D396" s="46"/>
      <c r="E396" s="43"/>
      <c r="F396" s="47"/>
      <c r="G396" s="47"/>
      <c r="H396" s="40"/>
    </row>
    <row r="397" spans="2:8" x14ac:dyDescent="0.35">
      <c r="B397" s="31" t="s">
        <v>903</v>
      </c>
      <c r="C397" s="29">
        <v>0</v>
      </c>
      <c r="D397" s="46"/>
      <c r="E397" s="43"/>
      <c r="F397" s="47"/>
      <c r="G397" s="47"/>
      <c r="H397" s="40"/>
    </row>
    <row r="398" spans="2:8" x14ac:dyDescent="0.35">
      <c r="B398" s="31" t="s">
        <v>904</v>
      </c>
      <c r="C398" s="29">
        <v>4230</v>
      </c>
      <c r="D398" s="46"/>
      <c r="E398" s="43"/>
      <c r="F398" s="47"/>
      <c r="G398" s="47"/>
      <c r="H398" s="40"/>
    </row>
    <row r="399" spans="2:8" x14ac:dyDescent="0.35">
      <c r="B399" s="31" t="s">
        <v>905</v>
      </c>
      <c r="C399" s="29">
        <v>0</v>
      </c>
      <c r="D399" s="46"/>
      <c r="E399" s="43"/>
      <c r="F399" s="47"/>
      <c r="G399" s="47"/>
      <c r="H399" s="40"/>
    </row>
    <row r="400" spans="2:8" x14ac:dyDescent="0.35">
      <c r="B400" s="31" t="s">
        <v>906</v>
      </c>
      <c r="C400" s="29">
        <v>295933.4792</v>
      </c>
      <c r="D400" s="46"/>
      <c r="E400" s="43"/>
      <c r="F400" s="47"/>
      <c r="G400" s="47"/>
      <c r="H400" s="40"/>
    </row>
    <row r="401" spans="2:8" x14ac:dyDescent="0.35">
      <c r="B401" s="31" t="s">
        <v>907</v>
      </c>
      <c r="C401" s="29">
        <v>9560.7533999999978</v>
      </c>
      <c r="D401" s="46"/>
      <c r="E401" s="43"/>
      <c r="F401" s="47"/>
      <c r="G401" s="47"/>
      <c r="H401" s="40"/>
    </row>
    <row r="402" spans="2:8" x14ac:dyDescent="0.35">
      <c r="B402" s="31" t="s">
        <v>908</v>
      </c>
      <c r="C402" s="29">
        <v>-3916.2059999999997</v>
      </c>
      <c r="D402" s="46"/>
      <c r="E402" s="43"/>
      <c r="F402" s="47"/>
      <c r="G402" s="47"/>
      <c r="H402" s="40"/>
    </row>
    <row r="403" spans="2:8" x14ac:dyDescent="0.35">
      <c r="B403" s="31" t="s">
        <v>909</v>
      </c>
      <c r="C403" s="29">
        <v>446.81550000000004</v>
      </c>
      <c r="D403" s="46"/>
      <c r="E403" s="43"/>
      <c r="F403" s="47"/>
      <c r="G403" s="47"/>
      <c r="H403" s="40"/>
    </row>
    <row r="404" spans="2:8" x14ac:dyDescent="0.35">
      <c r="B404" s="31" t="s">
        <v>910</v>
      </c>
      <c r="C404" s="29">
        <v>-18431.787499999999</v>
      </c>
      <c r="D404" s="46"/>
      <c r="E404" s="43"/>
      <c r="F404" s="47"/>
      <c r="G404" s="47"/>
      <c r="H404" s="40"/>
    </row>
    <row r="405" spans="2:8" x14ac:dyDescent="0.35">
      <c r="B405" s="31" t="s">
        <v>911</v>
      </c>
      <c r="C405" s="29">
        <v>461717.8566</v>
      </c>
      <c r="D405" s="46"/>
      <c r="E405" s="43"/>
      <c r="F405" s="47"/>
      <c r="G405" s="47"/>
      <c r="H405" s="40"/>
    </row>
    <row r="406" spans="2:8" x14ac:dyDescent="0.35">
      <c r="B406" s="31" t="s">
        <v>912</v>
      </c>
      <c r="C406" s="29">
        <v>93216.251600000003</v>
      </c>
      <c r="D406" s="46"/>
      <c r="E406" s="43"/>
      <c r="F406" s="47"/>
      <c r="G406" s="47"/>
      <c r="H406" s="40"/>
    </row>
    <row r="407" spans="2:8" x14ac:dyDescent="0.35">
      <c r="B407" s="31" t="s">
        <v>913</v>
      </c>
      <c r="C407" s="29">
        <v>591977.73140000005</v>
      </c>
      <c r="D407" s="46"/>
      <c r="E407" s="43"/>
      <c r="F407" s="47"/>
      <c r="G407" s="47"/>
      <c r="H407" s="40"/>
    </row>
    <row r="408" spans="2:8" x14ac:dyDescent="0.35">
      <c r="B408" s="31" t="s">
        <v>914</v>
      </c>
      <c r="C408" s="29">
        <v>100749.59999999999</v>
      </c>
      <c r="D408" s="46"/>
      <c r="E408" s="43"/>
      <c r="F408" s="47"/>
      <c r="G408" s="47"/>
      <c r="H408" s="40"/>
    </row>
    <row r="409" spans="2:8" x14ac:dyDescent="0.35">
      <c r="B409" s="31" t="s">
        <v>915</v>
      </c>
      <c r="C409" s="29">
        <v>318911.2144</v>
      </c>
      <c r="D409" s="46"/>
      <c r="E409" s="43"/>
      <c r="F409" s="47"/>
      <c r="G409" s="47"/>
      <c r="H409" s="40"/>
    </row>
    <row r="410" spans="2:8" x14ac:dyDescent="0.35">
      <c r="B410" s="31" t="s">
        <v>916</v>
      </c>
      <c r="C410" s="29">
        <v>4726.2239999999993</v>
      </c>
      <c r="D410" s="46"/>
      <c r="E410" s="43"/>
      <c r="F410" s="47"/>
      <c r="G410" s="47"/>
      <c r="H410" s="40"/>
    </row>
    <row r="411" spans="2:8" x14ac:dyDescent="0.35">
      <c r="B411" s="31" t="s">
        <v>917</v>
      </c>
      <c r="C411" s="29">
        <v>5018.2560000000003</v>
      </c>
      <c r="D411" s="46"/>
      <c r="E411" s="43"/>
      <c r="F411" s="47"/>
      <c r="G411" s="47"/>
      <c r="H411" s="40"/>
    </row>
    <row r="412" spans="2:8" x14ac:dyDescent="0.35">
      <c r="B412" s="31" t="s">
        <v>918</v>
      </c>
      <c r="C412" s="29">
        <v>0</v>
      </c>
      <c r="D412" s="46"/>
      <c r="E412" s="43"/>
      <c r="F412" s="47"/>
      <c r="G412" s="47"/>
      <c r="H412" s="40"/>
    </row>
    <row r="413" spans="2:8" x14ac:dyDescent="0.35">
      <c r="B413" s="31" t="s">
        <v>919</v>
      </c>
      <c r="C413" s="29">
        <v>18326.88</v>
      </c>
      <c r="D413" s="46"/>
      <c r="E413" s="43"/>
      <c r="F413" s="47"/>
      <c r="G413" s="47"/>
      <c r="H413" s="40"/>
    </row>
    <row r="414" spans="2:8" x14ac:dyDescent="0.35">
      <c r="B414" s="31" t="s">
        <v>920</v>
      </c>
      <c r="C414" s="29">
        <v>0</v>
      </c>
      <c r="D414" s="46"/>
      <c r="E414" s="43"/>
      <c r="F414" s="47"/>
      <c r="G414" s="47"/>
      <c r="H414" s="40"/>
    </row>
    <row r="415" spans="2:8" x14ac:dyDescent="0.35">
      <c r="B415" s="31" t="s">
        <v>921</v>
      </c>
      <c r="C415" s="29">
        <v>0</v>
      </c>
      <c r="D415" s="46"/>
      <c r="E415" s="43"/>
      <c r="F415" s="47"/>
      <c r="G415" s="47"/>
      <c r="H415" s="40"/>
    </row>
    <row r="416" spans="2:8" x14ac:dyDescent="0.35">
      <c r="B416" s="31" t="s">
        <v>922</v>
      </c>
      <c r="C416" s="29">
        <v>185493.07780000003</v>
      </c>
      <c r="D416" s="46"/>
      <c r="E416" s="43"/>
      <c r="F416" s="47"/>
      <c r="G416" s="47"/>
      <c r="H416" s="40"/>
    </row>
    <row r="417" spans="2:8" x14ac:dyDescent="0.35">
      <c r="B417" s="31" t="s">
        <v>923</v>
      </c>
      <c r="C417" s="29">
        <v>-766.82219999999995</v>
      </c>
      <c r="D417" s="46"/>
      <c r="E417" s="43"/>
      <c r="F417" s="47"/>
      <c r="G417" s="47"/>
      <c r="H417" s="40"/>
    </row>
    <row r="418" spans="2:8" x14ac:dyDescent="0.35">
      <c r="B418" s="31" t="s">
        <v>924</v>
      </c>
      <c r="C418" s="29">
        <v>-2057.902</v>
      </c>
      <c r="D418" s="46"/>
      <c r="E418" s="43"/>
      <c r="F418" s="47"/>
      <c r="G418" s="47"/>
      <c r="H418" s="40"/>
    </row>
    <row r="419" spans="2:8" x14ac:dyDescent="0.35">
      <c r="B419" s="31" t="s">
        <v>925</v>
      </c>
      <c r="C419" s="29">
        <v>91.281300000000016</v>
      </c>
      <c r="D419" s="46"/>
      <c r="E419" s="43"/>
      <c r="F419" s="47"/>
      <c r="G419" s="47"/>
      <c r="H419" s="40"/>
    </row>
    <row r="420" spans="2:8" x14ac:dyDescent="0.35">
      <c r="B420" s="31" t="s">
        <v>926</v>
      </c>
      <c r="C420" s="29">
        <v>-9963.7625000000007</v>
      </c>
      <c r="D420" s="46"/>
      <c r="E420" s="43"/>
      <c r="F420" s="47"/>
      <c r="G420" s="47"/>
      <c r="H420" s="40"/>
    </row>
    <row r="421" spans="2:8" x14ac:dyDescent="0.35">
      <c r="B421" s="31" t="s">
        <v>927</v>
      </c>
      <c r="C421" s="29">
        <v>483159.07639999996</v>
      </c>
      <c r="D421" s="46"/>
      <c r="E421" s="43"/>
      <c r="F421" s="47"/>
      <c r="G421" s="47"/>
      <c r="H421" s="40"/>
    </row>
    <row r="422" spans="2:8" x14ac:dyDescent="0.35">
      <c r="B422" s="31" t="s">
        <v>928</v>
      </c>
      <c r="C422" s="29">
        <v>2899.9268000000002</v>
      </c>
      <c r="D422" s="46"/>
      <c r="E422" s="43"/>
      <c r="F422" s="47"/>
      <c r="G422" s="47"/>
      <c r="H422" s="40"/>
    </row>
    <row r="423" spans="2:8" x14ac:dyDescent="0.35">
      <c r="B423" s="31" t="s">
        <v>929</v>
      </c>
      <c r="C423" s="29">
        <v>835060.34759999998</v>
      </c>
      <c r="D423" s="46"/>
      <c r="E423" s="43"/>
      <c r="F423" s="47"/>
      <c r="G423" s="47"/>
      <c r="H423" s="40"/>
    </row>
    <row r="424" spans="2:8" x14ac:dyDescent="0.35">
      <c r="B424" s="31" t="s">
        <v>930</v>
      </c>
      <c r="C424" s="29">
        <v>58068</v>
      </c>
      <c r="D424" s="46"/>
      <c r="E424" s="43"/>
      <c r="F424" s="47"/>
      <c r="G424" s="47"/>
      <c r="H424" s="40"/>
    </row>
    <row r="425" spans="2:8" x14ac:dyDescent="0.35">
      <c r="B425" s="31" t="s">
        <v>931</v>
      </c>
      <c r="C425" s="29">
        <v>460269.35599999991</v>
      </c>
      <c r="D425" s="46"/>
      <c r="E425" s="43"/>
      <c r="F425" s="47"/>
      <c r="G425" s="47"/>
      <c r="H425" s="40"/>
    </row>
    <row r="426" spans="2:8" x14ac:dyDescent="0.35">
      <c r="B426" s="31" t="s">
        <v>932</v>
      </c>
      <c r="C426" s="29">
        <v>109225.77119999999</v>
      </c>
      <c r="D426" s="46"/>
      <c r="E426" s="43"/>
      <c r="F426" s="47"/>
      <c r="G426" s="47"/>
      <c r="H426" s="40"/>
    </row>
    <row r="427" spans="2:8" x14ac:dyDescent="0.35">
      <c r="B427" s="31" t="s">
        <v>933</v>
      </c>
      <c r="C427" s="29">
        <v>16173.215999999999</v>
      </c>
      <c r="D427" s="46"/>
      <c r="E427" s="43"/>
      <c r="F427" s="47"/>
      <c r="G427" s="47"/>
      <c r="H427" s="40"/>
    </row>
    <row r="428" spans="2:8" x14ac:dyDescent="0.35">
      <c r="B428" s="31" t="s">
        <v>934</v>
      </c>
      <c r="C428" s="29">
        <v>0</v>
      </c>
      <c r="D428" s="46"/>
      <c r="E428" s="43"/>
      <c r="F428" s="47"/>
      <c r="G428" s="47"/>
      <c r="H428" s="40"/>
    </row>
    <row r="429" spans="2:8" x14ac:dyDescent="0.35">
      <c r="B429" s="31" t="s">
        <v>935</v>
      </c>
      <c r="C429" s="29">
        <v>44589.93</v>
      </c>
      <c r="D429" s="46"/>
      <c r="E429" s="43"/>
      <c r="F429" s="47"/>
      <c r="G429" s="47"/>
      <c r="H429" s="40"/>
    </row>
    <row r="430" spans="2:8" x14ac:dyDescent="0.35">
      <c r="B430" s="31" t="s">
        <v>936</v>
      </c>
      <c r="C430" s="29">
        <v>0</v>
      </c>
      <c r="D430" s="46"/>
      <c r="E430" s="43"/>
      <c r="F430" s="47"/>
      <c r="G430" s="47"/>
      <c r="H430" s="40"/>
    </row>
    <row r="431" spans="2:8" x14ac:dyDescent="0.35">
      <c r="B431" s="31" t="s">
        <v>937</v>
      </c>
      <c r="C431" s="29">
        <v>2681.136</v>
      </c>
      <c r="D431" s="46"/>
      <c r="E431" s="43"/>
      <c r="F431" s="47"/>
      <c r="G431" s="47"/>
      <c r="H431" s="40"/>
    </row>
    <row r="432" spans="2:8" x14ac:dyDescent="0.35">
      <c r="B432" s="31" t="s">
        <v>938</v>
      </c>
      <c r="C432" s="29">
        <v>250726.10020000002</v>
      </c>
      <c r="D432" s="46"/>
      <c r="E432" s="43"/>
      <c r="F432" s="47"/>
      <c r="G432" s="47"/>
      <c r="H432" s="40"/>
    </row>
    <row r="433" spans="2:8" x14ac:dyDescent="0.35">
      <c r="B433" s="31" t="s">
        <v>939</v>
      </c>
      <c r="C433" s="29">
        <v>0</v>
      </c>
      <c r="D433" s="46"/>
      <c r="E433" s="43"/>
      <c r="F433" s="47"/>
      <c r="G433" s="47"/>
      <c r="H433" s="40"/>
    </row>
    <row r="434" spans="2:8" x14ac:dyDescent="0.35">
      <c r="B434" s="31" t="s">
        <v>940</v>
      </c>
      <c r="C434" s="29">
        <v>-2830.7719999999999</v>
      </c>
      <c r="D434" s="46"/>
      <c r="E434" s="43"/>
      <c r="F434" s="47"/>
      <c r="G434" s="47"/>
      <c r="H434" s="40"/>
    </row>
    <row r="435" spans="2:8" x14ac:dyDescent="0.35">
      <c r="B435" s="31" t="s">
        <v>941</v>
      </c>
      <c r="C435" s="29">
        <v>-2463.4831000000004</v>
      </c>
      <c r="D435" s="46"/>
      <c r="E435" s="43"/>
      <c r="F435" s="47"/>
      <c r="G435" s="47"/>
      <c r="H435" s="40"/>
    </row>
    <row r="436" spans="2:8" x14ac:dyDescent="0.35">
      <c r="B436" s="31" t="s">
        <v>942</v>
      </c>
      <c r="C436" s="29">
        <v>-20599.462500000001</v>
      </c>
      <c r="D436" s="46"/>
      <c r="E436" s="43"/>
      <c r="F436" s="47"/>
      <c r="G436" s="47"/>
      <c r="H436" s="40"/>
    </row>
    <row r="437" spans="2:8" x14ac:dyDescent="0.35">
      <c r="B437" s="31" t="s">
        <v>943</v>
      </c>
      <c r="C437" s="29">
        <v>229776.80439999996</v>
      </c>
      <c r="D437" s="46"/>
      <c r="E437" s="43"/>
      <c r="F437" s="47"/>
      <c r="G437" s="47"/>
      <c r="H437" s="40"/>
    </row>
    <row r="438" spans="2:8" x14ac:dyDescent="0.35">
      <c r="B438" s="31" t="s">
        <v>944</v>
      </c>
      <c r="C438" s="29">
        <v>0</v>
      </c>
      <c r="D438" s="46"/>
      <c r="E438" s="43"/>
      <c r="F438" s="47"/>
      <c r="G438" s="47"/>
      <c r="H438" s="40"/>
    </row>
    <row r="439" spans="2:8" x14ac:dyDescent="0.35">
      <c r="B439" s="31" t="s">
        <v>945</v>
      </c>
      <c r="C439" s="29">
        <v>547513.79980000004</v>
      </c>
      <c r="D439" s="46"/>
      <c r="E439" s="43"/>
      <c r="F439" s="47"/>
      <c r="G439" s="47"/>
      <c r="H439" s="40"/>
    </row>
    <row r="440" spans="2:8" x14ac:dyDescent="0.35">
      <c r="B440" s="31" t="s">
        <v>946</v>
      </c>
      <c r="C440" s="29">
        <v>105645.59999999999</v>
      </c>
      <c r="D440" s="46"/>
      <c r="E440" s="43"/>
      <c r="F440" s="47"/>
      <c r="G440" s="47"/>
      <c r="H440" s="40"/>
    </row>
    <row r="441" spans="2:8" x14ac:dyDescent="0.35">
      <c r="B441" s="31" t="s">
        <v>947</v>
      </c>
      <c r="C441" s="29">
        <v>587696.18799999997</v>
      </c>
      <c r="D441" s="46"/>
      <c r="E441" s="43"/>
      <c r="F441" s="47"/>
      <c r="G441" s="47"/>
      <c r="H441" s="40"/>
    </row>
    <row r="442" spans="2:8" x14ac:dyDescent="0.35">
      <c r="B442" s="31" t="s">
        <v>948</v>
      </c>
      <c r="C442" s="29">
        <v>6470.971199999999</v>
      </c>
      <c r="D442" s="46"/>
      <c r="E442" s="43"/>
      <c r="F442" s="47"/>
      <c r="G442" s="47"/>
      <c r="H442" s="40"/>
    </row>
    <row r="443" spans="2:8" x14ac:dyDescent="0.35">
      <c r="B443" s="31" t="s">
        <v>949</v>
      </c>
      <c r="C443" s="29">
        <v>30437.8272</v>
      </c>
      <c r="D443" s="46"/>
      <c r="E443" s="43"/>
      <c r="F443" s="47"/>
      <c r="G443" s="47"/>
      <c r="H443" s="40"/>
    </row>
    <row r="444" spans="2:8" x14ac:dyDescent="0.35">
      <c r="B444" s="31" t="s">
        <v>950</v>
      </c>
      <c r="C444" s="29">
        <v>0</v>
      </c>
      <c r="D444" s="46"/>
      <c r="E444" s="43"/>
      <c r="F444" s="47"/>
      <c r="G444" s="47"/>
      <c r="H444" s="40"/>
    </row>
    <row r="445" spans="2:8" x14ac:dyDescent="0.35">
      <c r="B445" s="31" t="s">
        <v>951</v>
      </c>
      <c r="C445" s="29">
        <v>26983.800000000003</v>
      </c>
      <c r="D445" s="46"/>
      <c r="E445" s="43"/>
      <c r="F445" s="47"/>
      <c r="G445" s="47"/>
      <c r="H445" s="40"/>
    </row>
    <row r="446" spans="2:8" x14ac:dyDescent="0.35">
      <c r="B446" s="31" t="s">
        <v>952</v>
      </c>
      <c r="C446" s="29">
        <v>0</v>
      </c>
      <c r="D446" s="46"/>
      <c r="E446" s="43"/>
      <c r="F446" s="47"/>
      <c r="G446" s="47"/>
      <c r="H446" s="40"/>
    </row>
    <row r="447" spans="2:8" x14ac:dyDescent="0.35">
      <c r="B447" s="31" t="s">
        <v>953</v>
      </c>
      <c r="C447" s="29">
        <v>1871.8158000000001</v>
      </c>
      <c r="D447" s="46"/>
      <c r="E447" s="43"/>
      <c r="F447" s="47"/>
      <c r="G447" s="47"/>
      <c r="H447" s="40"/>
    </row>
    <row r="448" spans="2:8" x14ac:dyDescent="0.35">
      <c r="B448" s="31" t="s">
        <v>954</v>
      </c>
      <c r="C448" s="29">
        <v>162866.49440000003</v>
      </c>
      <c r="D448" s="46"/>
      <c r="E448" s="43"/>
      <c r="F448" s="47"/>
      <c r="G448" s="47"/>
      <c r="H448" s="40"/>
    </row>
    <row r="449" spans="2:8" x14ac:dyDescent="0.35">
      <c r="B449" s="31" t="s">
        <v>955</v>
      </c>
      <c r="C449" s="29">
        <v>48708.75</v>
      </c>
      <c r="D449" s="46"/>
      <c r="E449" s="43"/>
      <c r="F449" s="47"/>
      <c r="G449" s="47"/>
      <c r="H449" s="40"/>
    </row>
    <row r="450" spans="2:8" x14ac:dyDescent="0.35">
      <c r="B450" s="31" t="s">
        <v>956</v>
      </c>
      <c r="C450" s="29">
        <v>-4237.1279999999997</v>
      </c>
      <c r="D450" s="46"/>
      <c r="E450" s="43"/>
      <c r="F450" s="47"/>
      <c r="G450" s="47"/>
      <c r="H450" s="40"/>
    </row>
    <row r="451" spans="2:8" x14ac:dyDescent="0.35">
      <c r="B451" s="31" t="s">
        <v>957</v>
      </c>
      <c r="C451" s="29">
        <v>1393.2387000000001</v>
      </c>
      <c r="D451" s="46"/>
      <c r="E451" s="43"/>
      <c r="F451" s="47"/>
      <c r="G451" s="47"/>
      <c r="H451" s="40"/>
    </row>
    <row r="452" spans="2:8" x14ac:dyDescent="0.35">
      <c r="B452" s="31" t="s">
        <v>958</v>
      </c>
      <c r="C452" s="29">
        <v>-9313.3250000000007</v>
      </c>
      <c r="D452" s="46"/>
      <c r="E452" s="43"/>
      <c r="F452" s="47"/>
      <c r="G452" s="47"/>
      <c r="H452" s="40"/>
    </row>
    <row r="453" spans="2:8" x14ac:dyDescent="0.35">
      <c r="B453" s="31" t="s">
        <v>959</v>
      </c>
      <c r="C453" s="29">
        <v>305738.97639999999</v>
      </c>
      <c r="D453" s="46"/>
      <c r="E453" s="43"/>
      <c r="F453" s="47"/>
      <c r="G453" s="47"/>
      <c r="H453" s="40"/>
    </row>
    <row r="454" spans="2:8" x14ac:dyDescent="0.35">
      <c r="B454" s="31" t="s">
        <v>960</v>
      </c>
      <c r="C454" s="29">
        <v>0</v>
      </c>
      <c r="D454" s="46"/>
      <c r="E454" s="43"/>
      <c r="F454" s="47"/>
      <c r="G454" s="47"/>
      <c r="H454" s="40"/>
    </row>
    <row r="455" spans="2:8" x14ac:dyDescent="0.35">
      <c r="B455" s="31" t="s">
        <v>961</v>
      </c>
      <c r="C455" s="29">
        <v>679021.14380000008</v>
      </c>
      <c r="D455" s="46"/>
      <c r="E455" s="43"/>
      <c r="F455" s="47"/>
      <c r="G455" s="47"/>
      <c r="H455" s="40"/>
    </row>
    <row r="456" spans="2:8" x14ac:dyDescent="0.35">
      <c r="B456" s="31" t="s">
        <v>962</v>
      </c>
      <c r="C456" s="29">
        <v>119403.36</v>
      </c>
      <c r="D456" s="46"/>
      <c r="E456" s="43"/>
      <c r="F456" s="47"/>
      <c r="G456" s="47"/>
      <c r="H456" s="40"/>
    </row>
    <row r="457" spans="2:8" x14ac:dyDescent="0.35">
      <c r="B457" s="31" t="s">
        <v>963</v>
      </c>
      <c r="C457" s="29">
        <v>439148.39279999991</v>
      </c>
      <c r="D457" s="46"/>
      <c r="E457" s="43"/>
      <c r="F457" s="47"/>
      <c r="G457" s="47"/>
      <c r="H457" s="40"/>
    </row>
    <row r="458" spans="2:8" x14ac:dyDescent="0.35">
      <c r="B458" s="31" t="s">
        <v>964</v>
      </c>
      <c r="C458" s="29">
        <v>72659.851200000005</v>
      </c>
      <c r="D458" s="46"/>
      <c r="E458" s="43"/>
      <c r="F458" s="47"/>
      <c r="G458" s="47"/>
      <c r="H458" s="40"/>
    </row>
    <row r="459" spans="2:8" x14ac:dyDescent="0.35">
      <c r="B459" s="31" t="s">
        <v>965</v>
      </c>
      <c r="C459" s="29">
        <v>10182.585599999999</v>
      </c>
      <c r="D459" s="46"/>
      <c r="E459" s="43"/>
      <c r="F459" s="47"/>
      <c r="G459" s="47"/>
      <c r="H459" s="40"/>
    </row>
    <row r="460" spans="2:8" x14ac:dyDescent="0.35">
      <c r="B460" s="31" t="s">
        <v>966</v>
      </c>
      <c r="C460" s="29">
        <v>0</v>
      </c>
      <c r="D460" s="46"/>
      <c r="E460" s="43"/>
      <c r="F460" s="47"/>
      <c r="G460" s="47"/>
      <c r="H460" s="40"/>
    </row>
    <row r="461" spans="2:8" x14ac:dyDescent="0.35">
      <c r="B461" s="31" t="s">
        <v>967</v>
      </c>
      <c r="C461" s="29">
        <v>27781.245000000003</v>
      </c>
      <c r="D461" s="46"/>
      <c r="E461" s="43"/>
      <c r="F461" s="47"/>
      <c r="G461" s="47"/>
      <c r="H461" s="40"/>
    </row>
    <row r="462" spans="2:8" x14ac:dyDescent="0.35">
      <c r="B462" s="31" t="s">
        <v>968</v>
      </c>
      <c r="C462" s="29">
        <v>117382.5</v>
      </c>
      <c r="D462" s="46"/>
      <c r="E462" s="43"/>
      <c r="F462" s="47"/>
      <c r="G462" s="47"/>
      <c r="H462" s="40"/>
    </row>
    <row r="463" spans="2:8" x14ac:dyDescent="0.35">
      <c r="B463" s="31" t="s">
        <v>969</v>
      </c>
      <c r="C463" s="29">
        <v>0</v>
      </c>
      <c r="D463" s="46"/>
      <c r="E463" s="43"/>
      <c r="F463" s="47"/>
      <c r="G463" s="47"/>
      <c r="H463" s="40"/>
    </row>
    <row r="464" spans="2:8" x14ac:dyDescent="0.35">
      <c r="B464" s="31" t="s">
        <v>970</v>
      </c>
      <c r="C464" s="29">
        <v>145175.76079999999</v>
      </c>
      <c r="D464" s="46"/>
      <c r="E464" s="43"/>
      <c r="F464" s="47"/>
      <c r="G464" s="47"/>
      <c r="H464" s="40"/>
    </row>
    <row r="465" spans="2:8" x14ac:dyDescent="0.35">
      <c r="B465" s="31" t="s">
        <v>971</v>
      </c>
      <c r="C465" s="29">
        <v>10604.789999999999</v>
      </c>
      <c r="D465" s="46"/>
      <c r="E465" s="43"/>
      <c r="F465" s="47"/>
      <c r="G465" s="47"/>
      <c r="H465" s="40"/>
    </row>
    <row r="466" spans="2:8" x14ac:dyDescent="0.35">
      <c r="B466" s="31" t="s">
        <v>972</v>
      </c>
      <c r="C466" s="29">
        <v>-6495.985999999999</v>
      </c>
      <c r="D466" s="46"/>
      <c r="E466" s="43"/>
      <c r="F466" s="47"/>
      <c r="G466" s="47"/>
      <c r="H466" s="40"/>
    </row>
    <row r="467" spans="2:8" x14ac:dyDescent="0.35">
      <c r="B467" s="31" t="s">
        <v>973</v>
      </c>
      <c r="C467" s="29">
        <v>4302.0778</v>
      </c>
      <c r="D467" s="46"/>
      <c r="E467" s="43"/>
      <c r="F467" s="47"/>
      <c r="G467" s="47"/>
      <c r="H467" s="40"/>
    </row>
    <row r="468" spans="2:8" x14ac:dyDescent="0.35">
      <c r="B468" s="31" t="s">
        <v>974</v>
      </c>
      <c r="C468" s="29">
        <v>-36913.800000000003</v>
      </c>
      <c r="D468" s="46"/>
      <c r="E468" s="43"/>
      <c r="F468" s="47"/>
      <c r="G468" s="47"/>
      <c r="H468" s="40"/>
    </row>
    <row r="469" spans="2:8" x14ac:dyDescent="0.35">
      <c r="B469" s="31" t="s">
        <v>975</v>
      </c>
      <c r="C469" s="29">
        <v>435477.19929999998</v>
      </c>
      <c r="D469" s="46"/>
      <c r="E469" s="43"/>
      <c r="F469" s="47"/>
      <c r="G469" s="47"/>
      <c r="H469" s="40"/>
    </row>
    <row r="470" spans="2:8" x14ac:dyDescent="0.35">
      <c r="B470" s="31" t="s">
        <v>976</v>
      </c>
      <c r="C470" s="29">
        <v>0</v>
      </c>
      <c r="D470" s="46"/>
      <c r="E470" s="43"/>
      <c r="F470" s="47"/>
      <c r="G470" s="47"/>
      <c r="H470" s="40"/>
    </row>
    <row r="471" spans="2:8" x14ac:dyDescent="0.35">
      <c r="B471" s="31" t="s">
        <v>977</v>
      </c>
      <c r="C471" s="29">
        <v>873603.26840000018</v>
      </c>
      <c r="D471" s="46"/>
      <c r="E471" s="43"/>
      <c r="F471" s="47"/>
      <c r="G471" s="47"/>
      <c r="H471" s="40"/>
    </row>
    <row r="472" spans="2:8" x14ac:dyDescent="0.35">
      <c r="B472" s="31" t="s">
        <v>978</v>
      </c>
      <c r="C472" s="29">
        <v>70208.639999999999</v>
      </c>
      <c r="D472" s="46"/>
      <c r="E472" s="43"/>
      <c r="F472" s="47"/>
      <c r="G472" s="47"/>
      <c r="H472" s="40"/>
    </row>
    <row r="473" spans="2:8" x14ac:dyDescent="0.35">
      <c r="B473" s="31" t="s">
        <v>979</v>
      </c>
      <c r="C473" s="29">
        <v>436859.19999999995</v>
      </c>
      <c r="D473" s="46"/>
      <c r="E473" s="43"/>
      <c r="F473" s="47"/>
      <c r="G473" s="47"/>
      <c r="H473" s="40"/>
    </row>
    <row r="474" spans="2:8" x14ac:dyDescent="0.35">
      <c r="B474" s="31" t="s">
        <v>980</v>
      </c>
      <c r="C474" s="29">
        <v>93888</v>
      </c>
      <c r="D474" s="46"/>
      <c r="E474" s="43"/>
      <c r="F474" s="47"/>
      <c r="G474" s="47"/>
      <c r="H474" s="40"/>
    </row>
    <row r="475" spans="2:8" x14ac:dyDescent="0.35">
      <c r="B475" s="31" t="s">
        <v>981</v>
      </c>
      <c r="C475" s="29">
        <v>10689.6096</v>
      </c>
      <c r="D475" s="46"/>
      <c r="E475" s="43"/>
      <c r="F475" s="47"/>
      <c r="G475" s="47"/>
      <c r="H475" s="40"/>
    </row>
    <row r="476" spans="2:8" x14ac:dyDescent="0.35">
      <c r="B476" s="31" t="s">
        <v>982</v>
      </c>
      <c r="C476" s="29">
        <v>5711.9999999999991</v>
      </c>
      <c r="D476" s="46"/>
      <c r="E476" s="43"/>
      <c r="F476" s="47"/>
      <c r="G476" s="47"/>
      <c r="H476" s="40"/>
    </row>
    <row r="477" spans="2:8" x14ac:dyDescent="0.35">
      <c r="B477" s="31" t="s">
        <v>983</v>
      </c>
      <c r="C477" s="29">
        <v>0</v>
      </c>
      <c r="D477" s="46"/>
      <c r="E477" s="43"/>
      <c r="F477" s="47"/>
      <c r="G477" s="47"/>
      <c r="H477" s="40"/>
    </row>
    <row r="478" spans="2:8" x14ac:dyDescent="0.35">
      <c r="B478" s="31" t="s">
        <v>984</v>
      </c>
      <c r="C478" s="29">
        <v>63303.359999999993</v>
      </c>
      <c r="D478" s="46"/>
      <c r="E478" s="43"/>
      <c r="F478" s="47"/>
      <c r="G478" s="47"/>
      <c r="H478" s="40"/>
    </row>
    <row r="479" spans="2:8" x14ac:dyDescent="0.35">
      <c r="B479" s="31" t="s">
        <v>985</v>
      </c>
      <c r="C479" s="29">
        <v>0</v>
      </c>
      <c r="D479" s="46"/>
      <c r="E479" s="43"/>
      <c r="F479" s="47"/>
      <c r="G479" s="47"/>
      <c r="H479" s="40"/>
    </row>
    <row r="480" spans="2:8" x14ac:dyDescent="0.35">
      <c r="B480" s="31" t="s">
        <v>986</v>
      </c>
      <c r="C480" s="29">
        <v>208160.5312</v>
      </c>
      <c r="D480" s="46"/>
      <c r="E480" s="43"/>
      <c r="F480" s="47"/>
      <c r="G480" s="47"/>
      <c r="H480" s="40"/>
    </row>
    <row r="481" spans="2:8" x14ac:dyDescent="0.35">
      <c r="B481" s="31" t="s">
        <v>987</v>
      </c>
      <c r="C481" s="29">
        <v>18688.2012</v>
      </c>
      <c r="D481" s="46"/>
      <c r="E481" s="43"/>
      <c r="F481" s="47"/>
      <c r="G481" s="47"/>
      <c r="H481" s="40"/>
    </row>
    <row r="482" spans="2:8" x14ac:dyDescent="0.35">
      <c r="B482" s="31" t="s">
        <v>988</v>
      </c>
      <c r="C482" s="29">
        <v>-2385.0819999999999</v>
      </c>
      <c r="D482" s="46"/>
      <c r="E482" s="43"/>
      <c r="F482" s="47"/>
      <c r="G482" s="47"/>
      <c r="H482" s="40"/>
    </row>
    <row r="483" spans="2:8" x14ac:dyDescent="0.35">
      <c r="B483" s="31" t="s">
        <v>989</v>
      </c>
      <c r="C483" s="29">
        <v>683.97730000000001</v>
      </c>
      <c r="D483" s="46"/>
      <c r="E483" s="43"/>
      <c r="F483" s="47"/>
      <c r="G483" s="47"/>
      <c r="H483" s="40"/>
    </row>
    <row r="484" spans="2:8" x14ac:dyDescent="0.35">
      <c r="B484" s="31" t="s">
        <v>990</v>
      </c>
      <c r="C484" s="29">
        <v>-7960.0374999999995</v>
      </c>
      <c r="D484" s="46"/>
      <c r="E484" s="43"/>
      <c r="F484" s="47"/>
      <c r="G484" s="47"/>
      <c r="H484" s="40"/>
    </row>
    <row r="485" spans="2:8" x14ac:dyDescent="0.35">
      <c r="B485" s="31" t="s">
        <v>991</v>
      </c>
      <c r="C485" s="29">
        <v>-190677.93029999998</v>
      </c>
      <c r="D485" s="46"/>
      <c r="E485" s="43"/>
      <c r="F485" s="47"/>
      <c r="G485" s="47"/>
      <c r="H485" s="40"/>
    </row>
    <row r="486" spans="2:8" x14ac:dyDescent="0.35">
      <c r="B486" s="31" t="s">
        <v>992</v>
      </c>
      <c r="C486" s="29">
        <v>0</v>
      </c>
      <c r="D486" s="46"/>
      <c r="E486" s="43"/>
      <c r="F486" s="47"/>
      <c r="G486" s="47"/>
      <c r="H486" s="40"/>
    </row>
    <row r="487" spans="2:8" x14ac:dyDescent="0.35">
      <c r="B487" s="31" t="s">
        <v>993</v>
      </c>
      <c r="C487" s="29">
        <v>-852202.32799999998</v>
      </c>
      <c r="D487" s="46"/>
      <c r="E487" s="43"/>
      <c r="F487" s="47"/>
      <c r="G487" s="47"/>
      <c r="H487" s="40"/>
    </row>
    <row r="488" spans="2:8" x14ac:dyDescent="0.35">
      <c r="B488" s="31" t="s">
        <v>994</v>
      </c>
      <c r="C488" s="29">
        <v>-85320</v>
      </c>
      <c r="D488" s="46"/>
      <c r="E488" s="43"/>
      <c r="F488" s="47"/>
      <c r="G488" s="47"/>
      <c r="H488" s="40"/>
    </row>
    <row r="489" spans="2:8" x14ac:dyDescent="0.35">
      <c r="B489" s="31" t="s">
        <v>995</v>
      </c>
      <c r="C489" s="29">
        <v>-547063.68559999997</v>
      </c>
      <c r="D489" s="46"/>
      <c r="E489" s="43"/>
      <c r="F489" s="47"/>
      <c r="G489" s="47"/>
      <c r="H489" s="40"/>
    </row>
    <row r="490" spans="2:8" x14ac:dyDescent="0.35">
      <c r="B490" s="31" t="s">
        <v>996</v>
      </c>
      <c r="C490" s="29">
        <v>-95525.28</v>
      </c>
      <c r="D490" s="46"/>
      <c r="E490" s="43"/>
      <c r="F490" s="47"/>
      <c r="G490" s="47"/>
      <c r="H490" s="40"/>
    </row>
    <row r="491" spans="2:8" x14ac:dyDescent="0.35">
      <c r="B491" s="31" t="s">
        <v>997</v>
      </c>
      <c r="C491" s="29">
        <v>-36923.760000000002</v>
      </c>
      <c r="D491" s="46"/>
      <c r="E491" s="43"/>
      <c r="F491" s="47"/>
      <c r="G491" s="47"/>
      <c r="H491" s="40"/>
    </row>
    <row r="492" spans="2:8" x14ac:dyDescent="0.35">
      <c r="B492" s="31" t="s">
        <v>998</v>
      </c>
      <c r="C492" s="29">
        <v>0</v>
      </c>
      <c r="D492" s="46"/>
      <c r="E492" s="43"/>
      <c r="F492" s="47"/>
      <c r="G492" s="47"/>
      <c r="H492" s="40"/>
    </row>
    <row r="493" spans="2:8" x14ac:dyDescent="0.35">
      <c r="B493" s="31" t="s">
        <v>999</v>
      </c>
      <c r="C493" s="29">
        <v>-114968.43</v>
      </c>
      <c r="D493" s="46"/>
      <c r="E493" s="43"/>
      <c r="F493" s="47"/>
      <c r="G493" s="47"/>
      <c r="H493" s="40"/>
    </row>
    <row r="494" spans="2:8" x14ac:dyDescent="0.35">
      <c r="B494" s="31" t="s">
        <v>1000</v>
      </c>
      <c r="C494" s="29">
        <v>-14494.8</v>
      </c>
      <c r="D494" s="46"/>
      <c r="E494" s="43"/>
      <c r="F494" s="47"/>
      <c r="G494" s="47"/>
      <c r="H494" s="40"/>
    </row>
    <row r="495" spans="2:8" x14ac:dyDescent="0.35">
      <c r="B495" s="31" t="s">
        <v>1001</v>
      </c>
      <c r="C495" s="29">
        <v>0</v>
      </c>
      <c r="D495" s="46"/>
      <c r="E495" s="43"/>
      <c r="F495" s="47"/>
      <c r="G495" s="47"/>
      <c r="H495" s="40"/>
    </row>
    <row r="496" spans="2:8" x14ac:dyDescent="0.35">
      <c r="B496" s="31" t="s">
        <v>1002</v>
      </c>
      <c r="C496" s="29">
        <v>-199371.2702</v>
      </c>
      <c r="D496" s="46"/>
      <c r="E496" s="43"/>
      <c r="F496" s="47"/>
      <c r="G496" s="47"/>
      <c r="H496" s="40"/>
    </row>
    <row r="497" spans="2:8" x14ac:dyDescent="0.35">
      <c r="B497" s="31" t="s">
        <v>1003</v>
      </c>
      <c r="C497" s="29">
        <v>-22011.4074</v>
      </c>
      <c r="D497" s="46"/>
      <c r="E497" s="43"/>
      <c r="F497" s="47"/>
      <c r="G497" s="47"/>
      <c r="H497" s="40"/>
    </row>
    <row r="498" spans="2:8" x14ac:dyDescent="0.35">
      <c r="B498" s="31" t="s">
        <v>1004</v>
      </c>
      <c r="C498" s="29">
        <v>-2922.0799999999995</v>
      </c>
      <c r="D498" s="46"/>
      <c r="E498" s="43"/>
      <c r="F498" s="47"/>
      <c r="G498" s="47"/>
      <c r="H498" s="40"/>
    </row>
    <row r="499" spans="2:8" x14ac:dyDescent="0.35">
      <c r="B499" s="31" t="s">
        <v>1005</v>
      </c>
      <c r="C499" s="29">
        <v>892.19929999999999</v>
      </c>
      <c r="D499" s="46"/>
      <c r="E499" s="43"/>
      <c r="F499" s="47"/>
      <c r="G499" s="47"/>
      <c r="H499" s="40"/>
    </row>
    <row r="500" spans="2:8" x14ac:dyDescent="0.35">
      <c r="B500" s="31" t="s">
        <v>1006</v>
      </c>
      <c r="C500" s="29">
        <v>-10158.275</v>
      </c>
      <c r="D500" s="46"/>
      <c r="E500" s="43"/>
      <c r="F500" s="47"/>
      <c r="G500" s="47"/>
      <c r="H500" s="40"/>
    </row>
    <row r="501" spans="2:8" x14ac:dyDescent="0.35">
      <c r="B501" s="31" t="s">
        <v>1007</v>
      </c>
      <c r="C501" s="29">
        <v>150479.78659999999</v>
      </c>
      <c r="D501" s="46"/>
      <c r="E501" s="43"/>
      <c r="F501" s="47"/>
      <c r="G501" s="47"/>
      <c r="H501" s="40"/>
    </row>
    <row r="502" spans="2:8" x14ac:dyDescent="0.35">
      <c r="B502" s="31" t="s">
        <v>1008</v>
      </c>
      <c r="C502" s="29">
        <v>4876</v>
      </c>
      <c r="D502" s="46"/>
      <c r="E502" s="43"/>
      <c r="F502" s="47"/>
      <c r="G502" s="47"/>
      <c r="H502" s="40"/>
    </row>
    <row r="503" spans="2:8" x14ac:dyDescent="0.35">
      <c r="B503" s="31" t="s">
        <v>1009</v>
      </c>
      <c r="C503" s="29">
        <v>528608.74340000004</v>
      </c>
      <c r="D503" s="46"/>
      <c r="E503" s="43"/>
      <c r="F503" s="47"/>
      <c r="G503" s="47"/>
      <c r="H503" s="40"/>
    </row>
    <row r="504" spans="2:8" x14ac:dyDescent="0.35">
      <c r="B504" s="31" t="s">
        <v>1010</v>
      </c>
      <c r="C504" s="29">
        <v>0</v>
      </c>
      <c r="D504" s="46"/>
      <c r="E504" s="43"/>
      <c r="F504" s="47"/>
      <c r="G504" s="47"/>
      <c r="H504" s="40"/>
    </row>
    <row r="505" spans="2:8" x14ac:dyDescent="0.35">
      <c r="B505" s="31" t="s">
        <v>1011</v>
      </c>
      <c r="C505" s="29">
        <v>385924.42560000002</v>
      </c>
      <c r="D505" s="46"/>
      <c r="E505" s="43"/>
      <c r="F505" s="47"/>
      <c r="G505" s="47"/>
      <c r="H505" s="40"/>
    </row>
    <row r="506" spans="2:8" x14ac:dyDescent="0.35">
      <c r="B506" s="31" t="s">
        <v>1012</v>
      </c>
      <c r="C506" s="29">
        <v>23760</v>
      </c>
      <c r="D506" s="46"/>
      <c r="E506" s="43"/>
      <c r="F506" s="47"/>
      <c r="G506" s="47"/>
      <c r="H506" s="40"/>
    </row>
    <row r="507" spans="2:8" x14ac:dyDescent="0.35">
      <c r="B507" s="31" t="s">
        <v>1013</v>
      </c>
      <c r="C507" s="29">
        <v>0</v>
      </c>
      <c r="D507" s="46"/>
      <c r="E507" s="43"/>
      <c r="F507" s="47"/>
      <c r="G507" s="47"/>
      <c r="H507" s="40"/>
    </row>
    <row r="508" spans="2:8" x14ac:dyDescent="0.35">
      <c r="B508" s="31" t="s">
        <v>1014</v>
      </c>
      <c r="C508" s="29">
        <v>-5711.9999999999991</v>
      </c>
      <c r="D508" s="46"/>
      <c r="E508" s="43"/>
      <c r="F508" s="47"/>
      <c r="G508" s="47"/>
      <c r="H508" s="40"/>
    </row>
    <row r="509" spans="2:8" x14ac:dyDescent="0.35">
      <c r="B509" s="31" t="s">
        <v>1015</v>
      </c>
      <c r="C509" s="29">
        <v>55877.850000000006</v>
      </c>
      <c r="D509" s="46"/>
      <c r="E509" s="43"/>
      <c r="F509" s="47"/>
      <c r="G509" s="47"/>
      <c r="H509" s="40"/>
    </row>
    <row r="510" spans="2:8" x14ac:dyDescent="0.35">
      <c r="B510" s="31" t="s">
        <v>1016</v>
      </c>
      <c r="C510" s="29">
        <v>0</v>
      </c>
      <c r="D510" s="46"/>
      <c r="E510" s="43"/>
      <c r="F510" s="47"/>
      <c r="G510" s="47"/>
      <c r="H510" s="40"/>
    </row>
    <row r="511" spans="2:8" x14ac:dyDescent="0.35">
      <c r="B511" s="31" t="s">
        <v>1017</v>
      </c>
      <c r="C511" s="29">
        <v>0</v>
      </c>
      <c r="D511" s="46"/>
      <c r="E511" s="43"/>
      <c r="F511" s="47"/>
      <c r="G511" s="47"/>
      <c r="H511" s="40"/>
    </row>
    <row r="512" spans="2:8" x14ac:dyDescent="0.35">
      <c r="B512" s="31" t="s">
        <v>1018</v>
      </c>
      <c r="C512" s="29">
        <v>203951.6716</v>
      </c>
      <c r="D512" s="46"/>
      <c r="E512" s="43"/>
      <c r="F512" s="47"/>
      <c r="G512" s="47"/>
      <c r="H512" s="40"/>
    </row>
    <row r="513" spans="2:8" x14ac:dyDescent="0.35">
      <c r="B513" s="31" t="s">
        <v>1019</v>
      </c>
      <c r="C513" s="29">
        <v>0</v>
      </c>
      <c r="D513" s="46"/>
      <c r="E513" s="43"/>
      <c r="F513" s="47"/>
      <c r="G513" s="47"/>
      <c r="H513" s="40"/>
    </row>
    <row r="514" spans="2:8" x14ac:dyDescent="0.35">
      <c r="B514" s="31" t="s">
        <v>1020</v>
      </c>
      <c r="C514" s="29">
        <v>-5055.9179999999997</v>
      </c>
      <c r="D514" s="46"/>
      <c r="E514" s="43"/>
      <c r="F514" s="47"/>
      <c r="G514" s="47"/>
      <c r="H514" s="40"/>
    </row>
    <row r="515" spans="2:8" x14ac:dyDescent="0.35">
      <c r="B515" s="31" t="s">
        <v>1021</v>
      </c>
      <c r="C515" s="29">
        <v>7123.2913000000008</v>
      </c>
      <c r="D515" s="46"/>
      <c r="E515" s="43"/>
      <c r="F515" s="47"/>
      <c r="G515" s="47"/>
      <c r="H515" s="40"/>
    </row>
    <row r="516" spans="2:8" x14ac:dyDescent="0.35">
      <c r="B516" s="31" t="s">
        <v>1022</v>
      </c>
      <c r="C516" s="29">
        <v>-9846.6625000000004</v>
      </c>
      <c r="D516" s="46"/>
      <c r="E516" s="43"/>
      <c r="F516" s="47"/>
      <c r="G516" s="47"/>
      <c r="H516" s="40"/>
    </row>
    <row r="517" spans="2:8" x14ac:dyDescent="0.35">
      <c r="B517" s="31" t="s">
        <v>1023</v>
      </c>
      <c r="C517" s="29">
        <v>122355.21869999998</v>
      </c>
      <c r="D517" s="46"/>
      <c r="E517" s="43"/>
      <c r="F517" s="47"/>
      <c r="G517" s="47"/>
      <c r="H517" s="40"/>
    </row>
    <row r="518" spans="2:8" x14ac:dyDescent="0.35">
      <c r="B518" s="31" t="s">
        <v>1024</v>
      </c>
      <c r="C518" s="29">
        <v>11183</v>
      </c>
      <c r="D518" s="46"/>
      <c r="E518" s="43"/>
      <c r="F518" s="47"/>
      <c r="G518" s="47"/>
      <c r="H518" s="40"/>
    </row>
    <row r="519" spans="2:8" x14ac:dyDescent="0.35">
      <c r="B519" s="31" t="s">
        <v>1025</v>
      </c>
      <c r="C519" s="29">
        <v>575681.09340000001</v>
      </c>
      <c r="D519" s="46"/>
      <c r="E519" s="43"/>
      <c r="F519" s="47"/>
      <c r="G519" s="47"/>
      <c r="H519" s="40"/>
    </row>
    <row r="520" spans="2:8" x14ac:dyDescent="0.35">
      <c r="B520" s="31" t="s">
        <v>1026</v>
      </c>
      <c r="C520" s="29">
        <v>4860</v>
      </c>
      <c r="D520" s="46"/>
      <c r="E520" s="43"/>
      <c r="F520" s="47"/>
      <c r="G520" s="47"/>
      <c r="H520" s="40"/>
    </row>
    <row r="521" spans="2:8" x14ac:dyDescent="0.35">
      <c r="B521" s="31" t="s">
        <v>1027</v>
      </c>
      <c r="C521" s="29">
        <v>293466.22639999999</v>
      </c>
      <c r="D521" s="46"/>
      <c r="E521" s="43"/>
      <c r="F521" s="47"/>
      <c r="G521" s="47"/>
      <c r="H521" s="40"/>
    </row>
    <row r="522" spans="2:8" x14ac:dyDescent="0.35">
      <c r="B522" s="31" t="s">
        <v>1028</v>
      </c>
      <c r="C522" s="29">
        <v>61020</v>
      </c>
      <c r="D522" s="46"/>
      <c r="E522" s="43"/>
      <c r="F522" s="47"/>
      <c r="G522" s="47"/>
      <c r="H522" s="40"/>
    </row>
    <row r="523" spans="2:8" x14ac:dyDescent="0.35">
      <c r="B523" s="31" t="s">
        <v>1029</v>
      </c>
      <c r="C523" s="29">
        <v>3830.3999999999996</v>
      </c>
      <c r="D523" s="46"/>
      <c r="E523" s="43"/>
      <c r="F523" s="47"/>
      <c r="G523" s="47"/>
      <c r="H523" s="40"/>
    </row>
    <row r="524" spans="2:8" x14ac:dyDescent="0.35">
      <c r="B524" s="31" t="s">
        <v>1030</v>
      </c>
      <c r="C524" s="29">
        <v>5711.9999999999991</v>
      </c>
      <c r="D524" s="46"/>
      <c r="E524" s="43"/>
      <c r="F524" s="47"/>
      <c r="G524" s="47"/>
      <c r="H524" s="40"/>
    </row>
    <row r="525" spans="2:8" x14ac:dyDescent="0.35">
      <c r="B525" s="31" t="s">
        <v>1031</v>
      </c>
      <c r="C525" s="29">
        <v>0</v>
      </c>
      <c r="D525" s="46"/>
      <c r="E525" s="43"/>
      <c r="F525" s="47"/>
      <c r="G525" s="47"/>
      <c r="H525" s="40"/>
    </row>
    <row r="526" spans="2:8" x14ac:dyDescent="0.35">
      <c r="B526" s="31" t="s">
        <v>1032</v>
      </c>
      <c r="C526" s="29">
        <v>40842.06</v>
      </c>
      <c r="D526" s="46"/>
      <c r="E526" s="43"/>
      <c r="F526" s="47"/>
      <c r="G526" s="47"/>
      <c r="H526" s="40"/>
    </row>
    <row r="527" spans="2:8" x14ac:dyDescent="0.35">
      <c r="B527" s="31" t="s">
        <v>1033</v>
      </c>
      <c r="C527" s="29">
        <v>0</v>
      </c>
      <c r="D527" s="46"/>
      <c r="E527" s="43"/>
      <c r="F527" s="47"/>
      <c r="G527" s="47"/>
      <c r="H527" s="40"/>
    </row>
    <row r="528" spans="2:8" x14ac:dyDescent="0.35">
      <c r="B528" s="31" t="s">
        <v>1034</v>
      </c>
      <c r="C528" s="29">
        <v>103841.74559999999</v>
      </c>
      <c r="D528" s="46"/>
      <c r="E528" s="43"/>
      <c r="F528" s="47"/>
      <c r="G528" s="47"/>
      <c r="H528" s="40"/>
    </row>
    <row r="529" spans="2:8" x14ac:dyDescent="0.35">
      <c r="B529" s="31" t="s">
        <v>1035</v>
      </c>
      <c r="C529" s="29">
        <v>15382.199999999999</v>
      </c>
      <c r="D529" s="46"/>
      <c r="E529" s="43"/>
      <c r="F529" s="47"/>
      <c r="G529" s="47"/>
      <c r="H529" s="40"/>
    </row>
    <row r="530" spans="2:8" x14ac:dyDescent="0.35">
      <c r="B530" s="31" t="s">
        <v>1036</v>
      </c>
      <c r="C530" s="29">
        <v>-943.69799999999998</v>
      </c>
      <c r="D530" s="46"/>
      <c r="E530" s="43"/>
      <c r="F530" s="47"/>
      <c r="G530" s="47"/>
      <c r="H530" s="40"/>
    </row>
    <row r="531" spans="2:8" x14ac:dyDescent="0.35">
      <c r="B531" s="31" t="s">
        <v>1037</v>
      </c>
      <c r="C531" s="29">
        <v>177.0582</v>
      </c>
      <c r="D531" s="46"/>
      <c r="E531" s="43"/>
      <c r="F531" s="47"/>
      <c r="G531" s="47"/>
      <c r="H531" s="40"/>
    </row>
    <row r="532" spans="2:8" x14ac:dyDescent="0.35">
      <c r="B532" s="31" t="s">
        <v>1038</v>
      </c>
      <c r="C532" s="29">
        <v>-23151.45</v>
      </c>
      <c r="D532" s="46"/>
      <c r="E532" s="43"/>
      <c r="F532" s="47"/>
      <c r="G532" s="47"/>
      <c r="H532" s="40"/>
    </row>
    <row r="533" spans="2:8" x14ac:dyDescent="0.35">
      <c r="B533" s="31" t="s">
        <v>1039</v>
      </c>
      <c r="C533" s="29">
        <v>345223.06390000001</v>
      </c>
      <c r="D533" s="46"/>
      <c r="E533" s="43"/>
      <c r="F533" s="47"/>
      <c r="G533" s="47"/>
      <c r="H533" s="40"/>
    </row>
    <row r="534" spans="2:8" x14ac:dyDescent="0.35">
      <c r="B534" s="31" t="s">
        <v>1040</v>
      </c>
      <c r="C534" s="29">
        <v>0</v>
      </c>
      <c r="D534" s="46"/>
      <c r="E534" s="43"/>
      <c r="F534" s="47"/>
      <c r="G534" s="47"/>
      <c r="H534" s="40"/>
    </row>
    <row r="535" spans="2:8" x14ac:dyDescent="0.35">
      <c r="B535" s="31" t="s">
        <v>1041</v>
      </c>
      <c r="C535" s="29">
        <v>791885.96070000005</v>
      </c>
      <c r="D535" s="46"/>
      <c r="E535" s="43"/>
      <c r="F535" s="47"/>
      <c r="G535" s="47"/>
      <c r="H535" s="40"/>
    </row>
    <row r="536" spans="2:8" x14ac:dyDescent="0.35">
      <c r="B536" s="31" t="s">
        <v>1042</v>
      </c>
      <c r="C536" s="29">
        <v>70740</v>
      </c>
      <c r="D536" s="46"/>
      <c r="E536" s="43"/>
      <c r="F536" s="47"/>
      <c r="G536" s="47"/>
      <c r="H536" s="40"/>
    </row>
    <row r="537" spans="2:8" x14ac:dyDescent="0.35">
      <c r="B537" s="31" t="s">
        <v>1043</v>
      </c>
      <c r="C537" s="29">
        <v>494472.13199999998</v>
      </c>
      <c r="D537" s="46"/>
      <c r="E537" s="43"/>
      <c r="F537" s="47"/>
      <c r="G537" s="47"/>
      <c r="H537" s="40"/>
    </row>
    <row r="538" spans="2:8" x14ac:dyDescent="0.35">
      <c r="B538" s="31" t="s">
        <v>1044</v>
      </c>
      <c r="C538" s="29">
        <v>14112</v>
      </c>
      <c r="D538" s="46"/>
      <c r="E538" s="43"/>
      <c r="F538" s="47"/>
      <c r="G538" s="47"/>
      <c r="H538" s="40"/>
    </row>
    <row r="539" spans="2:8" x14ac:dyDescent="0.35">
      <c r="B539" s="31" t="s">
        <v>1045</v>
      </c>
      <c r="C539" s="29">
        <v>22089.599999999999</v>
      </c>
      <c r="D539" s="46"/>
      <c r="E539" s="43"/>
      <c r="F539" s="47"/>
      <c r="G539" s="47"/>
      <c r="H539" s="40"/>
    </row>
    <row r="540" spans="2:8" x14ac:dyDescent="0.35">
      <c r="B540" s="31" t="s">
        <v>1046</v>
      </c>
      <c r="C540" s="29">
        <v>0</v>
      </c>
      <c r="D540" s="46"/>
      <c r="E540" s="43"/>
      <c r="F540" s="47"/>
      <c r="G540" s="47"/>
      <c r="H540" s="40"/>
    </row>
    <row r="541" spans="2:8" x14ac:dyDescent="0.35">
      <c r="B541" s="31" t="s">
        <v>1047</v>
      </c>
      <c r="C541" s="29">
        <v>23504.175000000003</v>
      </c>
      <c r="D541" s="46"/>
      <c r="E541" s="43"/>
      <c r="F541" s="47"/>
      <c r="G541" s="47"/>
      <c r="H541" s="40"/>
    </row>
    <row r="542" spans="2:8" x14ac:dyDescent="0.35">
      <c r="B542" s="31" t="s">
        <v>1048</v>
      </c>
      <c r="C542" s="29">
        <v>50971.5</v>
      </c>
      <c r="D542" s="46"/>
      <c r="E542" s="43"/>
      <c r="F542" s="47"/>
      <c r="G542" s="47"/>
      <c r="H542" s="40"/>
    </row>
    <row r="543" spans="2:8" x14ac:dyDescent="0.35">
      <c r="B543" s="31" t="s">
        <v>1049</v>
      </c>
      <c r="C543" s="29">
        <v>0</v>
      </c>
      <c r="D543" s="46"/>
      <c r="E543" s="43"/>
      <c r="F543" s="47"/>
      <c r="G543" s="47"/>
      <c r="H543" s="40"/>
    </row>
    <row r="544" spans="2:8" x14ac:dyDescent="0.35">
      <c r="B544" s="31" t="s">
        <v>1050</v>
      </c>
      <c r="C544" s="29">
        <v>193660.36440000002</v>
      </c>
      <c r="D544" s="46"/>
      <c r="E544" s="43"/>
      <c r="F544" s="47"/>
      <c r="G544" s="47"/>
      <c r="H544" s="40"/>
    </row>
    <row r="545" spans="2:8" x14ac:dyDescent="0.35">
      <c r="B545" s="31" t="s">
        <v>1051</v>
      </c>
      <c r="C545" s="29">
        <v>0</v>
      </c>
      <c r="D545" s="46"/>
      <c r="E545" s="43"/>
      <c r="F545" s="47"/>
      <c r="G545" s="47"/>
      <c r="H545" s="40"/>
    </row>
    <row r="546" spans="2:8" x14ac:dyDescent="0.35">
      <c r="B546" s="31" t="s">
        <v>1052</v>
      </c>
      <c r="C546" s="29">
        <v>-1542.4079999999999</v>
      </c>
      <c r="D546" s="46"/>
      <c r="E546" s="43"/>
      <c r="F546" s="47"/>
      <c r="G546" s="47"/>
      <c r="H546" s="40"/>
    </row>
    <row r="547" spans="2:8" x14ac:dyDescent="0.35">
      <c r="B547" s="31" t="s">
        <v>1053</v>
      </c>
      <c r="C547" s="29">
        <v>217.4238</v>
      </c>
      <c r="D547" s="46"/>
      <c r="E547" s="43"/>
      <c r="F547" s="47"/>
      <c r="G547" s="47"/>
      <c r="H547" s="40"/>
    </row>
    <row r="548" spans="2:8" x14ac:dyDescent="0.35">
      <c r="B548" s="31" t="s">
        <v>1054</v>
      </c>
      <c r="C548" s="29">
        <v>-14966.1625</v>
      </c>
      <c r="D548" s="46"/>
      <c r="E548" s="43"/>
      <c r="F548" s="47"/>
      <c r="G548" s="47"/>
      <c r="H548" s="40"/>
    </row>
    <row r="549" spans="2:8" x14ac:dyDescent="0.35">
      <c r="B549" s="31" t="s">
        <v>1055</v>
      </c>
      <c r="C549" s="29">
        <v>264691.97039999999</v>
      </c>
      <c r="D549" s="46"/>
      <c r="E549" s="43"/>
      <c r="F549" s="47"/>
      <c r="G549" s="47"/>
      <c r="H549" s="40"/>
    </row>
    <row r="550" spans="2:8" x14ac:dyDescent="0.35">
      <c r="B550" s="31" t="s">
        <v>1056</v>
      </c>
      <c r="C550" s="29">
        <v>0</v>
      </c>
      <c r="D550" s="46"/>
      <c r="E550" s="43"/>
      <c r="F550" s="47"/>
      <c r="G550" s="47"/>
      <c r="H550" s="40"/>
    </row>
    <row r="551" spans="2:8" x14ac:dyDescent="0.35">
      <c r="B551" s="31" t="s">
        <v>1057</v>
      </c>
      <c r="C551" s="29">
        <v>689834.74610000011</v>
      </c>
      <c r="D551" s="46"/>
      <c r="E551" s="43"/>
      <c r="F551" s="47"/>
      <c r="G551" s="47"/>
      <c r="H551" s="40"/>
    </row>
    <row r="552" spans="2:8" x14ac:dyDescent="0.35">
      <c r="B552" s="31" t="s">
        <v>1058</v>
      </c>
      <c r="C552" s="29">
        <v>0</v>
      </c>
      <c r="D552" s="46"/>
      <c r="E552" s="43"/>
      <c r="F552" s="47"/>
      <c r="G552" s="47"/>
      <c r="H552" s="40"/>
    </row>
    <row r="553" spans="2:8" x14ac:dyDescent="0.35">
      <c r="B553" s="31" t="s">
        <v>1059</v>
      </c>
      <c r="C553" s="29">
        <v>604308.99599999993</v>
      </c>
      <c r="D553" s="46"/>
      <c r="E553" s="43"/>
      <c r="F553" s="47"/>
      <c r="G553" s="47"/>
      <c r="H553" s="40"/>
    </row>
    <row r="554" spans="2:8" x14ac:dyDescent="0.35">
      <c r="B554" s="31" t="s">
        <v>1060</v>
      </c>
      <c r="C554" s="29">
        <v>0</v>
      </c>
      <c r="D554" s="46"/>
      <c r="E554" s="43"/>
      <c r="F554" s="47"/>
      <c r="G554" s="47"/>
      <c r="H554" s="40"/>
    </row>
    <row r="555" spans="2:8" x14ac:dyDescent="0.35">
      <c r="B555" s="31" t="s">
        <v>1061</v>
      </c>
      <c r="C555" s="29">
        <v>9129.6</v>
      </c>
      <c r="D555" s="46"/>
      <c r="E555" s="43"/>
      <c r="F555" s="47"/>
      <c r="G555" s="47"/>
      <c r="H555" s="40"/>
    </row>
    <row r="556" spans="2:8" x14ac:dyDescent="0.35">
      <c r="B556" s="31" t="s">
        <v>1062</v>
      </c>
      <c r="C556" s="29">
        <v>0</v>
      </c>
      <c r="D556" s="46"/>
      <c r="E556" s="43"/>
      <c r="F556" s="47"/>
      <c r="G556" s="47"/>
      <c r="H556" s="40"/>
    </row>
    <row r="557" spans="2:8" x14ac:dyDescent="0.35">
      <c r="B557" s="31" t="s">
        <v>1063</v>
      </c>
      <c r="C557" s="29">
        <v>79588.98</v>
      </c>
      <c r="D557" s="46"/>
      <c r="E557" s="43"/>
      <c r="F557" s="47"/>
      <c r="G557" s="47"/>
      <c r="H557" s="40"/>
    </row>
    <row r="558" spans="2:8" x14ac:dyDescent="0.35">
      <c r="B558" s="31" t="s">
        <v>1064</v>
      </c>
      <c r="C558" s="29">
        <v>0</v>
      </c>
      <c r="D558" s="46"/>
      <c r="E558" s="43"/>
      <c r="F558" s="47"/>
      <c r="G558" s="47"/>
      <c r="H558" s="40"/>
    </row>
    <row r="559" spans="2:8" x14ac:dyDescent="0.35">
      <c r="B559" s="31" t="s">
        <v>1065</v>
      </c>
      <c r="C559" s="29">
        <v>0</v>
      </c>
      <c r="D559" s="46"/>
      <c r="E559" s="43"/>
      <c r="F559" s="47"/>
      <c r="G559" s="47"/>
      <c r="H559" s="40"/>
    </row>
    <row r="560" spans="2:8" x14ac:dyDescent="0.35">
      <c r="B560" s="31" t="s">
        <v>1066</v>
      </c>
      <c r="C560" s="29">
        <v>183306.21119999999</v>
      </c>
      <c r="D560" s="46"/>
      <c r="E560" s="43"/>
      <c r="F560" s="47"/>
      <c r="G560" s="47"/>
      <c r="H560" s="40"/>
    </row>
    <row r="561" spans="2:8" x14ac:dyDescent="0.35">
      <c r="B561" s="31" t="s">
        <v>1067</v>
      </c>
      <c r="C561" s="29">
        <v>929.99999999999989</v>
      </c>
      <c r="D561" s="46"/>
      <c r="E561" s="43"/>
      <c r="F561" s="47"/>
      <c r="G561" s="47"/>
      <c r="H561" s="40"/>
    </row>
    <row r="562" spans="2:8" x14ac:dyDescent="0.35">
      <c r="B562" s="31" t="s">
        <v>1068</v>
      </c>
      <c r="C562" s="29">
        <v>-3073.35</v>
      </c>
      <c r="D562" s="46"/>
      <c r="E562" s="43"/>
      <c r="F562" s="47"/>
      <c r="G562" s="47"/>
      <c r="H562" s="40"/>
    </row>
    <row r="563" spans="2:8" x14ac:dyDescent="0.35">
      <c r="B563" s="31" t="s">
        <v>1069</v>
      </c>
      <c r="C563" s="29">
        <v>342.71840000000003</v>
      </c>
      <c r="D563" s="46"/>
      <c r="E563" s="43"/>
      <c r="F563" s="47"/>
      <c r="G563" s="47"/>
      <c r="H563" s="40"/>
    </row>
    <row r="564" spans="2:8" x14ac:dyDescent="0.35">
      <c r="B564" s="31" t="s">
        <v>1070</v>
      </c>
      <c r="C564" s="29">
        <v>-45124.237500000003</v>
      </c>
      <c r="D564" s="46"/>
      <c r="E564" s="43"/>
      <c r="F564" s="47"/>
      <c r="G564" s="47"/>
      <c r="H564" s="40"/>
    </row>
    <row r="565" spans="2:8" x14ac:dyDescent="0.35">
      <c r="B565" s="31" t="s">
        <v>1071</v>
      </c>
      <c r="C565" s="29">
        <v>123970.31789999999</v>
      </c>
      <c r="D565" s="46"/>
      <c r="E565" s="43"/>
      <c r="F565" s="47"/>
      <c r="G565" s="47"/>
      <c r="H565" s="40"/>
    </row>
    <row r="566" spans="2:8" x14ac:dyDescent="0.35">
      <c r="B566" s="31" t="s">
        <v>1072</v>
      </c>
      <c r="C566" s="29">
        <v>56155.832000000002</v>
      </c>
      <c r="D566" s="46"/>
      <c r="E566" s="43"/>
      <c r="F566" s="47"/>
      <c r="G566" s="47"/>
      <c r="H566" s="40"/>
    </row>
    <row r="567" spans="2:8" x14ac:dyDescent="0.35">
      <c r="B567" s="31" t="s">
        <v>1073</v>
      </c>
      <c r="C567" s="29">
        <v>883712.97470000002</v>
      </c>
      <c r="D567" s="46"/>
      <c r="E567" s="43"/>
      <c r="F567" s="47"/>
      <c r="G567" s="47"/>
      <c r="H567" s="40"/>
    </row>
    <row r="568" spans="2:8" x14ac:dyDescent="0.35">
      <c r="B568" s="31" t="s">
        <v>1074</v>
      </c>
      <c r="C568" s="29">
        <v>79128</v>
      </c>
      <c r="D568" s="46"/>
      <c r="E568" s="43"/>
      <c r="F568" s="47"/>
      <c r="G568" s="47"/>
      <c r="H568" s="40"/>
    </row>
    <row r="569" spans="2:8" x14ac:dyDescent="0.35">
      <c r="B569" s="31" t="s">
        <v>1075</v>
      </c>
      <c r="C569" s="29">
        <v>768382.64639999997</v>
      </c>
      <c r="D569" s="46"/>
      <c r="E569" s="43"/>
      <c r="F569" s="47"/>
      <c r="G569" s="47"/>
      <c r="H569" s="40"/>
    </row>
    <row r="570" spans="2:8" x14ac:dyDescent="0.35">
      <c r="B570" s="31" t="s">
        <v>1076</v>
      </c>
      <c r="C570" s="29">
        <v>80136</v>
      </c>
      <c r="D570" s="46"/>
      <c r="E570" s="43"/>
      <c r="F570" s="47"/>
      <c r="G570" s="47"/>
      <c r="H570" s="40"/>
    </row>
    <row r="571" spans="2:8" x14ac:dyDescent="0.35">
      <c r="B571" s="31" t="s">
        <v>1077</v>
      </c>
      <c r="C571" s="29">
        <v>18634.7376</v>
      </c>
      <c r="D571" s="46"/>
      <c r="E571" s="43"/>
      <c r="F571" s="47"/>
      <c r="G571" s="47"/>
      <c r="H571" s="40"/>
    </row>
    <row r="572" spans="2:8" x14ac:dyDescent="0.35">
      <c r="B572" s="31" t="s">
        <v>1078</v>
      </c>
      <c r="C572" s="29">
        <v>0</v>
      </c>
      <c r="D572" s="46"/>
      <c r="E572" s="43"/>
      <c r="F572" s="47"/>
      <c r="G572" s="47"/>
      <c r="H572" s="40"/>
    </row>
    <row r="573" spans="2:8" x14ac:dyDescent="0.35">
      <c r="B573" s="31" t="s">
        <v>1079</v>
      </c>
      <c r="C573" s="29">
        <v>126114.435</v>
      </c>
      <c r="D573" s="46"/>
      <c r="E573" s="43"/>
      <c r="F573" s="47"/>
      <c r="G573" s="47"/>
      <c r="H573" s="40"/>
    </row>
    <row r="574" spans="2:8" x14ac:dyDescent="0.35">
      <c r="B574" s="31" t="s">
        <v>1080</v>
      </c>
      <c r="C574" s="29">
        <v>14035.14</v>
      </c>
      <c r="D574" s="46"/>
      <c r="E574" s="43"/>
      <c r="F574" s="47"/>
      <c r="G574" s="47"/>
      <c r="H574" s="40"/>
    </row>
    <row r="575" spans="2:8" x14ac:dyDescent="0.35">
      <c r="B575" s="31" t="s">
        <v>1081</v>
      </c>
      <c r="C575" s="29">
        <v>11224.376</v>
      </c>
      <c r="D575" s="46"/>
      <c r="E575" s="43"/>
      <c r="F575" s="47"/>
      <c r="G575" s="47"/>
      <c r="H575" s="40"/>
    </row>
    <row r="576" spans="2:8" x14ac:dyDescent="0.35">
      <c r="B576" s="31" t="s">
        <v>1082</v>
      </c>
      <c r="C576" s="29">
        <v>253316.54800000004</v>
      </c>
      <c r="D576" s="46"/>
      <c r="E576" s="43"/>
      <c r="F576" s="47"/>
      <c r="G576" s="47"/>
      <c r="H576" s="40"/>
    </row>
    <row r="577" spans="2:8" x14ac:dyDescent="0.35">
      <c r="B577" s="1" t="s">
        <v>1083</v>
      </c>
      <c r="C577" s="45">
        <v>23157</v>
      </c>
      <c r="D577" s="46"/>
      <c r="E577" s="43"/>
      <c r="F577" s="47"/>
      <c r="G577" s="47"/>
      <c r="H577" s="40"/>
    </row>
    <row r="578" spans="2:8" x14ac:dyDescent="0.35">
      <c r="B578" s="1" t="s">
        <v>1084</v>
      </c>
      <c r="C578" s="45">
        <v>-2075.71</v>
      </c>
      <c r="D578" s="46"/>
      <c r="E578" s="43"/>
      <c r="F578" s="47"/>
      <c r="G578" s="47"/>
      <c r="H578" s="40"/>
    </row>
    <row r="579" spans="2:8" x14ac:dyDescent="0.35">
      <c r="B579" s="1" t="s">
        <v>1085</v>
      </c>
      <c r="C579" s="45">
        <v>788.14390000000003</v>
      </c>
      <c r="D579" s="46"/>
      <c r="E579" s="43"/>
      <c r="F579" s="47"/>
      <c r="G579" s="47"/>
      <c r="H579" s="40"/>
    </row>
    <row r="580" spans="2:8" x14ac:dyDescent="0.35">
      <c r="B580" s="1" t="s">
        <v>1086</v>
      </c>
      <c r="C580" s="45">
        <v>-46050.55</v>
      </c>
      <c r="D580" s="46"/>
      <c r="E580" s="43"/>
      <c r="F580" s="47"/>
      <c r="G580" s="47"/>
      <c r="H580" s="40"/>
    </row>
    <row r="582" spans="2:8" x14ac:dyDescent="0.35">
      <c r="F582" s="48"/>
      <c r="G582" s="2" t="s">
        <v>509</v>
      </c>
      <c r="H582" s="11"/>
    </row>
    <row r="583" spans="2:8" x14ac:dyDescent="0.35">
      <c r="F583" s="48"/>
      <c r="G583" s="2" t="s">
        <v>1091</v>
      </c>
      <c r="H583" s="11"/>
    </row>
    <row r="584" spans="2:8" x14ac:dyDescent="0.35">
      <c r="F584" s="48"/>
      <c r="G584" s="2" t="s">
        <v>1092</v>
      </c>
      <c r="H584" s="11"/>
    </row>
    <row r="585" spans="2:8" x14ac:dyDescent="0.35">
      <c r="F585" s="48"/>
      <c r="H585" s="4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628BF-B413-4FB0-8F61-19819FDE58D4}">
  <sheetPr>
    <tabColor rgb="FFC00000"/>
  </sheetPr>
  <dimension ref="B2:H585"/>
  <sheetViews>
    <sheetView showGridLines="0" workbookViewId="0"/>
  </sheetViews>
  <sheetFormatPr defaultColWidth="12.61328125" defaultRowHeight="14.15" x14ac:dyDescent="0.35"/>
  <cols>
    <col min="1" max="1" width="1.61328125" style="1" customWidth="1"/>
    <col min="2" max="2" width="40.69140625" style="1" customWidth="1"/>
    <col min="3" max="3" width="12.69140625" style="1" customWidth="1"/>
    <col min="4" max="5" width="30.69140625" style="1" customWidth="1"/>
    <col min="6" max="7" width="12.69140625" style="21" customWidth="1"/>
    <col min="8" max="8" width="12.69140625" style="1" customWidth="1"/>
    <col min="9" max="9" width="1.69140625" style="1" customWidth="1"/>
    <col min="10" max="16384" width="12.61328125" style="1"/>
  </cols>
  <sheetData>
    <row r="2" spans="2:8" ht="24.9" x14ac:dyDescent="0.55000000000000004">
      <c r="B2" s="19" t="s">
        <v>1093</v>
      </c>
      <c r="C2" s="20"/>
      <c r="D2" s="20"/>
      <c r="E2" s="20"/>
      <c r="F2" s="20"/>
      <c r="G2" s="20"/>
      <c r="H2" s="20"/>
    </row>
    <row r="4" spans="2:8" ht="28.3" x14ac:dyDescent="0.35">
      <c r="B4" s="30" t="s">
        <v>1088</v>
      </c>
      <c r="C4" s="44" t="s">
        <v>55</v>
      </c>
      <c r="D4" s="44" t="s">
        <v>1089</v>
      </c>
      <c r="E4" s="33" t="s">
        <v>510</v>
      </c>
      <c r="F4" s="33" t="s">
        <v>506</v>
      </c>
      <c r="G4" s="33" t="s">
        <v>1087</v>
      </c>
      <c r="H4" s="42" t="s">
        <v>1090</v>
      </c>
    </row>
    <row r="5" spans="2:8" x14ac:dyDescent="0.35">
      <c r="B5" s="31" t="s">
        <v>511</v>
      </c>
      <c r="C5" s="29">
        <v>258272.41439999998</v>
      </c>
      <c r="D5" s="46" t="str">
        <f>TRIM(B5)</f>
        <v>Automotive Sales 201901</v>
      </c>
      <c r="E5" s="43" t="str">
        <f>LEFT(D5,LEN(D5)-7)</f>
        <v>Automotive Sales</v>
      </c>
      <c r="F5" s="47" t="str">
        <f>RIGHT(D5,2)</f>
        <v>01</v>
      </c>
      <c r="G5" s="47" t="str">
        <f>RIGHT(LEFT(D5,LEN(D5)-2),4)</f>
        <v>2019</v>
      </c>
      <c r="H5" s="40">
        <f>C5</f>
        <v>258272.41439999998</v>
      </c>
    </row>
    <row r="6" spans="2:8" s="7" customFormat="1" x14ac:dyDescent="0.35">
      <c r="B6" s="31" t="s">
        <v>512</v>
      </c>
      <c r="C6" s="29">
        <v>0</v>
      </c>
      <c r="D6" s="46" t="str">
        <f t="shared" ref="D6:D69" si="0">TRIM(B6)</f>
        <v>Automotive Sales Tooling 201901</v>
      </c>
      <c r="E6" s="43" t="str">
        <f t="shared" ref="E6:E69" si="1">LEFT(D6,LEN(D6)-7)</f>
        <v>Automotive Sales Tooling</v>
      </c>
      <c r="F6" s="47" t="str">
        <f t="shared" ref="F6:F69" si="2">RIGHT(D6,2)</f>
        <v>01</v>
      </c>
      <c r="G6" s="47" t="str">
        <f t="shared" ref="G6:G69" si="3">RIGHT(LEFT(D6,LEN(D6)-2),4)</f>
        <v>2019</v>
      </c>
      <c r="H6" s="40">
        <f t="shared" ref="H6:H69" si="4">C6</f>
        <v>0</v>
      </c>
    </row>
    <row r="7" spans="2:8" x14ac:dyDescent="0.35">
      <c r="B7" s="31" t="s">
        <v>513</v>
      </c>
      <c r="C7" s="29">
        <v>787339.93790000002</v>
      </c>
      <c r="D7" s="46" t="str">
        <f t="shared" si="0"/>
        <v>Bulk Sales 201901</v>
      </c>
      <c r="E7" s="43" t="str">
        <f t="shared" si="1"/>
        <v>Bulk Sales</v>
      </c>
      <c r="F7" s="47" t="str">
        <f t="shared" si="2"/>
        <v>01</v>
      </c>
      <c r="G7" s="47" t="str">
        <f t="shared" si="3"/>
        <v>2019</v>
      </c>
      <c r="H7" s="40">
        <f t="shared" si="4"/>
        <v>787339.93790000002</v>
      </c>
    </row>
    <row r="8" spans="2:8" x14ac:dyDescent="0.35">
      <c r="B8" s="31" t="s">
        <v>514</v>
      </c>
      <c r="C8" s="29">
        <v>131133.6</v>
      </c>
      <c r="D8" s="46" t="str">
        <f t="shared" si="0"/>
        <v>Bulk Sales Tooling 201901</v>
      </c>
      <c r="E8" s="43" t="str">
        <f t="shared" si="1"/>
        <v>Bulk Sales Tooling</v>
      </c>
      <c r="F8" s="47" t="str">
        <f t="shared" si="2"/>
        <v>01</v>
      </c>
      <c r="G8" s="47" t="str">
        <f t="shared" si="3"/>
        <v>2019</v>
      </c>
      <c r="H8" s="40">
        <f t="shared" si="4"/>
        <v>131133.6</v>
      </c>
    </row>
    <row r="9" spans="2:8" x14ac:dyDescent="0.35">
      <c r="B9" s="31" t="s">
        <v>515</v>
      </c>
      <c r="C9" s="29">
        <v>522416.54159999994</v>
      </c>
      <c r="D9" s="46" t="str">
        <f t="shared" si="0"/>
        <v>Consumer Sales 201901</v>
      </c>
      <c r="E9" s="43" t="str">
        <f t="shared" si="1"/>
        <v>Consumer Sales</v>
      </c>
      <c r="F9" s="47" t="str">
        <f t="shared" si="2"/>
        <v>01</v>
      </c>
      <c r="G9" s="47" t="str">
        <f t="shared" si="3"/>
        <v>2019</v>
      </c>
      <c r="H9" s="40">
        <f t="shared" si="4"/>
        <v>522416.54159999994</v>
      </c>
    </row>
    <row r="10" spans="2:8" s="7" customFormat="1" x14ac:dyDescent="0.35">
      <c r="B10" s="31" t="s">
        <v>516</v>
      </c>
      <c r="C10" s="29">
        <v>0</v>
      </c>
      <c r="D10" s="46" t="str">
        <f t="shared" si="0"/>
        <v>Consumer Sales Tooling 201901</v>
      </c>
      <c r="E10" s="43" t="str">
        <f t="shared" si="1"/>
        <v>Consumer Sales Tooling</v>
      </c>
      <c r="F10" s="47" t="str">
        <f t="shared" si="2"/>
        <v>01</v>
      </c>
      <c r="G10" s="47" t="str">
        <f t="shared" si="3"/>
        <v>2019</v>
      </c>
      <c r="H10" s="40">
        <f t="shared" si="4"/>
        <v>0</v>
      </c>
    </row>
    <row r="11" spans="2:8" x14ac:dyDescent="0.35">
      <c r="B11" s="31" t="s">
        <v>517</v>
      </c>
      <c r="C11" s="29">
        <v>9129.6</v>
      </c>
      <c r="D11" s="46" t="str">
        <f t="shared" si="0"/>
        <v>Electronics Sales 201901</v>
      </c>
      <c r="E11" s="43" t="str">
        <f t="shared" si="1"/>
        <v>Electronics Sales</v>
      </c>
      <c r="F11" s="47" t="str">
        <f t="shared" si="2"/>
        <v>01</v>
      </c>
      <c r="G11" s="47" t="str">
        <f t="shared" si="3"/>
        <v>2019</v>
      </c>
      <c r="H11" s="40">
        <f t="shared" si="4"/>
        <v>9129.6</v>
      </c>
    </row>
    <row r="12" spans="2:8" s="7" customFormat="1" x14ac:dyDescent="0.35">
      <c r="B12" s="31" t="s">
        <v>518</v>
      </c>
      <c r="C12" s="29">
        <v>0</v>
      </c>
      <c r="D12" s="46" t="str">
        <f t="shared" si="0"/>
        <v>Electronics Sales Tooling 201901</v>
      </c>
      <c r="E12" s="43" t="str">
        <f t="shared" si="1"/>
        <v>Electronics Sales Tooling</v>
      </c>
      <c r="F12" s="47" t="str">
        <f t="shared" si="2"/>
        <v>01</v>
      </c>
      <c r="G12" s="47" t="str">
        <f t="shared" si="3"/>
        <v>2019</v>
      </c>
      <c r="H12" s="40">
        <f t="shared" si="4"/>
        <v>0</v>
      </c>
    </row>
    <row r="13" spans="2:8" x14ac:dyDescent="0.35">
      <c r="B13" s="31" t="s">
        <v>519</v>
      </c>
      <c r="C13" s="29">
        <v>0</v>
      </c>
      <c r="D13" s="46" t="str">
        <f t="shared" si="0"/>
        <v>Mechanic Sales 201901</v>
      </c>
      <c r="E13" s="43" t="str">
        <f t="shared" si="1"/>
        <v>Mechanic Sales</v>
      </c>
      <c r="F13" s="47" t="str">
        <f t="shared" si="2"/>
        <v>01</v>
      </c>
      <c r="G13" s="47" t="str">
        <f t="shared" si="3"/>
        <v>2019</v>
      </c>
      <c r="H13" s="40">
        <f t="shared" si="4"/>
        <v>0</v>
      </c>
    </row>
    <row r="14" spans="2:8" x14ac:dyDescent="0.35">
      <c r="B14" s="31" t="s">
        <v>520</v>
      </c>
      <c r="C14" s="29">
        <v>0</v>
      </c>
      <c r="D14" s="46" t="str">
        <f t="shared" si="0"/>
        <v>Mechanic Sales Tooling 201901</v>
      </c>
      <c r="E14" s="43" t="str">
        <f t="shared" si="1"/>
        <v>Mechanic Sales Tooling</v>
      </c>
      <c r="F14" s="47" t="str">
        <f t="shared" si="2"/>
        <v>01</v>
      </c>
      <c r="G14" s="47" t="str">
        <f t="shared" si="3"/>
        <v>2019</v>
      </c>
      <c r="H14" s="40">
        <f t="shared" si="4"/>
        <v>0</v>
      </c>
    </row>
    <row r="15" spans="2:8" x14ac:dyDescent="0.35">
      <c r="B15" s="31" t="s">
        <v>521</v>
      </c>
      <c r="C15" s="29">
        <v>0</v>
      </c>
      <c r="D15" s="46" t="str">
        <f t="shared" si="0"/>
        <v>Non Operating sales201901</v>
      </c>
      <c r="E15" s="43" t="str">
        <f t="shared" si="1"/>
        <v>Non Operating sale</v>
      </c>
      <c r="F15" s="47" t="str">
        <f t="shared" si="2"/>
        <v>01</v>
      </c>
      <c r="G15" s="47" t="str">
        <f t="shared" si="3"/>
        <v>2019</v>
      </c>
      <c r="H15" s="40">
        <f t="shared" si="4"/>
        <v>0</v>
      </c>
    </row>
    <row r="16" spans="2:8" x14ac:dyDescent="0.35">
      <c r="B16" s="31" t="s">
        <v>522</v>
      </c>
      <c r="C16" s="29">
        <v>63522.646400000005</v>
      </c>
      <c r="D16" s="46" t="str">
        <f t="shared" si="0"/>
        <v>Partner Sales 201901</v>
      </c>
      <c r="E16" s="43" t="str">
        <f t="shared" si="1"/>
        <v>Partner Sales</v>
      </c>
      <c r="F16" s="47" t="str">
        <f t="shared" si="2"/>
        <v>01</v>
      </c>
      <c r="G16" s="47" t="str">
        <f t="shared" si="3"/>
        <v>2019</v>
      </c>
      <c r="H16" s="40">
        <f t="shared" si="4"/>
        <v>63522.646400000005</v>
      </c>
    </row>
    <row r="17" spans="2:8" x14ac:dyDescent="0.35">
      <c r="B17" s="31" t="s">
        <v>523</v>
      </c>
      <c r="C17" s="29">
        <v>0</v>
      </c>
      <c r="D17" s="46" t="str">
        <f t="shared" si="0"/>
        <v>Partner Sales Tooling 201901</v>
      </c>
      <c r="E17" s="43" t="str">
        <f t="shared" si="1"/>
        <v>Partner Sales Tooling</v>
      </c>
      <c r="F17" s="47" t="str">
        <f t="shared" si="2"/>
        <v>01</v>
      </c>
      <c r="G17" s="47" t="str">
        <f t="shared" si="3"/>
        <v>2019</v>
      </c>
      <c r="H17" s="40">
        <f t="shared" si="4"/>
        <v>0</v>
      </c>
    </row>
    <row r="18" spans="2:8" x14ac:dyDescent="0.35">
      <c r="B18" s="31" t="s">
        <v>524</v>
      </c>
      <c r="C18" s="29">
        <v>-1900.472</v>
      </c>
      <c r="D18" s="46" t="str">
        <f t="shared" si="0"/>
        <v>Sales - Discounts 201901</v>
      </c>
      <c r="E18" s="43" t="str">
        <f t="shared" si="1"/>
        <v>Sales - Discounts</v>
      </c>
      <c r="F18" s="47" t="str">
        <f t="shared" si="2"/>
        <v>01</v>
      </c>
      <c r="G18" s="47" t="str">
        <f t="shared" si="3"/>
        <v>2019</v>
      </c>
      <c r="H18" s="40">
        <f t="shared" si="4"/>
        <v>-1900.472</v>
      </c>
    </row>
    <row r="19" spans="2:8" x14ac:dyDescent="0.35">
      <c r="B19" s="31" t="s">
        <v>525</v>
      </c>
      <c r="C19" s="29">
        <v>314.07050000000004</v>
      </c>
      <c r="D19" s="46" t="str">
        <f t="shared" si="0"/>
        <v>Sales - Freight Out 201901</v>
      </c>
      <c r="E19" s="43" t="str">
        <f t="shared" si="1"/>
        <v>Sales - Freight Out</v>
      </c>
      <c r="F19" s="47" t="str">
        <f t="shared" si="2"/>
        <v>01</v>
      </c>
      <c r="G19" s="47" t="str">
        <f t="shared" si="3"/>
        <v>2019</v>
      </c>
      <c r="H19" s="40">
        <f t="shared" si="4"/>
        <v>314.07050000000004</v>
      </c>
    </row>
    <row r="20" spans="2:8" x14ac:dyDescent="0.35">
      <c r="B20" s="31" t="s">
        <v>526</v>
      </c>
      <c r="C20" s="29">
        <v>-5064.1750000000002</v>
      </c>
      <c r="D20" s="46" t="str">
        <f t="shared" si="0"/>
        <v>Sales - Returns 201901</v>
      </c>
      <c r="E20" s="43" t="str">
        <f t="shared" si="1"/>
        <v>Sales - Returns</v>
      </c>
      <c r="F20" s="47" t="str">
        <f t="shared" si="2"/>
        <v>01</v>
      </c>
      <c r="G20" s="47" t="str">
        <f t="shared" si="3"/>
        <v>2019</v>
      </c>
      <c r="H20" s="40">
        <f t="shared" si="4"/>
        <v>-5064.1750000000002</v>
      </c>
    </row>
    <row r="21" spans="2:8" x14ac:dyDescent="0.35">
      <c r="B21" s="31" t="s">
        <v>527</v>
      </c>
      <c r="C21" s="29">
        <v>242767.86819999997</v>
      </c>
      <c r="D21" s="46" t="str">
        <f t="shared" si="0"/>
        <v>Automotive Sales 201902</v>
      </c>
      <c r="E21" s="43" t="str">
        <f t="shared" si="1"/>
        <v>Automotive Sales</v>
      </c>
      <c r="F21" s="47" t="str">
        <f t="shared" si="2"/>
        <v>02</v>
      </c>
      <c r="G21" s="47" t="str">
        <f t="shared" si="3"/>
        <v>2019</v>
      </c>
      <c r="H21" s="40">
        <f t="shared" si="4"/>
        <v>242767.86819999997</v>
      </c>
    </row>
    <row r="22" spans="2:8" x14ac:dyDescent="0.35">
      <c r="B22" s="31" t="s">
        <v>528</v>
      </c>
      <c r="C22" s="29">
        <v>3975</v>
      </c>
      <c r="D22" s="46" t="str">
        <f t="shared" si="0"/>
        <v>Automotive Sales Tooling 201902</v>
      </c>
      <c r="E22" s="43" t="str">
        <f t="shared" si="1"/>
        <v>Automotive Sales Tooling</v>
      </c>
      <c r="F22" s="47" t="str">
        <f t="shared" si="2"/>
        <v>02</v>
      </c>
      <c r="G22" s="47" t="str">
        <f t="shared" si="3"/>
        <v>2019</v>
      </c>
      <c r="H22" s="40">
        <f t="shared" si="4"/>
        <v>3975</v>
      </c>
    </row>
    <row r="23" spans="2:8" x14ac:dyDescent="0.35">
      <c r="B23" s="31" t="s">
        <v>529</v>
      </c>
      <c r="C23" s="29">
        <v>635380.18950000009</v>
      </c>
      <c r="D23" s="46" t="str">
        <f t="shared" si="0"/>
        <v>Bulk Sales 201902</v>
      </c>
      <c r="E23" s="43" t="str">
        <f t="shared" si="1"/>
        <v>Bulk Sales</v>
      </c>
      <c r="F23" s="47" t="str">
        <f t="shared" si="2"/>
        <v>02</v>
      </c>
      <c r="G23" s="47" t="str">
        <f t="shared" si="3"/>
        <v>2019</v>
      </c>
      <c r="H23" s="40">
        <f t="shared" si="4"/>
        <v>635380.18950000009</v>
      </c>
    </row>
    <row r="24" spans="2:8" x14ac:dyDescent="0.35">
      <c r="B24" s="31" t="s">
        <v>530</v>
      </c>
      <c r="C24" s="29">
        <v>134265.60000000001</v>
      </c>
      <c r="D24" s="46" t="str">
        <f t="shared" si="0"/>
        <v>Bulk Sales Tooling 201902</v>
      </c>
      <c r="E24" s="43" t="str">
        <f t="shared" si="1"/>
        <v>Bulk Sales Tooling</v>
      </c>
      <c r="F24" s="47" t="str">
        <f t="shared" si="2"/>
        <v>02</v>
      </c>
      <c r="G24" s="47" t="str">
        <f t="shared" si="3"/>
        <v>2019</v>
      </c>
      <c r="H24" s="40">
        <f t="shared" si="4"/>
        <v>134265.60000000001</v>
      </c>
    </row>
    <row r="25" spans="2:8" x14ac:dyDescent="0.35">
      <c r="B25" s="31" t="s">
        <v>531</v>
      </c>
      <c r="C25" s="29">
        <v>492292.79999999993</v>
      </c>
      <c r="D25" s="46" t="str">
        <f t="shared" si="0"/>
        <v>Consumer Sales 201902</v>
      </c>
      <c r="E25" s="43" t="str">
        <f t="shared" si="1"/>
        <v>Consumer Sales</v>
      </c>
      <c r="F25" s="47" t="str">
        <f t="shared" si="2"/>
        <v>02</v>
      </c>
      <c r="G25" s="47" t="str">
        <f t="shared" si="3"/>
        <v>2019</v>
      </c>
      <c r="H25" s="40">
        <f t="shared" si="4"/>
        <v>492292.79999999993</v>
      </c>
    </row>
    <row r="26" spans="2:8" x14ac:dyDescent="0.35">
      <c r="B26" s="31" t="s">
        <v>532</v>
      </c>
      <c r="C26" s="29">
        <v>0</v>
      </c>
      <c r="D26" s="46" t="str">
        <f t="shared" si="0"/>
        <v>Consumer Sales Tooling 201902</v>
      </c>
      <c r="E26" s="43" t="str">
        <f t="shared" si="1"/>
        <v>Consumer Sales Tooling</v>
      </c>
      <c r="F26" s="47" t="str">
        <f t="shared" si="2"/>
        <v>02</v>
      </c>
      <c r="G26" s="47" t="str">
        <f t="shared" si="3"/>
        <v>2019</v>
      </c>
      <c r="H26" s="40">
        <f t="shared" si="4"/>
        <v>0</v>
      </c>
    </row>
    <row r="27" spans="2:8" x14ac:dyDescent="0.35">
      <c r="B27" s="31" t="s">
        <v>533</v>
      </c>
      <c r="C27" s="29">
        <v>6447.384</v>
      </c>
      <c r="D27" s="46" t="str">
        <f t="shared" si="0"/>
        <v>Electronics Sales 201902</v>
      </c>
      <c r="E27" s="43" t="str">
        <f t="shared" si="1"/>
        <v>Electronics Sales</v>
      </c>
      <c r="F27" s="47" t="str">
        <f t="shared" si="2"/>
        <v>02</v>
      </c>
      <c r="G27" s="47" t="str">
        <f t="shared" si="3"/>
        <v>2019</v>
      </c>
      <c r="H27" s="40">
        <f t="shared" si="4"/>
        <v>6447.384</v>
      </c>
    </row>
    <row r="28" spans="2:8" x14ac:dyDescent="0.35">
      <c r="B28" s="31" t="s">
        <v>534</v>
      </c>
      <c r="C28" s="29">
        <v>0</v>
      </c>
      <c r="D28" s="46" t="str">
        <f t="shared" si="0"/>
        <v>Electronics Sales Tooling 201902</v>
      </c>
      <c r="E28" s="43" t="str">
        <f t="shared" si="1"/>
        <v>Electronics Sales Tooling</v>
      </c>
      <c r="F28" s="47" t="str">
        <f t="shared" si="2"/>
        <v>02</v>
      </c>
      <c r="G28" s="47" t="str">
        <f t="shared" si="3"/>
        <v>2019</v>
      </c>
      <c r="H28" s="40">
        <f t="shared" si="4"/>
        <v>0</v>
      </c>
    </row>
    <row r="29" spans="2:8" x14ac:dyDescent="0.35">
      <c r="B29" s="31" t="s">
        <v>535</v>
      </c>
      <c r="C29" s="29">
        <v>64424.97</v>
      </c>
      <c r="D29" s="46" t="str">
        <f t="shared" si="0"/>
        <v>Mechanic Sales 201902</v>
      </c>
      <c r="E29" s="43" t="str">
        <f t="shared" si="1"/>
        <v>Mechanic Sales</v>
      </c>
      <c r="F29" s="47" t="str">
        <f t="shared" si="2"/>
        <v>02</v>
      </c>
      <c r="G29" s="47" t="str">
        <f t="shared" si="3"/>
        <v>2019</v>
      </c>
      <c r="H29" s="40">
        <f t="shared" si="4"/>
        <v>64424.97</v>
      </c>
    </row>
    <row r="30" spans="2:8" x14ac:dyDescent="0.35">
      <c r="B30" s="31" t="s">
        <v>536</v>
      </c>
      <c r="C30" s="29">
        <v>22764.449999999997</v>
      </c>
      <c r="D30" s="46" t="str">
        <f t="shared" si="0"/>
        <v>Mechanic Sales Tooling 201902</v>
      </c>
      <c r="E30" s="43" t="str">
        <f t="shared" si="1"/>
        <v>Mechanic Sales Tooling</v>
      </c>
      <c r="F30" s="47" t="str">
        <f t="shared" si="2"/>
        <v>02</v>
      </c>
      <c r="G30" s="47" t="str">
        <f t="shared" si="3"/>
        <v>2019</v>
      </c>
      <c r="H30" s="40">
        <f t="shared" si="4"/>
        <v>22764.449999999997</v>
      </c>
    </row>
    <row r="31" spans="2:8" x14ac:dyDescent="0.35">
      <c r="B31" s="31" t="s">
        <v>537</v>
      </c>
      <c r="C31" s="29">
        <v>0</v>
      </c>
      <c r="D31" s="46" t="str">
        <f t="shared" si="0"/>
        <v>Non Operating sales201902</v>
      </c>
      <c r="E31" s="43" t="str">
        <f t="shared" si="1"/>
        <v>Non Operating sale</v>
      </c>
      <c r="F31" s="47" t="str">
        <f t="shared" si="2"/>
        <v>02</v>
      </c>
      <c r="G31" s="47" t="str">
        <f t="shared" si="3"/>
        <v>2019</v>
      </c>
      <c r="H31" s="40">
        <f t="shared" si="4"/>
        <v>0</v>
      </c>
    </row>
    <row r="32" spans="2:8" x14ac:dyDescent="0.35">
      <c r="B32" s="31" t="s">
        <v>538</v>
      </c>
      <c r="C32" s="29">
        <v>84865.83140000001</v>
      </c>
      <c r="D32" s="46" t="str">
        <f t="shared" si="0"/>
        <v>Partner Sales 201902</v>
      </c>
      <c r="E32" s="43" t="str">
        <f t="shared" si="1"/>
        <v>Partner Sales</v>
      </c>
      <c r="F32" s="47" t="str">
        <f t="shared" si="2"/>
        <v>02</v>
      </c>
      <c r="G32" s="47" t="str">
        <f t="shared" si="3"/>
        <v>2019</v>
      </c>
      <c r="H32" s="40">
        <f t="shared" si="4"/>
        <v>84865.83140000001</v>
      </c>
    </row>
    <row r="33" spans="2:8" x14ac:dyDescent="0.35">
      <c r="B33" s="31" t="s">
        <v>539</v>
      </c>
      <c r="C33" s="29">
        <v>0</v>
      </c>
      <c r="D33" s="46" t="str">
        <f t="shared" si="0"/>
        <v>Partner Sales Tooling 201902</v>
      </c>
      <c r="E33" s="43" t="str">
        <f t="shared" si="1"/>
        <v>Partner Sales Tooling</v>
      </c>
      <c r="F33" s="47" t="str">
        <f t="shared" si="2"/>
        <v>02</v>
      </c>
      <c r="G33" s="47" t="str">
        <f t="shared" si="3"/>
        <v>2019</v>
      </c>
      <c r="H33" s="40">
        <f t="shared" si="4"/>
        <v>0</v>
      </c>
    </row>
    <row r="34" spans="2:8" x14ac:dyDescent="0.35">
      <c r="B34" s="31" t="s">
        <v>540</v>
      </c>
      <c r="C34" s="29">
        <v>-6560.0919999999996</v>
      </c>
      <c r="D34" s="46" t="str">
        <f t="shared" si="0"/>
        <v>Sales - Discounts 201902</v>
      </c>
      <c r="E34" s="43" t="str">
        <f t="shared" si="1"/>
        <v>Sales - Discounts</v>
      </c>
      <c r="F34" s="47" t="str">
        <f t="shared" si="2"/>
        <v>02</v>
      </c>
      <c r="G34" s="47" t="str">
        <f t="shared" si="3"/>
        <v>2019</v>
      </c>
      <c r="H34" s="40">
        <f t="shared" si="4"/>
        <v>-6560.0919999999996</v>
      </c>
    </row>
    <row r="35" spans="2:8" x14ac:dyDescent="0.35">
      <c r="B35" s="31" t="s">
        <v>541</v>
      </c>
      <c r="C35" s="29">
        <v>372.25590000000005</v>
      </c>
      <c r="D35" s="46" t="str">
        <f t="shared" si="0"/>
        <v>Sales - Freight Out 201902</v>
      </c>
      <c r="E35" s="43" t="str">
        <f t="shared" si="1"/>
        <v>Sales - Freight Out</v>
      </c>
      <c r="F35" s="47" t="str">
        <f t="shared" si="2"/>
        <v>02</v>
      </c>
      <c r="G35" s="47" t="str">
        <f t="shared" si="3"/>
        <v>2019</v>
      </c>
      <c r="H35" s="40">
        <f t="shared" si="4"/>
        <v>372.25590000000005</v>
      </c>
    </row>
    <row r="36" spans="2:8" x14ac:dyDescent="0.35">
      <c r="B36" s="31" t="s">
        <v>542</v>
      </c>
      <c r="C36" s="29">
        <v>-380.9375</v>
      </c>
      <c r="D36" s="46" t="str">
        <f t="shared" si="0"/>
        <v>Sales - Returns 201902</v>
      </c>
      <c r="E36" s="43" t="str">
        <f t="shared" si="1"/>
        <v>Sales - Returns</v>
      </c>
      <c r="F36" s="47" t="str">
        <f t="shared" si="2"/>
        <v>02</v>
      </c>
      <c r="G36" s="47" t="str">
        <f t="shared" si="3"/>
        <v>2019</v>
      </c>
      <c r="H36" s="40">
        <f t="shared" si="4"/>
        <v>-380.9375</v>
      </c>
    </row>
    <row r="37" spans="2:8" x14ac:dyDescent="0.35">
      <c r="B37" s="31" t="s">
        <v>543</v>
      </c>
      <c r="C37" s="29">
        <v>313154.31289999996</v>
      </c>
      <c r="D37" s="46" t="str">
        <f t="shared" si="0"/>
        <v>Automotive Sales 201903</v>
      </c>
      <c r="E37" s="43" t="str">
        <f t="shared" si="1"/>
        <v>Automotive Sales</v>
      </c>
      <c r="F37" s="47" t="str">
        <f t="shared" si="2"/>
        <v>03</v>
      </c>
      <c r="G37" s="47" t="str">
        <f t="shared" si="3"/>
        <v>2019</v>
      </c>
      <c r="H37" s="40">
        <f t="shared" si="4"/>
        <v>313154.31289999996</v>
      </c>
    </row>
    <row r="38" spans="2:8" x14ac:dyDescent="0.35">
      <c r="B38" s="31" t="s">
        <v>544</v>
      </c>
      <c r="C38" s="29">
        <v>32012</v>
      </c>
      <c r="D38" s="46" t="str">
        <f t="shared" si="0"/>
        <v>Automotive Sales Tooling 201903</v>
      </c>
      <c r="E38" s="43" t="str">
        <f t="shared" si="1"/>
        <v>Automotive Sales Tooling</v>
      </c>
      <c r="F38" s="47" t="str">
        <f t="shared" si="2"/>
        <v>03</v>
      </c>
      <c r="G38" s="47" t="str">
        <f t="shared" si="3"/>
        <v>2019</v>
      </c>
      <c r="H38" s="40">
        <f t="shared" si="4"/>
        <v>32012</v>
      </c>
    </row>
    <row r="39" spans="2:8" x14ac:dyDescent="0.35">
      <c r="B39" s="31" t="s">
        <v>545</v>
      </c>
      <c r="C39" s="29">
        <v>795176.59110000008</v>
      </c>
      <c r="D39" s="46" t="str">
        <f t="shared" si="0"/>
        <v>Bulk Sales 201903</v>
      </c>
      <c r="E39" s="43" t="str">
        <f t="shared" si="1"/>
        <v>Bulk Sales</v>
      </c>
      <c r="F39" s="47" t="str">
        <f t="shared" si="2"/>
        <v>03</v>
      </c>
      <c r="G39" s="47" t="str">
        <f t="shared" si="3"/>
        <v>2019</v>
      </c>
      <c r="H39" s="40">
        <f t="shared" si="4"/>
        <v>795176.59110000008</v>
      </c>
    </row>
    <row r="40" spans="2:8" x14ac:dyDescent="0.35">
      <c r="B40" s="31" t="s">
        <v>546</v>
      </c>
      <c r="C40" s="29">
        <v>547444.79999999993</v>
      </c>
      <c r="D40" s="46" t="str">
        <f t="shared" si="0"/>
        <v>Bulk Sales Tooling 201903</v>
      </c>
      <c r="E40" s="43" t="str">
        <f t="shared" si="1"/>
        <v>Bulk Sales Tooling</v>
      </c>
      <c r="F40" s="47" t="str">
        <f t="shared" si="2"/>
        <v>03</v>
      </c>
      <c r="G40" s="47" t="str">
        <f t="shared" si="3"/>
        <v>2019</v>
      </c>
      <c r="H40" s="40">
        <f t="shared" si="4"/>
        <v>547444.79999999993</v>
      </c>
    </row>
    <row r="41" spans="2:8" x14ac:dyDescent="0.35">
      <c r="B41" s="31" t="s">
        <v>547</v>
      </c>
      <c r="C41" s="29">
        <v>561853.53599999996</v>
      </c>
      <c r="D41" s="46" t="str">
        <f t="shared" si="0"/>
        <v>Consumer Sales 201903</v>
      </c>
      <c r="E41" s="43" t="str">
        <f t="shared" si="1"/>
        <v>Consumer Sales</v>
      </c>
      <c r="F41" s="47" t="str">
        <f t="shared" si="2"/>
        <v>03</v>
      </c>
      <c r="G41" s="47" t="str">
        <f t="shared" si="3"/>
        <v>2019</v>
      </c>
      <c r="H41" s="40">
        <f t="shared" si="4"/>
        <v>561853.53599999996</v>
      </c>
    </row>
    <row r="42" spans="2:8" x14ac:dyDescent="0.35">
      <c r="B42" s="31" t="s">
        <v>548</v>
      </c>
      <c r="C42" s="29">
        <v>0</v>
      </c>
      <c r="D42" s="46" t="str">
        <f t="shared" si="0"/>
        <v>Consumer Sales Tooling 201903</v>
      </c>
      <c r="E42" s="43" t="str">
        <f t="shared" si="1"/>
        <v>Consumer Sales Tooling</v>
      </c>
      <c r="F42" s="47" t="str">
        <f t="shared" si="2"/>
        <v>03</v>
      </c>
      <c r="G42" s="47" t="str">
        <f t="shared" si="3"/>
        <v>2019</v>
      </c>
      <c r="H42" s="40">
        <f t="shared" si="4"/>
        <v>0</v>
      </c>
    </row>
    <row r="43" spans="2:8" x14ac:dyDescent="0.35">
      <c r="B43" s="31" t="s">
        <v>549</v>
      </c>
      <c r="C43" s="29">
        <v>3885.12</v>
      </c>
      <c r="D43" s="46" t="str">
        <f t="shared" si="0"/>
        <v>Electronics Sales 201903</v>
      </c>
      <c r="E43" s="43" t="str">
        <f t="shared" si="1"/>
        <v>Electronics Sales</v>
      </c>
      <c r="F43" s="47" t="str">
        <f t="shared" si="2"/>
        <v>03</v>
      </c>
      <c r="G43" s="47" t="str">
        <f t="shared" si="3"/>
        <v>2019</v>
      </c>
      <c r="H43" s="40">
        <f t="shared" si="4"/>
        <v>3885.12</v>
      </c>
    </row>
    <row r="44" spans="2:8" x14ac:dyDescent="0.35">
      <c r="B44" s="31" t="s">
        <v>550</v>
      </c>
      <c r="C44" s="29">
        <v>0</v>
      </c>
      <c r="D44" s="46" t="str">
        <f t="shared" si="0"/>
        <v>Electronics Sales Tooling 201903</v>
      </c>
      <c r="E44" s="43" t="str">
        <f t="shared" si="1"/>
        <v>Electronics Sales Tooling</v>
      </c>
      <c r="F44" s="47" t="str">
        <f t="shared" si="2"/>
        <v>03</v>
      </c>
      <c r="G44" s="47" t="str">
        <f t="shared" si="3"/>
        <v>2019</v>
      </c>
      <c r="H44" s="40">
        <f t="shared" si="4"/>
        <v>0</v>
      </c>
    </row>
    <row r="45" spans="2:8" x14ac:dyDescent="0.35">
      <c r="B45" s="31" t="s">
        <v>551</v>
      </c>
      <c r="C45" s="29">
        <v>118260</v>
      </c>
      <c r="D45" s="46" t="str">
        <f t="shared" si="0"/>
        <v>Mechanic Sales 201903</v>
      </c>
      <c r="E45" s="43" t="str">
        <f t="shared" si="1"/>
        <v>Mechanic Sales</v>
      </c>
      <c r="F45" s="47" t="str">
        <f t="shared" si="2"/>
        <v>03</v>
      </c>
      <c r="G45" s="47" t="str">
        <f t="shared" si="3"/>
        <v>2019</v>
      </c>
      <c r="H45" s="40">
        <f t="shared" si="4"/>
        <v>118260</v>
      </c>
    </row>
    <row r="46" spans="2:8" x14ac:dyDescent="0.35">
      <c r="B46" s="31" t="s">
        <v>552</v>
      </c>
      <c r="C46" s="29">
        <v>14919.21</v>
      </c>
      <c r="D46" s="46" t="str">
        <f t="shared" si="0"/>
        <v>Mechanic Sales Tooling 201903</v>
      </c>
      <c r="E46" s="43" t="str">
        <f t="shared" si="1"/>
        <v>Mechanic Sales Tooling</v>
      </c>
      <c r="F46" s="47" t="str">
        <f t="shared" si="2"/>
        <v>03</v>
      </c>
      <c r="G46" s="47" t="str">
        <f t="shared" si="3"/>
        <v>2019</v>
      </c>
      <c r="H46" s="40">
        <f t="shared" si="4"/>
        <v>14919.21</v>
      </c>
    </row>
    <row r="47" spans="2:8" x14ac:dyDescent="0.35">
      <c r="B47" s="31" t="s">
        <v>553</v>
      </c>
      <c r="C47" s="29">
        <v>0</v>
      </c>
      <c r="D47" s="46" t="str">
        <f t="shared" si="0"/>
        <v>Non Operating sales201903</v>
      </c>
      <c r="E47" s="43" t="str">
        <f t="shared" si="1"/>
        <v>Non Operating sale</v>
      </c>
      <c r="F47" s="47" t="str">
        <f t="shared" si="2"/>
        <v>03</v>
      </c>
      <c r="G47" s="47" t="str">
        <f t="shared" si="3"/>
        <v>2019</v>
      </c>
      <c r="H47" s="40">
        <f t="shared" si="4"/>
        <v>0</v>
      </c>
    </row>
    <row r="48" spans="2:8" x14ac:dyDescent="0.35">
      <c r="B48" s="31" t="s">
        <v>554</v>
      </c>
      <c r="C48" s="29">
        <v>259910.63440000001</v>
      </c>
      <c r="D48" s="46" t="str">
        <f t="shared" si="0"/>
        <v>Partner Sales 201903</v>
      </c>
      <c r="E48" s="43" t="str">
        <f t="shared" si="1"/>
        <v>Partner Sales</v>
      </c>
      <c r="F48" s="47" t="str">
        <f t="shared" si="2"/>
        <v>03</v>
      </c>
      <c r="G48" s="47" t="str">
        <f t="shared" si="3"/>
        <v>2019</v>
      </c>
      <c r="H48" s="40">
        <f t="shared" si="4"/>
        <v>259910.63440000001</v>
      </c>
    </row>
    <row r="49" spans="2:8" x14ac:dyDescent="0.35">
      <c r="B49" s="31" t="s">
        <v>555</v>
      </c>
      <c r="C49" s="29">
        <v>112703.90999999999</v>
      </c>
      <c r="D49" s="46" t="str">
        <f t="shared" si="0"/>
        <v>Partner Sales Tooling 201903</v>
      </c>
      <c r="E49" s="43" t="str">
        <f t="shared" si="1"/>
        <v>Partner Sales Tooling</v>
      </c>
      <c r="F49" s="47" t="str">
        <f t="shared" si="2"/>
        <v>03</v>
      </c>
      <c r="G49" s="47" t="str">
        <f t="shared" si="3"/>
        <v>2019</v>
      </c>
      <c r="H49" s="40">
        <f t="shared" si="4"/>
        <v>112703.90999999999</v>
      </c>
    </row>
    <row r="50" spans="2:8" x14ac:dyDescent="0.35">
      <c r="B50" s="31" t="s">
        <v>556</v>
      </c>
      <c r="C50" s="29">
        <v>-3621.9959999999996</v>
      </c>
      <c r="D50" s="46" t="str">
        <f t="shared" si="0"/>
        <v>Sales - Discounts 201903</v>
      </c>
      <c r="E50" s="43" t="str">
        <f t="shared" si="1"/>
        <v>Sales - Discounts</v>
      </c>
      <c r="F50" s="47" t="str">
        <f t="shared" si="2"/>
        <v>03</v>
      </c>
      <c r="G50" s="47" t="str">
        <f t="shared" si="3"/>
        <v>2019</v>
      </c>
      <c r="H50" s="40">
        <f t="shared" si="4"/>
        <v>-3621.9959999999996</v>
      </c>
    </row>
    <row r="51" spans="2:8" x14ac:dyDescent="0.35">
      <c r="B51" s="31" t="s">
        <v>557</v>
      </c>
      <c r="C51" s="29">
        <v>5450.4402</v>
      </c>
      <c r="D51" s="46" t="str">
        <f t="shared" si="0"/>
        <v>Sales - Freight Out 201903</v>
      </c>
      <c r="E51" s="43" t="str">
        <f t="shared" si="1"/>
        <v>Sales - Freight Out</v>
      </c>
      <c r="F51" s="47" t="str">
        <f t="shared" si="2"/>
        <v>03</v>
      </c>
      <c r="G51" s="47" t="str">
        <f t="shared" si="3"/>
        <v>2019</v>
      </c>
      <c r="H51" s="40">
        <f t="shared" si="4"/>
        <v>5450.4402</v>
      </c>
    </row>
    <row r="52" spans="2:8" x14ac:dyDescent="0.35">
      <c r="B52" s="31" t="s">
        <v>558</v>
      </c>
      <c r="C52" s="29">
        <v>-1875</v>
      </c>
      <c r="D52" s="46" t="str">
        <f t="shared" si="0"/>
        <v>Sales - Returns 201903</v>
      </c>
      <c r="E52" s="43" t="str">
        <f t="shared" si="1"/>
        <v>Sales - Returns</v>
      </c>
      <c r="F52" s="47" t="str">
        <f t="shared" si="2"/>
        <v>03</v>
      </c>
      <c r="G52" s="47" t="str">
        <f t="shared" si="3"/>
        <v>2019</v>
      </c>
      <c r="H52" s="40">
        <f t="shared" si="4"/>
        <v>-1875</v>
      </c>
    </row>
    <row r="53" spans="2:8" x14ac:dyDescent="0.35">
      <c r="B53" s="31" t="s">
        <v>559</v>
      </c>
      <c r="C53" s="29">
        <v>210869.11560000002</v>
      </c>
      <c r="D53" s="46" t="str">
        <f t="shared" si="0"/>
        <v>Automotive Sales 201904</v>
      </c>
      <c r="E53" s="43" t="str">
        <f t="shared" si="1"/>
        <v>Automotive Sales</v>
      </c>
      <c r="F53" s="47" t="str">
        <f t="shared" si="2"/>
        <v>04</v>
      </c>
      <c r="G53" s="47" t="str">
        <f t="shared" si="3"/>
        <v>2019</v>
      </c>
      <c r="H53" s="40">
        <f t="shared" si="4"/>
        <v>210869.11560000002</v>
      </c>
    </row>
    <row r="54" spans="2:8" x14ac:dyDescent="0.35">
      <c r="B54" s="31" t="s">
        <v>560</v>
      </c>
      <c r="C54" s="29">
        <v>49820</v>
      </c>
      <c r="D54" s="46" t="str">
        <f t="shared" si="0"/>
        <v>Automotive Sales Tooling 201904</v>
      </c>
      <c r="E54" s="43" t="str">
        <f t="shared" si="1"/>
        <v>Automotive Sales Tooling</v>
      </c>
      <c r="F54" s="47" t="str">
        <f t="shared" si="2"/>
        <v>04</v>
      </c>
      <c r="G54" s="47" t="str">
        <f t="shared" si="3"/>
        <v>2019</v>
      </c>
      <c r="H54" s="40">
        <f t="shared" si="4"/>
        <v>49820</v>
      </c>
    </row>
    <row r="55" spans="2:8" x14ac:dyDescent="0.35">
      <c r="B55" s="31" t="s">
        <v>561</v>
      </c>
      <c r="C55" s="29">
        <v>666805.33730000001</v>
      </c>
      <c r="D55" s="46" t="str">
        <f t="shared" si="0"/>
        <v>Bulk Sales 201904</v>
      </c>
      <c r="E55" s="43" t="str">
        <f t="shared" si="1"/>
        <v>Bulk Sales</v>
      </c>
      <c r="F55" s="47" t="str">
        <f t="shared" si="2"/>
        <v>04</v>
      </c>
      <c r="G55" s="47" t="str">
        <f t="shared" si="3"/>
        <v>2019</v>
      </c>
      <c r="H55" s="40">
        <f t="shared" si="4"/>
        <v>666805.33730000001</v>
      </c>
    </row>
    <row r="56" spans="2:8" x14ac:dyDescent="0.35">
      <c r="B56" s="31" t="s">
        <v>562</v>
      </c>
      <c r="C56" s="29">
        <v>3024</v>
      </c>
      <c r="D56" s="46" t="str">
        <f t="shared" si="0"/>
        <v>Bulk Sales Tooling 201904</v>
      </c>
      <c r="E56" s="43" t="str">
        <f t="shared" si="1"/>
        <v>Bulk Sales Tooling</v>
      </c>
      <c r="F56" s="47" t="str">
        <f t="shared" si="2"/>
        <v>04</v>
      </c>
      <c r="G56" s="47" t="str">
        <f t="shared" si="3"/>
        <v>2019</v>
      </c>
      <c r="H56" s="40">
        <f t="shared" si="4"/>
        <v>3024</v>
      </c>
    </row>
    <row r="57" spans="2:8" x14ac:dyDescent="0.35">
      <c r="B57" s="31" t="s">
        <v>563</v>
      </c>
      <c r="C57" s="29">
        <v>376897.0175999999</v>
      </c>
      <c r="D57" s="46" t="str">
        <f t="shared" si="0"/>
        <v>Consumer Sales 201904</v>
      </c>
      <c r="E57" s="43" t="str">
        <f t="shared" si="1"/>
        <v>Consumer Sales</v>
      </c>
      <c r="F57" s="47" t="str">
        <f t="shared" si="2"/>
        <v>04</v>
      </c>
      <c r="G57" s="47" t="str">
        <f t="shared" si="3"/>
        <v>2019</v>
      </c>
      <c r="H57" s="40">
        <f t="shared" si="4"/>
        <v>376897.0175999999</v>
      </c>
    </row>
    <row r="58" spans="2:8" x14ac:dyDescent="0.35">
      <c r="B58" s="31" t="s">
        <v>564</v>
      </c>
      <c r="C58" s="29">
        <v>0</v>
      </c>
      <c r="D58" s="46" t="str">
        <f t="shared" si="0"/>
        <v>Consumer Sales Tooling 201904</v>
      </c>
      <c r="E58" s="43" t="str">
        <f t="shared" si="1"/>
        <v>Consumer Sales Tooling</v>
      </c>
      <c r="F58" s="47" t="str">
        <f t="shared" si="2"/>
        <v>04</v>
      </c>
      <c r="G58" s="47" t="str">
        <f t="shared" si="3"/>
        <v>2019</v>
      </c>
      <c r="H58" s="40">
        <f t="shared" si="4"/>
        <v>0</v>
      </c>
    </row>
    <row r="59" spans="2:8" x14ac:dyDescent="0.35">
      <c r="B59" s="31" t="s">
        <v>565</v>
      </c>
      <c r="C59" s="29">
        <v>3845.8079999999995</v>
      </c>
      <c r="D59" s="46" t="str">
        <f t="shared" si="0"/>
        <v>Electronics Sales 201904</v>
      </c>
      <c r="E59" s="43" t="str">
        <f t="shared" si="1"/>
        <v>Electronics Sales</v>
      </c>
      <c r="F59" s="47" t="str">
        <f t="shared" si="2"/>
        <v>04</v>
      </c>
      <c r="G59" s="47" t="str">
        <f t="shared" si="3"/>
        <v>2019</v>
      </c>
      <c r="H59" s="40">
        <f t="shared" si="4"/>
        <v>3845.8079999999995</v>
      </c>
    </row>
    <row r="60" spans="2:8" x14ac:dyDescent="0.35">
      <c r="B60" s="31" t="s">
        <v>566</v>
      </c>
      <c r="C60" s="29">
        <v>0</v>
      </c>
      <c r="D60" s="46" t="str">
        <f t="shared" si="0"/>
        <v>Electronics Sales Tooling 201904</v>
      </c>
      <c r="E60" s="43" t="str">
        <f t="shared" si="1"/>
        <v>Electronics Sales Tooling</v>
      </c>
      <c r="F60" s="47" t="str">
        <f t="shared" si="2"/>
        <v>04</v>
      </c>
      <c r="G60" s="47" t="str">
        <f t="shared" si="3"/>
        <v>2019</v>
      </c>
      <c r="H60" s="40">
        <f t="shared" si="4"/>
        <v>0</v>
      </c>
    </row>
    <row r="61" spans="2:8" x14ac:dyDescent="0.35">
      <c r="B61" s="31" t="s">
        <v>567</v>
      </c>
      <c r="C61" s="29">
        <v>59701.59</v>
      </c>
      <c r="D61" s="46" t="str">
        <f t="shared" si="0"/>
        <v>Mechanic Sales 201904</v>
      </c>
      <c r="E61" s="43" t="str">
        <f t="shared" si="1"/>
        <v>Mechanic Sales</v>
      </c>
      <c r="F61" s="47" t="str">
        <f t="shared" si="2"/>
        <v>04</v>
      </c>
      <c r="G61" s="47" t="str">
        <f t="shared" si="3"/>
        <v>2019</v>
      </c>
      <c r="H61" s="40">
        <f t="shared" si="4"/>
        <v>59701.59</v>
      </c>
    </row>
    <row r="62" spans="2:8" x14ac:dyDescent="0.35">
      <c r="B62" s="31" t="s">
        <v>568</v>
      </c>
      <c r="C62" s="29">
        <v>0</v>
      </c>
      <c r="D62" s="46" t="str">
        <f t="shared" si="0"/>
        <v>Mechanic Sales Tooling 201904</v>
      </c>
      <c r="E62" s="43" t="str">
        <f t="shared" si="1"/>
        <v>Mechanic Sales Tooling</v>
      </c>
      <c r="F62" s="47" t="str">
        <f t="shared" si="2"/>
        <v>04</v>
      </c>
      <c r="G62" s="47" t="str">
        <f t="shared" si="3"/>
        <v>2019</v>
      </c>
      <c r="H62" s="40">
        <f t="shared" si="4"/>
        <v>0</v>
      </c>
    </row>
    <row r="63" spans="2:8" x14ac:dyDescent="0.35">
      <c r="B63" s="31" t="s">
        <v>569</v>
      </c>
      <c r="C63" s="29">
        <v>0</v>
      </c>
      <c r="D63" s="46" t="str">
        <f t="shared" si="0"/>
        <v>Non Operating sales201904</v>
      </c>
      <c r="E63" s="43" t="str">
        <f t="shared" si="1"/>
        <v>Non Operating sale</v>
      </c>
      <c r="F63" s="47" t="str">
        <f t="shared" si="2"/>
        <v>04</v>
      </c>
      <c r="G63" s="47" t="str">
        <f t="shared" si="3"/>
        <v>2019</v>
      </c>
      <c r="H63" s="40">
        <f t="shared" si="4"/>
        <v>0</v>
      </c>
    </row>
    <row r="64" spans="2:8" x14ac:dyDescent="0.35">
      <c r="B64" s="31" t="s">
        <v>570</v>
      </c>
      <c r="C64" s="29">
        <v>125345.04720000002</v>
      </c>
      <c r="D64" s="46" t="str">
        <f t="shared" si="0"/>
        <v>Partner Sales 201904</v>
      </c>
      <c r="E64" s="43" t="str">
        <f t="shared" si="1"/>
        <v>Partner Sales</v>
      </c>
      <c r="F64" s="47" t="str">
        <f t="shared" si="2"/>
        <v>04</v>
      </c>
      <c r="G64" s="47" t="str">
        <f t="shared" si="3"/>
        <v>2019</v>
      </c>
      <c r="H64" s="40">
        <f t="shared" si="4"/>
        <v>125345.04720000002</v>
      </c>
    </row>
    <row r="65" spans="2:8" x14ac:dyDescent="0.35">
      <c r="B65" s="31" t="s">
        <v>571</v>
      </c>
      <c r="C65" s="29">
        <v>-12090</v>
      </c>
      <c r="D65" s="46" t="str">
        <f t="shared" si="0"/>
        <v>Partner Sales Tooling 201904</v>
      </c>
      <c r="E65" s="43" t="str">
        <f t="shared" si="1"/>
        <v>Partner Sales Tooling</v>
      </c>
      <c r="F65" s="47" t="str">
        <f t="shared" si="2"/>
        <v>04</v>
      </c>
      <c r="G65" s="47" t="str">
        <f t="shared" si="3"/>
        <v>2019</v>
      </c>
      <c r="H65" s="40">
        <f t="shared" si="4"/>
        <v>-12090</v>
      </c>
    </row>
    <row r="66" spans="2:8" x14ac:dyDescent="0.35">
      <c r="B66" s="31" t="s">
        <v>572</v>
      </c>
      <c r="C66" s="29">
        <v>-2120.6779999999999</v>
      </c>
      <c r="D66" s="46" t="str">
        <f t="shared" si="0"/>
        <v>Sales - Discounts 201904</v>
      </c>
      <c r="E66" s="43" t="str">
        <f t="shared" si="1"/>
        <v>Sales - Discounts</v>
      </c>
      <c r="F66" s="47" t="str">
        <f t="shared" si="2"/>
        <v>04</v>
      </c>
      <c r="G66" s="47" t="str">
        <f t="shared" si="3"/>
        <v>2019</v>
      </c>
      <c r="H66" s="40">
        <f t="shared" si="4"/>
        <v>-2120.6779999999999</v>
      </c>
    </row>
    <row r="67" spans="2:8" x14ac:dyDescent="0.35">
      <c r="B67" s="31" t="s">
        <v>573</v>
      </c>
      <c r="C67" s="29">
        <v>26.493400000000001</v>
      </c>
      <c r="D67" s="46" t="str">
        <f t="shared" si="0"/>
        <v>Sales - Freight Out 201904</v>
      </c>
      <c r="E67" s="43" t="str">
        <f t="shared" si="1"/>
        <v>Sales - Freight Out</v>
      </c>
      <c r="F67" s="47" t="str">
        <f t="shared" si="2"/>
        <v>04</v>
      </c>
      <c r="G67" s="47" t="str">
        <f t="shared" si="3"/>
        <v>2019</v>
      </c>
      <c r="H67" s="40">
        <f t="shared" si="4"/>
        <v>26.493400000000001</v>
      </c>
    </row>
    <row r="68" spans="2:8" x14ac:dyDescent="0.35">
      <c r="B68" s="31" t="s">
        <v>574</v>
      </c>
      <c r="C68" s="29">
        <v>-4716.8125</v>
      </c>
      <c r="D68" s="46" t="str">
        <f t="shared" si="0"/>
        <v>Sales - Returns 201904</v>
      </c>
      <c r="E68" s="43" t="str">
        <f t="shared" si="1"/>
        <v>Sales - Returns</v>
      </c>
      <c r="F68" s="47" t="str">
        <f t="shared" si="2"/>
        <v>04</v>
      </c>
      <c r="G68" s="47" t="str">
        <f t="shared" si="3"/>
        <v>2019</v>
      </c>
      <c r="H68" s="40">
        <f t="shared" si="4"/>
        <v>-4716.8125</v>
      </c>
    </row>
    <row r="69" spans="2:8" x14ac:dyDescent="0.35">
      <c r="B69" s="31" t="s">
        <v>575</v>
      </c>
      <c r="C69" s="29">
        <v>352905.36709999997</v>
      </c>
      <c r="D69" s="46" t="str">
        <f t="shared" si="0"/>
        <v>Automotive Sales 201905</v>
      </c>
      <c r="E69" s="43" t="str">
        <f t="shared" si="1"/>
        <v>Automotive Sales</v>
      </c>
      <c r="F69" s="47" t="str">
        <f t="shared" si="2"/>
        <v>05</v>
      </c>
      <c r="G69" s="47" t="str">
        <f t="shared" si="3"/>
        <v>2019</v>
      </c>
      <c r="H69" s="40">
        <f t="shared" si="4"/>
        <v>352905.36709999997</v>
      </c>
    </row>
    <row r="70" spans="2:8" x14ac:dyDescent="0.35">
      <c r="B70" s="31" t="s">
        <v>576</v>
      </c>
      <c r="C70" s="29">
        <v>0</v>
      </c>
      <c r="D70" s="46" t="str">
        <f t="shared" ref="D70:D133" si="5">TRIM(B70)</f>
        <v>Automotive Sales Tooling 201905</v>
      </c>
      <c r="E70" s="43" t="str">
        <f t="shared" ref="E70:E133" si="6">LEFT(D70,LEN(D70)-7)</f>
        <v>Automotive Sales Tooling</v>
      </c>
      <c r="F70" s="47" t="str">
        <f t="shared" ref="F70:F133" si="7">RIGHT(D70,2)</f>
        <v>05</v>
      </c>
      <c r="G70" s="47" t="str">
        <f t="shared" ref="G70:G133" si="8">RIGHT(LEFT(D70,LEN(D70)-2),4)</f>
        <v>2019</v>
      </c>
      <c r="H70" s="40">
        <f t="shared" ref="H70:H133" si="9">C70</f>
        <v>0</v>
      </c>
    </row>
    <row r="71" spans="2:8" x14ac:dyDescent="0.35">
      <c r="B71" s="31" t="s">
        <v>577</v>
      </c>
      <c r="C71" s="29">
        <v>695795.80280000006</v>
      </c>
      <c r="D71" s="46" t="str">
        <f t="shared" si="5"/>
        <v>Bulk Sales 201905</v>
      </c>
      <c r="E71" s="43" t="str">
        <f t="shared" si="6"/>
        <v>Bulk Sales</v>
      </c>
      <c r="F71" s="47" t="str">
        <f t="shared" si="7"/>
        <v>05</v>
      </c>
      <c r="G71" s="47" t="str">
        <f t="shared" si="8"/>
        <v>2019</v>
      </c>
      <c r="H71" s="40">
        <f t="shared" si="9"/>
        <v>695795.80280000006</v>
      </c>
    </row>
    <row r="72" spans="2:8" x14ac:dyDescent="0.35">
      <c r="B72" s="31" t="s">
        <v>578</v>
      </c>
      <c r="C72" s="29">
        <v>68950.080000000002</v>
      </c>
      <c r="D72" s="46" t="str">
        <f t="shared" si="5"/>
        <v>Bulk Sales Tooling 201905</v>
      </c>
      <c r="E72" s="43" t="str">
        <f t="shared" si="6"/>
        <v>Bulk Sales Tooling</v>
      </c>
      <c r="F72" s="47" t="str">
        <f t="shared" si="7"/>
        <v>05</v>
      </c>
      <c r="G72" s="47" t="str">
        <f t="shared" si="8"/>
        <v>2019</v>
      </c>
      <c r="H72" s="40">
        <f t="shared" si="9"/>
        <v>68950.080000000002</v>
      </c>
    </row>
    <row r="73" spans="2:8" x14ac:dyDescent="0.35">
      <c r="B73" s="31" t="s">
        <v>579</v>
      </c>
      <c r="C73" s="29">
        <v>355823.42319999996</v>
      </c>
      <c r="D73" s="46" t="str">
        <f t="shared" si="5"/>
        <v>Consumer Sales 201905</v>
      </c>
      <c r="E73" s="43" t="str">
        <f t="shared" si="6"/>
        <v>Consumer Sales</v>
      </c>
      <c r="F73" s="47" t="str">
        <f t="shared" si="7"/>
        <v>05</v>
      </c>
      <c r="G73" s="47" t="str">
        <f t="shared" si="8"/>
        <v>2019</v>
      </c>
      <c r="H73" s="40">
        <f t="shared" si="9"/>
        <v>355823.42319999996</v>
      </c>
    </row>
    <row r="74" spans="2:8" x14ac:dyDescent="0.35">
      <c r="B74" s="31" t="s">
        <v>580</v>
      </c>
      <c r="C74" s="29">
        <v>55908</v>
      </c>
      <c r="D74" s="46" t="str">
        <f t="shared" si="5"/>
        <v>Consumer Sales Tooling 201905</v>
      </c>
      <c r="E74" s="43" t="str">
        <f t="shared" si="6"/>
        <v>Consumer Sales Tooling</v>
      </c>
      <c r="F74" s="47" t="str">
        <f t="shared" si="7"/>
        <v>05</v>
      </c>
      <c r="G74" s="47" t="str">
        <f t="shared" si="8"/>
        <v>2019</v>
      </c>
      <c r="H74" s="40">
        <f t="shared" si="9"/>
        <v>55908</v>
      </c>
    </row>
    <row r="75" spans="2:8" x14ac:dyDescent="0.35">
      <c r="B75" s="31" t="s">
        <v>581</v>
      </c>
      <c r="C75" s="29">
        <v>1082.7359999999999</v>
      </c>
      <c r="D75" s="46" t="str">
        <f t="shared" si="5"/>
        <v>Electronics Sales 201905</v>
      </c>
      <c r="E75" s="43" t="str">
        <f t="shared" si="6"/>
        <v>Electronics Sales</v>
      </c>
      <c r="F75" s="47" t="str">
        <f t="shared" si="7"/>
        <v>05</v>
      </c>
      <c r="G75" s="47" t="str">
        <f t="shared" si="8"/>
        <v>2019</v>
      </c>
      <c r="H75" s="40">
        <f t="shared" si="9"/>
        <v>1082.7359999999999</v>
      </c>
    </row>
    <row r="76" spans="2:8" x14ac:dyDescent="0.35">
      <c r="B76" s="31" t="s">
        <v>582</v>
      </c>
      <c r="C76" s="29">
        <v>0</v>
      </c>
      <c r="D76" s="46" t="str">
        <f t="shared" si="5"/>
        <v>Electronics Sales Tooling 201905</v>
      </c>
      <c r="E76" s="43" t="str">
        <f t="shared" si="6"/>
        <v>Electronics Sales Tooling</v>
      </c>
      <c r="F76" s="47" t="str">
        <f t="shared" si="7"/>
        <v>05</v>
      </c>
      <c r="G76" s="47" t="str">
        <f t="shared" si="8"/>
        <v>2019</v>
      </c>
      <c r="H76" s="40">
        <f t="shared" si="9"/>
        <v>0</v>
      </c>
    </row>
    <row r="77" spans="2:8" x14ac:dyDescent="0.35">
      <c r="B77" s="31" t="s">
        <v>583</v>
      </c>
      <c r="C77" s="29">
        <v>0</v>
      </c>
      <c r="D77" s="46" t="str">
        <f t="shared" si="5"/>
        <v>Mechanic Sales 201905</v>
      </c>
      <c r="E77" s="43" t="str">
        <f t="shared" si="6"/>
        <v>Mechanic Sales</v>
      </c>
      <c r="F77" s="47" t="str">
        <f t="shared" si="7"/>
        <v>05</v>
      </c>
      <c r="G77" s="47" t="str">
        <f t="shared" si="8"/>
        <v>2019</v>
      </c>
      <c r="H77" s="40">
        <f t="shared" si="9"/>
        <v>0</v>
      </c>
    </row>
    <row r="78" spans="2:8" x14ac:dyDescent="0.35">
      <c r="B78" s="31" t="s">
        <v>584</v>
      </c>
      <c r="C78" s="29">
        <v>34968</v>
      </c>
      <c r="D78" s="46" t="str">
        <f t="shared" si="5"/>
        <v>Mechanic Sales Tooling 201905</v>
      </c>
      <c r="E78" s="43" t="str">
        <f t="shared" si="6"/>
        <v>Mechanic Sales Tooling</v>
      </c>
      <c r="F78" s="47" t="str">
        <f t="shared" si="7"/>
        <v>05</v>
      </c>
      <c r="G78" s="47" t="str">
        <f t="shared" si="8"/>
        <v>2019</v>
      </c>
      <c r="H78" s="40">
        <f t="shared" si="9"/>
        <v>34968</v>
      </c>
    </row>
    <row r="79" spans="2:8" x14ac:dyDescent="0.35">
      <c r="B79" s="31" t="s">
        <v>585</v>
      </c>
      <c r="C79" s="29">
        <v>0</v>
      </c>
      <c r="D79" s="46" t="str">
        <f t="shared" si="5"/>
        <v>Non Operating sales201905</v>
      </c>
      <c r="E79" s="43" t="str">
        <f t="shared" si="6"/>
        <v>Non Operating sale</v>
      </c>
      <c r="F79" s="47" t="str">
        <f t="shared" si="7"/>
        <v>05</v>
      </c>
      <c r="G79" s="47" t="str">
        <f t="shared" si="8"/>
        <v>2019</v>
      </c>
      <c r="H79" s="40">
        <f t="shared" si="9"/>
        <v>0</v>
      </c>
    </row>
    <row r="80" spans="2:8" x14ac:dyDescent="0.35">
      <c r="B80" s="31" t="s">
        <v>586</v>
      </c>
      <c r="C80" s="29">
        <v>165952.54120000001</v>
      </c>
      <c r="D80" s="46" t="str">
        <f t="shared" si="5"/>
        <v>Partner Sales 201905</v>
      </c>
      <c r="E80" s="43" t="str">
        <f t="shared" si="6"/>
        <v>Partner Sales</v>
      </c>
      <c r="F80" s="47" t="str">
        <f t="shared" si="7"/>
        <v>05</v>
      </c>
      <c r="G80" s="47" t="str">
        <f t="shared" si="8"/>
        <v>2019</v>
      </c>
      <c r="H80" s="40">
        <f t="shared" si="9"/>
        <v>165952.54120000001</v>
      </c>
    </row>
    <row r="81" spans="2:8" x14ac:dyDescent="0.35">
      <c r="B81" s="31" t="s">
        <v>587</v>
      </c>
      <c r="C81" s="29">
        <v>42082.5</v>
      </c>
      <c r="D81" s="46" t="str">
        <f t="shared" si="5"/>
        <v>Partner Sales Tooling 201905</v>
      </c>
      <c r="E81" s="43" t="str">
        <f t="shared" si="6"/>
        <v>Partner Sales Tooling</v>
      </c>
      <c r="F81" s="47" t="str">
        <f t="shared" si="7"/>
        <v>05</v>
      </c>
      <c r="G81" s="47" t="str">
        <f t="shared" si="8"/>
        <v>2019</v>
      </c>
      <c r="H81" s="40">
        <f t="shared" si="9"/>
        <v>42082.5</v>
      </c>
    </row>
    <row r="82" spans="2:8" x14ac:dyDescent="0.35">
      <c r="B82" s="31" t="s">
        <v>588</v>
      </c>
      <c r="C82" s="29">
        <v>-1826.4259999999997</v>
      </c>
      <c r="D82" s="46" t="str">
        <f t="shared" si="5"/>
        <v>Sales - Discounts 201905</v>
      </c>
      <c r="E82" s="43" t="str">
        <f t="shared" si="6"/>
        <v>Sales - Discounts</v>
      </c>
      <c r="F82" s="47" t="str">
        <f t="shared" si="7"/>
        <v>05</v>
      </c>
      <c r="G82" s="47" t="str">
        <f t="shared" si="8"/>
        <v>2019</v>
      </c>
      <c r="H82" s="40">
        <f t="shared" si="9"/>
        <v>-1826.4259999999997</v>
      </c>
    </row>
    <row r="83" spans="2:8" x14ac:dyDescent="0.35">
      <c r="B83" s="31" t="s">
        <v>589</v>
      </c>
      <c r="C83" s="29">
        <v>211.44680000000002</v>
      </c>
      <c r="D83" s="46" t="str">
        <f t="shared" si="5"/>
        <v>Sales - Freight Out 201905</v>
      </c>
      <c r="E83" s="43" t="str">
        <f t="shared" si="6"/>
        <v>Sales - Freight Out</v>
      </c>
      <c r="F83" s="47" t="str">
        <f t="shared" si="7"/>
        <v>05</v>
      </c>
      <c r="G83" s="47" t="str">
        <f t="shared" si="8"/>
        <v>2019</v>
      </c>
      <c r="H83" s="40">
        <f t="shared" si="9"/>
        <v>211.44680000000002</v>
      </c>
    </row>
    <row r="84" spans="2:8" x14ac:dyDescent="0.35">
      <c r="B84" s="31" t="s">
        <v>590</v>
      </c>
      <c r="C84" s="29">
        <v>-1689.25</v>
      </c>
      <c r="D84" s="46" t="str">
        <f t="shared" si="5"/>
        <v>Sales - Returns 201905</v>
      </c>
      <c r="E84" s="43" t="str">
        <f t="shared" si="6"/>
        <v>Sales - Returns</v>
      </c>
      <c r="F84" s="47" t="str">
        <f t="shared" si="7"/>
        <v>05</v>
      </c>
      <c r="G84" s="47" t="str">
        <f t="shared" si="8"/>
        <v>2019</v>
      </c>
      <c r="H84" s="40">
        <f t="shared" si="9"/>
        <v>-1689.25</v>
      </c>
    </row>
    <row r="85" spans="2:8" x14ac:dyDescent="0.35">
      <c r="B85" s="31" t="s">
        <v>591</v>
      </c>
      <c r="C85" s="29">
        <v>243880.00779999999</v>
      </c>
      <c r="D85" s="46" t="str">
        <f t="shared" si="5"/>
        <v>Automotive Sales 201906</v>
      </c>
      <c r="E85" s="43" t="str">
        <f t="shared" si="6"/>
        <v>Automotive Sales</v>
      </c>
      <c r="F85" s="47" t="str">
        <f t="shared" si="7"/>
        <v>06</v>
      </c>
      <c r="G85" s="47" t="str">
        <f t="shared" si="8"/>
        <v>2019</v>
      </c>
      <c r="H85" s="40">
        <f t="shared" si="9"/>
        <v>243880.00779999999</v>
      </c>
    </row>
    <row r="86" spans="2:8" x14ac:dyDescent="0.35">
      <c r="B86" s="31" t="s">
        <v>592</v>
      </c>
      <c r="C86" s="29">
        <v>50297</v>
      </c>
      <c r="D86" s="46" t="str">
        <f t="shared" si="5"/>
        <v>Automotive Sales Tooling 201906</v>
      </c>
      <c r="E86" s="43" t="str">
        <f t="shared" si="6"/>
        <v>Automotive Sales Tooling</v>
      </c>
      <c r="F86" s="47" t="str">
        <f t="shared" si="7"/>
        <v>06</v>
      </c>
      <c r="G86" s="47" t="str">
        <f t="shared" si="8"/>
        <v>2019</v>
      </c>
      <c r="H86" s="40">
        <f t="shared" si="9"/>
        <v>50297</v>
      </c>
    </row>
    <row r="87" spans="2:8" x14ac:dyDescent="0.35">
      <c r="B87" s="31" t="s">
        <v>593</v>
      </c>
      <c r="C87" s="29">
        <v>686437.23860000004</v>
      </c>
      <c r="D87" s="46" t="str">
        <f t="shared" si="5"/>
        <v>Bulk Sales 201906</v>
      </c>
      <c r="E87" s="43" t="str">
        <f t="shared" si="6"/>
        <v>Bulk Sales</v>
      </c>
      <c r="F87" s="47" t="str">
        <f t="shared" si="7"/>
        <v>06</v>
      </c>
      <c r="G87" s="47" t="str">
        <f t="shared" si="8"/>
        <v>2019</v>
      </c>
      <c r="H87" s="40">
        <f t="shared" si="9"/>
        <v>686437.23860000004</v>
      </c>
    </row>
    <row r="88" spans="2:8" x14ac:dyDescent="0.35">
      <c r="B88" s="31" t="s">
        <v>594</v>
      </c>
      <c r="C88" s="29">
        <v>166046.39999999999</v>
      </c>
      <c r="D88" s="46" t="str">
        <f t="shared" si="5"/>
        <v>Bulk Sales Tooling 201906</v>
      </c>
      <c r="E88" s="43" t="str">
        <f t="shared" si="6"/>
        <v>Bulk Sales Tooling</v>
      </c>
      <c r="F88" s="47" t="str">
        <f t="shared" si="7"/>
        <v>06</v>
      </c>
      <c r="G88" s="47" t="str">
        <f t="shared" si="8"/>
        <v>2019</v>
      </c>
      <c r="H88" s="40">
        <f t="shared" si="9"/>
        <v>166046.39999999999</v>
      </c>
    </row>
    <row r="89" spans="2:8" x14ac:dyDescent="0.35">
      <c r="B89" s="31" t="s">
        <v>595</v>
      </c>
      <c r="C89" s="29">
        <v>454665.72080000001</v>
      </c>
      <c r="D89" s="46" t="str">
        <f t="shared" si="5"/>
        <v>Consumer Sales 201906</v>
      </c>
      <c r="E89" s="43" t="str">
        <f t="shared" si="6"/>
        <v>Consumer Sales</v>
      </c>
      <c r="F89" s="47" t="str">
        <f t="shared" si="7"/>
        <v>06</v>
      </c>
      <c r="G89" s="47" t="str">
        <f t="shared" si="8"/>
        <v>2019</v>
      </c>
      <c r="H89" s="40">
        <f t="shared" si="9"/>
        <v>454665.72080000001</v>
      </c>
    </row>
    <row r="90" spans="2:8" x14ac:dyDescent="0.35">
      <c r="B90" s="31" t="s">
        <v>596</v>
      </c>
      <c r="C90" s="29">
        <v>0</v>
      </c>
      <c r="D90" s="46" t="str">
        <f t="shared" si="5"/>
        <v>Consumer Sales Tooling 201906</v>
      </c>
      <c r="E90" s="43" t="str">
        <f t="shared" si="6"/>
        <v>Consumer Sales Tooling</v>
      </c>
      <c r="F90" s="47" t="str">
        <f t="shared" si="7"/>
        <v>06</v>
      </c>
      <c r="G90" s="47" t="str">
        <f t="shared" si="8"/>
        <v>2019</v>
      </c>
      <c r="H90" s="40">
        <f t="shared" si="9"/>
        <v>0</v>
      </c>
    </row>
    <row r="91" spans="2:8" x14ac:dyDescent="0.35">
      <c r="B91" s="31" t="s">
        <v>597</v>
      </c>
      <c r="C91" s="29">
        <v>9259.7759999999998</v>
      </c>
      <c r="D91" s="46" t="str">
        <f t="shared" si="5"/>
        <v>Electronics Sales 201906</v>
      </c>
      <c r="E91" s="43" t="str">
        <f t="shared" si="6"/>
        <v>Electronics Sales</v>
      </c>
      <c r="F91" s="47" t="str">
        <f t="shared" si="7"/>
        <v>06</v>
      </c>
      <c r="G91" s="47" t="str">
        <f t="shared" si="8"/>
        <v>2019</v>
      </c>
      <c r="H91" s="40">
        <f t="shared" si="9"/>
        <v>9259.7759999999998</v>
      </c>
    </row>
    <row r="92" spans="2:8" x14ac:dyDescent="0.35">
      <c r="B92" s="31" t="s">
        <v>598</v>
      </c>
      <c r="C92" s="29">
        <v>0</v>
      </c>
      <c r="D92" s="46" t="str">
        <f t="shared" si="5"/>
        <v>Electronics Sales Tooling 201906</v>
      </c>
      <c r="E92" s="43" t="str">
        <f t="shared" si="6"/>
        <v>Electronics Sales Tooling</v>
      </c>
      <c r="F92" s="47" t="str">
        <f t="shared" si="7"/>
        <v>06</v>
      </c>
      <c r="G92" s="47" t="str">
        <f t="shared" si="8"/>
        <v>2019</v>
      </c>
      <c r="H92" s="40">
        <f t="shared" si="9"/>
        <v>0</v>
      </c>
    </row>
    <row r="93" spans="2:8" x14ac:dyDescent="0.35">
      <c r="B93" s="31" t="s">
        <v>599</v>
      </c>
      <c r="C93" s="29">
        <v>59130</v>
      </c>
      <c r="D93" s="46" t="str">
        <f t="shared" si="5"/>
        <v>Mechanic Sales 201906</v>
      </c>
      <c r="E93" s="43" t="str">
        <f t="shared" si="6"/>
        <v>Mechanic Sales</v>
      </c>
      <c r="F93" s="47" t="str">
        <f t="shared" si="7"/>
        <v>06</v>
      </c>
      <c r="G93" s="47" t="str">
        <f t="shared" si="8"/>
        <v>2019</v>
      </c>
      <c r="H93" s="40">
        <f t="shared" si="9"/>
        <v>59130</v>
      </c>
    </row>
    <row r="94" spans="2:8" x14ac:dyDescent="0.35">
      <c r="B94" s="31" t="s">
        <v>600</v>
      </c>
      <c r="C94" s="29">
        <v>120516.93</v>
      </c>
      <c r="D94" s="46" t="str">
        <f t="shared" si="5"/>
        <v>Mechanic Sales Tooling 201906</v>
      </c>
      <c r="E94" s="43" t="str">
        <f t="shared" si="6"/>
        <v>Mechanic Sales Tooling</v>
      </c>
      <c r="F94" s="47" t="str">
        <f t="shared" si="7"/>
        <v>06</v>
      </c>
      <c r="G94" s="47" t="str">
        <f t="shared" si="8"/>
        <v>2019</v>
      </c>
      <c r="H94" s="40">
        <f t="shared" si="9"/>
        <v>120516.93</v>
      </c>
    </row>
    <row r="95" spans="2:8" x14ac:dyDescent="0.35">
      <c r="B95" s="31" t="s">
        <v>601</v>
      </c>
      <c r="C95" s="29">
        <v>0</v>
      </c>
      <c r="D95" s="46" t="str">
        <f t="shared" si="5"/>
        <v>Non Operating sales201906</v>
      </c>
      <c r="E95" s="43" t="str">
        <f t="shared" si="6"/>
        <v>Non Operating sale</v>
      </c>
      <c r="F95" s="47" t="str">
        <f t="shared" si="7"/>
        <v>06</v>
      </c>
      <c r="G95" s="47" t="str">
        <f t="shared" si="8"/>
        <v>2019</v>
      </c>
      <c r="H95" s="40">
        <f t="shared" si="9"/>
        <v>0</v>
      </c>
    </row>
    <row r="96" spans="2:8" x14ac:dyDescent="0.35">
      <c r="B96" s="31" t="s">
        <v>602</v>
      </c>
      <c r="C96" s="29">
        <v>233290.06040000002</v>
      </c>
      <c r="D96" s="46" t="str">
        <f t="shared" si="5"/>
        <v>Partner Sales 201906</v>
      </c>
      <c r="E96" s="43" t="str">
        <f t="shared" si="6"/>
        <v>Partner Sales</v>
      </c>
      <c r="F96" s="47" t="str">
        <f t="shared" si="7"/>
        <v>06</v>
      </c>
      <c r="G96" s="47" t="str">
        <f t="shared" si="8"/>
        <v>2019</v>
      </c>
      <c r="H96" s="40">
        <f t="shared" si="9"/>
        <v>233290.06040000002</v>
      </c>
    </row>
    <row r="97" spans="2:8" x14ac:dyDescent="0.35">
      <c r="B97" s="31" t="s">
        <v>603</v>
      </c>
      <c r="C97" s="29">
        <v>29992.499999999996</v>
      </c>
      <c r="D97" s="46" t="str">
        <f t="shared" si="5"/>
        <v>Partner Sales Tooling 201906</v>
      </c>
      <c r="E97" s="43" t="str">
        <f t="shared" si="6"/>
        <v>Partner Sales Tooling</v>
      </c>
      <c r="F97" s="47" t="str">
        <f t="shared" si="7"/>
        <v>06</v>
      </c>
      <c r="G97" s="47" t="str">
        <f t="shared" si="8"/>
        <v>2019</v>
      </c>
      <c r="H97" s="40">
        <f t="shared" si="9"/>
        <v>29992.499999999996</v>
      </c>
    </row>
    <row r="98" spans="2:8" x14ac:dyDescent="0.35">
      <c r="B98" s="31" t="s">
        <v>604</v>
      </c>
      <c r="C98" s="29">
        <v>-3746.2459999999996</v>
      </c>
      <c r="D98" s="46" t="str">
        <f t="shared" si="5"/>
        <v>Sales - Discounts 201906</v>
      </c>
      <c r="E98" s="43" t="str">
        <f t="shared" si="6"/>
        <v>Sales - Discounts</v>
      </c>
      <c r="F98" s="47" t="str">
        <f t="shared" si="7"/>
        <v>06</v>
      </c>
      <c r="G98" s="47" t="str">
        <f t="shared" si="8"/>
        <v>2019</v>
      </c>
      <c r="H98" s="40">
        <f t="shared" si="9"/>
        <v>-3746.2459999999996</v>
      </c>
    </row>
    <row r="99" spans="2:8" x14ac:dyDescent="0.35">
      <c r="B99" s="31" t="s">
        <v>605</v>
      </c>
      <c r="C99" s="29">
        <v>145.90830000000003</v>
      </c>
      <c r="D99" s="46" t="str">
        <f t="shared" si="5"/>
        <v>Sales - Freight Out 201906</v>
      </c>
      <c r="E99" s="43" t="str">
        <f t="shared" si="6"/>
        <v>Sales - Freight Out</v>
      </c>
      <c r="F99" s="47" t="str">
        <f t="shared" si="7"/>
        <v>06</v>
      </c>
      <c r="G99" s="47" t="str">
        <f t="shared" si="8"/>
        <v>2019</v>
      </c>
      <c r="H99" s="40">
        <f t="shared" si="9"/>
        <v>145.90830000000003</v>
      </c>
    </row>
    <row r="100" spans="2:8" x14ac:dyDescent="0.35">
      <c r="B100" s="31" t="s">
        <v>606</v>
      </c>
      <c r="C100" s="29">
        <v>-17595.724999999999</v>
      </c>
      <c r="D100" s="46" t="str">
        <f t="shared" si="5"/>
        <v>Sales - Returns 201906</v>
      </c>
      <c r="E100" s="43" t="str">
        <f t="shared" si="6"/>
        <v>Sales - Returns</v>
      </c>
      <c r="F100" s="47" t="str">
        <f t="shared" si="7"/>
        <v>06</v>
      </c>
      <c r="G100" s="47" t="str">
        <f t="shared" si="8"/>
        <v>2019</v>
      </c>
      <c r="H100" s="40">
        <f t="shared" si="9"/>
        <v>-17595.724999999999</v>
      </c>
    </row>
    <row r="101" spans="2:8" x14ac:dyDescent="0.35">
      <c r="B101" s="31" t="s">
        <v>607</v>
      </c>
      <c r="C101" s="29">
        <v>-343087.13010000001</v>
      </c>
      <c r="D101" s="46" t="str">
        <f t="shared" si="5"/>
        <v>Automotive Sales 201907</v>
      </c>
      <c r="E101" s="43" t="str">
        <f t="shared" si="6"/>
        <v>Automotive Sales</v>
      </c>
      <c r="F101" s="47" t="str">
        <f t="shared" si="7"/>
        <v>07</v>
      </c>
      <c r="G101" s="47" t="str">
        <f t="shared" si="8"/>
        <v>2019</v>
      </c>
      <c r="H101" s="40">
        <f t="shared" si="9"/>
        <v>-343087.13010000001</v>
      </c>
    </row>
    <row r="102" spans="2:8" x14ac:dyDescent="0.35">
      <c r="B102" s="31" t="s">
        <v>608</v>
      </c>
      <c r="C102" s="29">
        <v>0</v>
      </c>
      <c r="D102" s="46" t="str">
        <f t="shared" si="5"/>
        <v>Automotive Sales Tooling 201907</v>
      </c>
      <c r="E102" s="43" t="str">
        <f t="shared" si="6"/>
        <v>Automotive Sales Tooling</v>
      </c>
      <c r="F102" s="47" t="str">
        <f t="shared" si="7"/>
        <v>07</v>
      </c>
      <c r="G102" s="47" t="str">
        <f t="shared" si="8"/>
        <v>2019</v>
      </c>
      <c r="H102" s="40">
        <f t="shared" si="9"/>
        <v>0</v>
      </c>
    </row>
    <row r="103" spans="2:8" x14ac:dyDescent="0.35">
      <c r="B103" s="31" t="s">
        <v>609</v>
      </c>
      <c r="C103" s="29">
        <v>-1105656.0678000001</v>
      </c>
      <c r="D103" s="46" t="str">
        <f t="shared" si="5"/>
        <v>Bulk Sales 201907</v>
      </c>
      <c r="E103" s="43" t="str">
        <f t="shared" si="6"/>
        <v>Bulk Sales</v>
      </c>
      <c r="F103" s="47" t="str">
        <f t="shared" si="7"/>
        <v>07</v>
      </c>
      <c r="G103" s="47" t="str">
        <f t="shared" si="8"/>
        <v>2019</v>
      </c>
      <c r="H103" s="40">
        <f t="shared" si="9"/>
        <v>-1105656.0678000001</v>
      </c>
    </row>
    <row r="104" spans="2:8" x14ac:dyDescent="0.35">
      <c r="B104" s="31" t="s">
        <v>610</v>
      </c>
      <c r="C104" s="29">
        <v>-8352</v>
      </c>
      <c r="D104" s="46" t="str">
        <f t="shared" si="5"/>
        <v>Bulk Sales Tooling 201907</v>
      </c>
      <c r="E104" s="43" t="str">
        <f t="shared" si="6"/>
        <v>Bulk Sales Tooling</v>
      </c>
      <c r="F104" s="47" t="str">
        <f t="shared" si="7"/>
        <v>07</v>
      </c>
      <c r="G104" s="47" t="str">
        <f t="shared" si="8"/>
        <v>2019</v>
      </c>
      <c r="H104" s="40">
        <f t="shared" si="9"/>
        <v>-8352</v>
      </c>
    </row>
    <row r="105" spans="2:8" x14ac:dyDescent="0.35">
      <c r="B105" s="31" t="s">
        <v>611</v>
      </c>
      <c r="C105" s="29">
        <v>-382278.56479999993</v>
      </c>
      <c r="D105" s="46" t="str">
        <f t="shared" si="5"/>
        <v>Consumer Sales 201907</v>
      </c>
      <c r="E105" s="43" t="str">
        <f t="shared" si="6"/>
        <v>Consumer Sales</v>
      </c>
      <c r="F105" s="47" t="str">
        <f t="shared" si="7"/>
        <v>07</v>
      </c>
      <c r="G105" s="47" t="str">
        <f t="shared" si="8"/>
        <v>2019</v>
      </c>
      <c r="H105" s="40">
        <f t="shared" si="9"/>
        <v>-382278.56479999993</v>
      </c>
    </row>
    <row r="106" spans="2:8" x14ac:dyDescent="0.35">
      <c r="B106" s="31" t="s">
        <v>612</v>
      </c>
      <c r="C106" s="29">
        <v>0</v>
      </c>
      <c r="D106" s="46" t="str">
        <f t="shared" si="5"/>
        <v>Consumer Sales Tooling 201907</v>
      </c>
      <c r="E106" s="43" t="str">
        <f t="shared" si="6"/>
        <v>Consumer Sales Tooling</v>
      </c>
      <c r="F106" s="47" t="str">
        <f t="shared" si="7"/>
        <v>07</v>
      </c>
      <c r="G106" s="47" t="str">
        <f t="shared" si="8"/>
        <v>2019</v>
      </c>
      <c r="H106" s="40">
        <f t="shared" si="9"/>
        <v>0</v>
      </c>
    </row>
    <row r="107" spans="2:8" x14ac:dyDescent="0.35">
      <c r="B107" s="31" t="s">
        <v>613</v>
      </c>
      <c r="C107" s="29">
        <v>-4377.5999999999995</v>
      </c>
      <c r="D107" s="46" t="str">
        <f t="shared" si="5"/>
        <v>Electronics Sales 201907</v>
      </c>
      <c r="E107" s="43" t="str">
        <f t="shared" si="6"/>
        <v>Electronics Sales</v>
      </c>
      <c r="F107" s="47" t="str">
        <f t="shared" si="7"/>
        <v>07</v>
      </c>
      <c r="G107" s="47" t="str">
        <f t="shared" si="8"/>
        <v>2019</v>
      </c>
      <c r="H107" s="40">
        <f t="shared" si="9"/>
        <v>-4377.5999999999995</v>
      </c>
    </row>
    <row r="108" spans="2:8" x14ac:dyDescent="0.35">
      <c r="B108" s="31" t="s">
        <v>614</v>
      </c>
      <c r="C108" s="29">
        <v>0</v>
      </c>
      <c r="D108" s="46" t="str">
        <f t="shared" si="5"/>
        <v>Electronics Sales Tooling 201907</v>
      </c>
      <c r="E108" s="43" t="str">
        <f t="shared" si="6"/>
        <v>Electronics Sales Tooling</v>
      </c>
      <c r="F108" s="47" t="str">
        <f t="shared" si="7"/>
        <v>07</v>
      </c>
      <c r="G108" s="47" t="str">
        <f t="shared" si="8"/>
        <v>2019</v>
      </c>
      <c r="H108" s="40">
        <f t="shared" si="9"/>
        <v>0</v>
      </c>
    </row>
    <row r="109" spans="2:8" x14ac:dyDescent="0.35">
      <c r="B109" s="31" t="s">
        <v>615</v>
      </c>
      <c r="C109" s="29">
        <v>-77867.625</v>
      </c>
      <c r="D109" s="46" t="str">
        <f t="shared" si="5"/>
        <v>Mechanic Sales 201907</v>
      </c>
      <c r="E109" s="43" t="str">
        <f t="shared" si="6"/>
        <v>Mechanic Sales</v>
      </c>
      <c r="F109" s="47" t="str">
        <f t="shared" si="7"/>
        <v>07</v>
      </c>
      <c r="G109" s="47" t="str">
        <f t="shared" si="8"/>
        <v>2019</v>
      </c>
      <c r="H109" s="40">
        <f t="shared" si="9"/>
        <v>-77867.625</v>
      </c>
    </row>
    <row r="110" spans="2:8" x14ac:dyDescent="0.35">
      <c r="B110" s="31" t="s">
        <v>616</v>
      </c>
      <c r="C110" s="29">
        <v>0</v>
      </c>
      <c r="D110" s="46" t="str">
        <f t="shared" si="5"/>
        <v>Mechanic Sales Tooling 201907</v>
      </c>
      <c r="E110" s="43" t="str">
        <f t="shared" si="6"/>
        <v>Mechanic Sales Tooling</v>
      </c>
      <c r="F110" s="47" t="str">
        <f t="shared" si="7"/>
        <v>07</v>
      </c>
      <c r="G110" s="47" t="str">
        <f t="shared" si="8"/>
        <v>2019</v>
      </c>
      <c r="H110" s="40">
        <f t="shared" si="9"/>
        <v>0</v>
      </c>
    </row>
    <row r="111" spans="2:8" x14ac:dyDescent="0.35">
      <c r="B111" s="31" t="s">
        <v>617</v>
      </c>
      <c r="C111" s="29">
        <v>0</v>
      </c>
      <c r="D111" s="46" t="str">
        <f t="shared" si="5"/>
        <v>Non Operating sales201907</v>
      </c>
      <c r="E111" s="43" t="str">
        <f t="shared" si="6"/>
        <v>Non Operating sale</v>
      </c>
      <c r="F111" s="47" t="str">
        <f t="shared" si="7"/>
        <v>07</v>
      </c>
      <c r="G111" s="47" t="str">
        <f t="shared" si="8"/>
        <v>2019</v>
      </c>
      <c r="H111" s="40">
        <f t="shared" si="9"/>
        <v>0</v>
      </c>
    </row>
    <row r="112" spans="2:8" x14ac:dyDescent="0.35">
      <c r="B112" s="31" t="s">
        <v>618</v>
      </c>
      <c r="C112" s="29">
        <v>-144560.71420000002</v>
      </c>
      <c r="D112" s="46" t="str">
        <f t="shared" si="5"/>
        <v>Partner Sales 201907</v>
      </c>
      <c r="E112" s="43" t="str">
        <f t="shared" si="6"/>
        <v>Partner Sales</v>
      </c>
      <c r="F112" s="47" t="str">
        <f t="shared" si="7"/>
        <v>07</v>
      </c>
      <c r="G112" s="47" t="str">
        <f t="shared" si="8"/>
        <v>2019</v>
      </c>
      <c r="H112" s="40">
        <f t="shared" si="9"/>
        <v>-144560.71420000002</v>
      </c>
    </row>
    <row r="113" spans="2:8" x14ac:dyDescent="0.35">
      <c r="B113" s="31" t="s">
        <v>619</v>
      </c>
      <c r="C113" s="29">
        <v>0</v>
      </c>
      <c r="D113" s="46" t="str">
        <f t="shared" si="5"/>
        <v>Partner Sales Tooling 201907</v>
      </c>
      <c r="E113" s="43" t="str">
        <f t="shared" si="6"/>
        <v>Partner Sales Tooling</v>
      </c>
      <c r="F113" s="47" t="str">
        <f t="shared" si="7"/>
        <v>07</v>
      </c>
      <c r="G113" s="47" t="str">
        <f t="shared" si="8"/>
        <v>2019</v>
      </c>
      <c r="H113" s="40">
        <f t="shared" si="9"/>
        <v>0</v>
      </c>
    </row>
    <row r="114" spans="2:8" x14ac:dyDescent="0.35">
      <c r="B114" s="31" t="s">
        <v>620</v>
      </c>
      <c r="C114" s="29">
        <v>-3027.2759999999998</v>
      </c>
      <c r="D114" s="46" t="str">
        <f t="shared" si="5"/>
        <v>Sales - Discounts 201907</v>
      </c>
      <c r="E114" s="43" t="str">
        <f t="shared" si="6"/>
        <v>Sales - Discounts</v>
      </c>
      <c r="F114" s="47" t="str">
        <f t="shared" si="7"/>
        <v>07</v>
      </c>
      <c r="G114" s="47" t="str">
        <f t="shared" si="8"/>
        <v>2019</v>
      </c>
      <c r="H114" s="40">
        <f t="shared" si="9"/>
        <v>-3027.2759999999998</v>
      </c>
    </row>
    <row r="115" spans="2:8" x14ac:dyDescent="0.35">
      <c r="B115" s="31" t="s">
        <v>621</v>
      </c>
      <c r="C115" s="29">
        <v>7433.0528000000004</v>
      </c>
      <c r="D115" s="46" t="str">
        <f t="shared" si="5"/>
        <v>Sales - Freight Out 201907</v>
      </c>
      <c r="E115" s="43" t="str">
        <f t="shared" si="6"/>
        <v>Sales - Freight Out</v>
      </c>
      <c r="F115" s="47" t="str">
        <f t="shared" si="7"/>
        <v>07</v>
      </c>
      <c r="G115" s="47" t="str">
        <f t="shared" si="8"/>
        <v>2019</v>
      </c>
      <c r="H115" s="40">
        <f t="shared" si="9"/>
        <v>7433.0528000000004</v>
      </c>
    </row>
    <row r="116" spans="2:8" x14ac:dyDescent="0.35">
      <c r="B116" s="31" t="s">
        <v>622</v>
      </c>
      <c r="C116" s="29">
        <v>-5513.0375000000004</v>
      </c>
      <c r="D116" s="46" t="str">
        <f t="shared" si="5"/>
        <v>Sales - Returns 201907</v>
      </c>
      <c r="E116" s="43" t="str">
        <f t="shared" si="6"/>
        <v>Sales - Returns</v>
      </c>
      <c r="F116" s="47" t="str">
        <f t="shared" si="7"/>
        <v>07</v>
      </c>
      <c r="G116" s="47" t="str">
        <f t="shared" si="8"/>
        <v>2019</v>
      </c>
      <c r="H116" s="40">
        <f t="shared" si="9"/>
        <v>-5513.0375000000004</v>
      </c>
    </row>
    <row r="117" spans="2:8" x14ac:dyDescent="0.35">
      <c r="B117" s="31" t="s">
        <v>623</v>
      </c>
      <c r="C117" s="29">
        <v>159815.0411</v>
      </c>
      <c r="D117" s="46" t="str">
        <f t="shared" si="5"/>
        <v>Automotive Sales 201908</v>
      </c>
      <c r="E117" s="43" t="str">
        <f t="shared" si="6"/>
        <v>Automotive Sales</v>
      </c>
      <c r="F117" s="47" t="str">
        <f t="shared" si="7"/>
        <v>08</v>
      </c>
      <c r="G117" s="47" t="str">
        <f t="shared" si="8"/>
        <v>2019</v>
      </c>
      <c r="H117" s="40">
        <f t="shared" si="9"/>
        <v>159815.0411</v>
      </c>
    </row>
    <row r="118" spans="2:8" x14ac:dyDescent="0.35">
      <c r="B118" s="31" t="s">
        <v>624</v>
      </c>
      <c r="C118" s="29">
        <v>0</v>
      </c>
      <c r="D118" s="46" t="str">
        <f t="shared" si="5"/>
        <v>Automotive Sales Tooling 201908</v>
      </c>
      <c r="E118" s="43" t="str">
        <f t="shared" si="6"/>
        <v>Automotive Sales Tooling</v>
      </c>
      <c r="F118" s="47" t="str">
        <f t="shared" si="7"/>
        <v>08</v>
      </c>
      <c r="G118" s="47" t="str">
        <f t="shared" si="8"/>
        <v>2019</v>
      </c>
      <c r="H118" s="40">
        <f t="shared" si="9"/>
        <v>0</v>
      </c>
    </row>
    <row r="119" spans="2:8" x14ac:dyDescent="0.35">
      <c r="B119" s="31" t="s">
        <v>625</v>
      </c>
      <c r="C119" s="29">
        <v>767747.90180000011</v>
      </c>
      <c r="D119" s="46" t="str">
        <f t="shared" si="5"/>
        <v>Bulk Sales 201908</v>
      </c>
      <c r="E119" s="43" t="str">
        <f t="shared" si="6"/>
        <v>Bulk Sales</v>
      </c>
      <c r="F119" s="47" t="str">
        <f t="shared" si="7"/>
        <v>08</v>
      </c>
      <c r="G119" s="47" t="str">
        <f t="shared" si="8"/>
        <v>2019</v>
      </c>
      <c r="H119" s="40">
        <f t="shared" si="9"/>
        <v>767747.90180000011</v>
      </c>
    </row>
    <row r="120" spans="2:8" x14ac:dyDescent="0.35">
      <c r="B120" s="31" t="s">
        <v>626</v>
      </c>
      <c r="C120" s="29">
        <v>127728</v>
      </c>
      <c r="D120" s="46" t="str">
        <f t="shared" si="5"/>
        <v>Bulk Sales Tooling 201908</v>
      </c>
      <c r="E120" s="43" t="str">
        <f t="shared" si="6"/>
        <v>Bulk Sales Tooling</v>
      </c>
      <c r="F120" s="47" t="str">
        <f t="shared" si="7"/>
        <v>08</v>
      </c>
      <c r="G120" s="47" t="str">
        <f t="shared" si="8"/>
        <v>2019</v>
      </c>
      <c r="H120" s="40">
        <f t="shared" si="9"/>
        <v>127728</v>
      </c>
    </row>
    <row r="121" spans="2:8" x14ac:dyDescent="0.35">
      <c r="B121" s="31" t="s">
        <v>627</v>
      </c>
      <c r="C121" s="29">
        <v>350637.37599999999</v>
      </c>
      <c r="D121" s="46" t="str">
        <f t="shared" si="5"/>
        <v>Consumer Sales 201908</v>
      </c>
      <c r="E121" s="43" t="str">
        <f t="shared" si="6"/>
        <v>Consumer Sales</v>
      </c>
      <c r="F121" s="47" t="str">
        <f t="shared" si="7"/>
        <v>08</v>
      </c>
      <c r="G121" s="47" t="str">
        <f t="shared" si="8"/>
        <v>2019</v>
      </c>
      <c r="H121" s="40">
        <f t="shared" si="9"/>
        <v>350637.37599999999</v>
      </c>
    </row>
    <row r="122" spans="2:8" x14ac:dyDescent="0.35">
      <c r="B122" s="31" t="s">
        <v>628</v>
      </c>
      <c r="C122" s="29">
        <v>9720</v>
      </c>
      <c r="D122" s="46" t="str">
        <f t="shared" si="5"/>
        <v>Consumer Sales Tooling 201908</v>
      </c>
      <c r="E122" s="43" t="str">
        <f t="shared" si="6"/>
        <v>Consumer Sales Tooling</v>
      </c>
      <c r="F122" s="47" t="str">
        <f t="shared" si="7"/>
        <v>08</v>
      </c>
      <c r="G122" s="47" t="str">
        <f t="shared" si="8"/>
        <v>2019</v>
      </c>
      <c r="H122" s="40">
        <f t="shared" si="9"/>
        <v>9720</v>
      </c>
    </row>
    <row r="123" spans="2:8" x14ac:dyDescent="0.35">
      <c r="B123" s="31" t="s">
        <v>629</v>
      </c>
      <c r="C123" s="29">
        <v>17905.982399999997</v>
      </c>
      <c r="D123" s="46" t="str">
        <f t="shared" si="5"/>
        <v>Electronics Sales 201908</v>
      </c>
      <c r="E123" s="43" t="str">
        <f t="shared" si="6"/>
        <v>Electronics Sales</v>
      </c>
      <c r="F123" s="47" t="str">
        <f t="shared" si="7"/>
        <v>08</v>
      </c>
      <c r="G123" s="47" t="str">
        <f t="shared" si="8"/>
        <v>2019</v>
      </c>
      <c r="H123" s="40">
        <f t="shared" si="9"/>
        <v>17905.982399999997</v>
      </c>
    </row>
    <row r="124" spans="2:8" x14ac:dyDescent="0.35">
      <c r="B124" s="31" t="s">
        <v>630</v>
      </c>
      <c r="C124" s="29">
        <v>0</v>
      </c>
      <c r="D124" s="46" t="str">
        <f t="shared" si="5"/>
        <v>Electronics Sales Tooling 201908</v>
      </c>
      <c r="E124" s="43" t="str">
        <f t="shared" si="6"/>
        <v>Electronics Sales Tooling</v>
      </c>
      <c r="F124" s="47" t="str">
        <f t="shared" si="7"/>
        <v>08</v>
      </c>
      <c r="G124" s="47" t="str">
        <f t="shared" si="8"/>
        <v>2019</v>
      </c>
      <c r="H124" s="40">
        <f t="shared" si="9"/>
        <v>0</v>
      </c>
    </row>
    <row r="125" spans="2:8" x14ac:dyDescent="0.35">
      <c r="B125" s="31" t="s">
        <v>631</v>
      </c>
      <c r="C125" s="29">
        <v>-956.26499999999999</v>
      </c>
      <c r="D125" s="46" t="str">
        <f t="shared" si="5"/>
        <v>Mechanic Sales 201908</v>
      </c>
      <c r="E125" s="43" t="str">
        <f t="shared" si="6"/>
        <v>Mechanic Sales</v>
      </c>
      <c r="F125" s="47" t="str">
        <f t="shared" si="7"/>
        <v>08</v>
      </c>
      <c r="G125" s="47" t="str">
        <f t="shared" si="8"/>
        <v>2019</v>
      </c>
      <c r="H125" s="40">
        <f t="shared" si="9"/>
        <v>-956.26499999999999</v>
      </c>
    </row>
    <row r="126" spans="2:8" x14ac:dyDescent="0.35">
      <c r="B126" s="31" t="s">
        <v>632</v>
      </c>
      <c r="C126" s="29">
        <v>22271.372999999996</v>
      </c>
      <c r="D126" s="46" t="str">
        <f t="shared" si="5"/>
        <v>Mechanic Sales Tooling 201908</v>
      </c>
      <c r="E126" s="43" t="str">
        <f t="shared" si="6"/>
        <v>Mechanic Sales Tooling</v>
      </c>
      <c r="F126" s="47" t="str">
        <f t="shared" si="7"/>
        <v>08</v>
      </c>
      <c r="G126" s="47" t="str">
        <f t="shared" si="8"/>
        <v>2019</v>
      </c>
      <c r="H126" s="40">
        <f t="shared" si="9"/>
        <v>22271.372999999996</v>
      </c>
    </row>
    <row r="127" spans="2:8" x14ac:dyDescent="0.35">
      <c r="B127" s="31" t="s">
        <v>633</v>
      </c>
      <c r="C127" s="29">
        <v>0</v>
      </c>
      <c r="D127" s="46" t="str">
        <f t="shared" si="5"/>
        <v>Non Operating sales201908</v>
      </c>
      <c r="E127" s="43" t="str">
        <f t="shared" si="6"/>
        <v>Non Operating sale</v>
      </c>
      <c r="F127" s="47" t="str">
        <f t="shared" si="7"/>
        <v>08</v>
      </c>
      <c r="G127" s="47" t="str">
        <f t="shared" si="8"/>
        <v>2019</v>
      </c>
      <c r="H127" s="40">
        <f t="shared" si="9"/>
        <v>0</v>
      </c>
    </row>
    <row r="128" spans="2:8" x14ac:dyDescent="0.35">
      <c r="B128" s="31" t="s">
        <v>634</v>
      </c>
      <c r="C128" s="29">
        <v>18351.300000000003</v>
      </c>
      <c r="D128" s="46" t="str">
        <f t="shared" si="5"/>
        <v>Partner Sales 201908</v>
      </c>
      <c r="E128" s="43" t="str">
        <f t="shared" si="6"/>
        <v>Partner Sales</v>
      </c>
      <c r="F128" s="47" t="str">
        <f t="shared" si="7"/>
        <v>08</v>
      </c>
      <c r="G128" s="47" t="str">
        <f t="shared" si="8"/>
        <v>2019</v>
      </c>
      <c r="H128" s="40">
        <f t="shared" si="9"/>
        <v>18351.300000000003</v>
      </c>
    </row>
    <row r="129" spans="2:8" x14ac:dyDescent="0.35">
      <c r="B129" s="31" t="s">
        <v>635</v>
      </c>
      <c r="C129" s="29">
        <v>7207.4999999999991</v>
      </c>
      <c r="D129" s="46" t="str">
        <f t="shared" si="5"/>
        <v>Partner Sales Tooling 201908</v>
      </c>
      <c r="E129" s="43" t="str">
        <f t="shared" si="6"/>
        <v>Partner Sales Tooling</v>
      </c>
      <c r="F129" s="47" t="str">
        <f t="shared" si="7"/>
        <v>08</v>
      </c>
      <c r="G129" s="47" t="str">
        <f t="shared" si="8"/>
        <v>2019</v>
      </c>
      <c r="H129" s="40">
        <f t="shared" si="9"/>
        <v>7207.4999999999991</v>
      </c>
    </row>
    <row r="130" spans="2:8" x14ac:dyDescent="0.35">
      <c r="B130" s="31" t="s">
        <v>636</v>
      </c>
      <c r="C130" s="29">
        <v>-2110.2339999999999</v>
      </c>
      <c r="D130" s="46" t="str">
        <f t="shared" si="5"/>
        <v>Sales - Discounts 201908</v>
      </c>
      <c r="E130" s="43" t="str">
        <f t="shared" si="6"/>
        <v>Sales - Discounts</v>
      </c>
      <c r="F130" s="47" t="str">
        <f t="shared" si="7"/>
        <v>08</v>
      </c>
      <c r="G130" s="47" t="str">
        <f t="shared" si="8"/>
        <v>2019</v>
      </c>
      <c r="H130" s="40">
        <f t="shared" si="9"/>
        <v>-2110.2339999999999</v>
      </c>
    </row>
    <row r="131" spans="2:8" x14ac:dyDescent="0.35">
      <c r="B131" s="31" t="s">
        <v>637</v>
      </c>
      <c r="C131" s="29">
        <v>33.123699999999999</v>
      </c>
      <c r="D131" s="46" t="str">
        <f t="shared" si="5"/>
        <v>Sales - Freight Out 201908</v>
      </c>
      <c r="E131" s="43" t="str">
        <f t="shared" si="6"/>
        <v>Sales - Freight Out</v>
      </c>
      <c r="F131" s="47" t="str">
        <f t="shared" si="7"/>
        <v>08</v>
      </c>
      <c r="G131" s="47" t="str">
        <f t="shared" si="8"/>
        <v>2019</v>
      </c>
      <c r="H131" s="40">
        <f t="shared" si="9"/>
        <v>33.123699999999999</v>
      </c>
    </row>
    <row r="132" spans="2:8" x14ac:dyDescent="0.35">
      <c r="B132" s="31" t="s">
        <v>638</v>
      </c>
      <c r="C132" s="29">
        <v>-34604.224999999999</v>
      </c>
      <c r="D132" s="46" t="str">
        <f t="shared" si="5"/>
        <v>Sales - Returns 201908</v>
      </c>
      <c r="E132" s="43" t="str">
        <f t="shared" si="6"/>
        <v>Sales - Returns</v>
      </c>
      <c r="F132" s="47" t="str">
        <f t="shared" si="7"/>
        <v>08</v>
      </c>
      <c r="G132" s="47" t="str">
        <f t="shared" si="8"/>
        <v>2019</v>
      </c>
      <c r="H132" s="40">
        <f t="shared" si="9"/>
        <v>-34604.224999999999</v>
      </c>
    </row>
    <row r="133" spans="2:8" x14ac:dyDescent="0.35">
      <c r="B133" s="31" t="s">
        <v>639</v>
      </c>
      <c r="C133" s="29">
        <v>282688.4203</v>
      </c>
      <c r="D133" s="46" t="str">
        <f t="shared" si="5"/>
        <v>Automotive Sales 201909</v>
      </c>
      <c r="E133" s="43" t="str">
        <f t="shared" si="6"/>
        <v>Automotive Sales</v>
      </c>
      <c r="F133" s="47" t="str">
        <f t="shared" si="7"/>
        <v>09</v>
      </c>
      <c r="G133" s="47" t="str">
        <f t="shared" si="8"/>
        <v>2019</v>
      </c>
      <c r="H133" s="40">
        <f t="shared" si="9"/>
        <v>282688.4203</v>
      </c>
    </row>
    <row r="134" spans="2:8" x14ac:dyDescent="0.35">
      <c r="B134" s="31" t="s">
        <v>640</v>
      </c>
      <c r="C134" s="29">
        <v>0</v>
      </c>
      <c r="D134" s="46" t="str">
        <f t="shared" ref="D134:D197" si="10">TRIM(B134)</f>
        <v>Automotive Sales Tooling 201909</v>
      </c>
      <c r="E134" s="43" t="str">
        <f t="shared" ref="E134:E197" si="11">LEFT(D134,LEN(D134)-7)</f>
        <v>Automotive Sales Tooling</v>
      </c>
      <c r="F134" s="47" t="str">
        <f t="shared" ref="F134:F197" si="12">RIGHT(D134,2)</f>
        <v>09</v>
      </c>
      <c r="G134" s="47" t="str">
        <f t="shared" ref="G134:G197" si="13">RIGHT(LEFT(D134,LEN(D134)-2),4)</f>
        <v>2019</v>
      </c>
      <c r="H134" s="40">
        <f t="shared" ref="H134:H197" si="14">C134</f>
        <v>0</v>
      </c>
    </row>
    <row r="135" spans="2:8" x14ac:dyDescent="0.35">
      <c r="B135" s="31" t="s">
        <v>641</v>
      </c>
      <c r="C135" s="29">
        <v>948385.75490000017</v>
      </c>
      <c r="D135" s="46" t="str">
        <f t="shared" si="10"/>
        <v>Bulk Sales 201909</v>
      </c>
      <c r="E135" s="43" t="str">
        <f t="shared" si="11"/>
        <v>Bulk Sales</v>
      </c>
      <c r="F135" s="47" t="str">
        <f t="shared" si="12"/>
        <v>09</v>
      </c>
      <c r="G135" s="47" t="str">
        <f t="shared" si="13"/>
        <v>2019</v>
      </c>
      <c r="H135" s="40">
        <f t="shared" si="14"/>
        <v>948385.75490000017</v>
      </c>
    </row>
    <row r="136" spans="2:8" x14ac:dyDescent="0.35">
      <c r="B136" s="31" t="s">
        <v>642</v>
      </c>
      <c r="C136" s="29">
        <v>154080</v>
      </c>
      <c r="D136" s="46" t="str">
        <f t="shared" si="10"/>
        <v>Bulk Sales Tooling 201909</v>
      </c>
      <c r="E136" s="43" t="str">
        <f t="shared" si="11"/>
        <v>Bulk Sales Tooling</v>
      </c>
      <c r="F136" s="47" t="str">
        <f t="shared" si="12"/>
        <v>09</v>
      </c>
      <c r="G136" s="47" t="str">
        <f t="shared" si="13"/>
        <v>2019</v>
      </c>
      <c r="H136" s="40">
        <f t="shared" si="14"/>
        <v>154080</v>
      </c>
    </row>
    <row r="137" spans="2:8" x14ac:dyDescent="0.35">
      <c r="B137" s="31" t="s">
        <v>643</v>
      </c>
      <c r="C137" s="29">
        <v>434741.84319999994</v>
      </c>
      <c r="D137" s="46" t="str">
        <f t="shared" si="10"/>
        <v>Consumer Sales 201909</v>
      </c>
      <c r="E137" s="43" t="str">
        <f t="shared" si="11"/>
        <v>Consumer Sales</v>
      </c>
      <c r="F137" s="47" t="str">
        <f t="shared" si="12"/>
        <v>09</v>
      </c>
      <c r="G137" s="47" t="str">
        <f t="shared" si="13"/>
        <v>2019</v>
      </c>
      <c r="H137" s="40">
        <f t="shared" si="14"/>
        <v>434741.84319999994</v>
      </c>
    </row>
    <row r="138" spans="2:8" x14ac:dyDescent="0.35">
      <c r="B138" s="31" t="s">
        <v>644</v>
      </c>
      <c r="C138" s="29">
        <v>59220</v>
      </c>
      <c r="D138" s="46" t="str">
        <f t="shared" si="10"/>
        <v>Consumer Sales Tooling 201909</v>
      </c>
      <c r="E138" s="43" t="str">
        <f t="shared" si="11"/>
        <v>Consumer Sales Tooling</v>
      </c>
      <c r="F138" s="47" t="str">
        <f t="shared" si="12"/>
        <v>09</v>
      </c>
      <c r="G138" s="47" t="str">
        <f t="shared" si="13"/>
        <v>2019</v>
      </c>
      <c r="H138" s="40">
        <f t="shared" si="14"/>
        <v>59220</v>
      </c>
    </row>
    <row r="139" spans="2:8" x14ac:dyDescent="0.35">
      <c r="B139" s="31" t="s">
        <v>645</v>
      </c>
      <c r="C139" s="29">
        <v>16446.081599999998</v>
      </c>
      <c r="D139" s="46" t="str">
        <f t="shared" si="10"/>
        <v>Electronics Sales 201909</v>
      </c>
      <c r="E139" s="43" t="str">
        <f t="shared" si="11"/>
        <v>Electronics Sales</v>
      </c>
      <c r="F139" s="47" t="str">
        <f t="shared" si="12"/>
        <v>09</v>
      </c>
      <c r="G139" s="47" t="str">
        <f t="shared" si="13"/>
        <v>2019</v>
      </c>
      <c r="H139" s="40">
        <f t="shared" si="14"/>
        <v>16446.081599999998</v>
      </c>
    </row>
    <row r="140" spans="2:8" x14ac:dyDescent="0.35">
      <c r="B140" s="31" t="s">
        <v>646</v>
      </c>
      <c r="C140" s="29">
        <v>0</v>
      </c>
      <c r="D140" s="46" t="str">
        <f t="shared" si="10"/>
        <v>Electronics Sales Tooling 201909</v>
      </c>
      <c r="E140" s="43" t="str">
        <f t="shared" si="11"/>
        <v>Electronics Sales Tooling</v>
      </c>
      <c r="F140" s="47" t="str">
        <f t="shared" si="12"/>
        <v>09</v>
      </c>
      <c r="G140" s="47" t="str">
        <f t="shared" si="13"/>
        <v>2019</v>
      </c>
      <c r="H140" s="40">
        <f t="shared" si="14"/>
        <v>0</v>
      </c>
    </row>
    <row r="141" spans="2:8" x14ac:dyDescent="0.35">
      <c r="B141" s="31" t="s">
        <v>647</v>
      </c>
      <c r="C141" s="29">
        <v>29565</v>
      </c>
      <c r="D141" s="46" t="str">
        <f t="shared" si="10"/>
        <v>Mechanic Sales 201909</v>
      </c>
      <c r="E141" s="43" t="str">
        <f t="shared" si="11"/>
        <v>Mechanic Sales</v>
      </c>
      <c r="F141" s="47" t="str">
        <f t="shared" si="12"/>
        <v>09</v>
      </c>
      <c r="G141" s="47" t="str">
        <f t="shared" si="13"/>
        <v>2019</v>
      </c>
      <c r="H141" s="40">
        <f t="shared" si="14"/>
        <v>29565</v>
      </c>
    </row>
    <row r="142" spans="2:8" x14ac:dyDescent="0.35">
      <c r="B142" s="31" t="s">
        <v>648</v>
      </c>
      <c r="C142" s="29">
        <v>93972.48149999998</v>
      </c>
      <c r="D142" s="46" t="str">
        <f t="shared" si="10"/>
        <v>Mechanic Sales Tooling 201909</v>
      </c>
      <c r="E142" s="43" t="str">
        <f t="shared" si="11"/>
        <v>Mechanic Sales Tooling</v>
      </c>
      <c r="F142" s="47" t="str">
        <f t="shared" si="12"/>
        <v>09</v>
      </c>
      <c r="G142" s="47" t="str">
        <f t="shared" si="13"/>
        <v>2019</v>
      </c>
      <c r="H142" s="40">
        <f t="shared" si="14"/>
        <v>93972.48149999998</v>
      </c>
    </row>
    <row r="143" spans="2:8" x14ac:dyDescent="0.35">
      <c r="B143" s="31" t="s">
        <v>649</v>
      </c>
      <c r="C143" s="29">
        <v>0</v>
      </c>
      <c r="D143" s="46" t="str">
        <f t="shared" si="10"/>
        <v>Non Operating sales201909</v>
      </c>
      <c r="E143" s="43" t="str">
        <f t="shared" si="11"/>
        <v>Non Operating sale</v>
      </c>
      <c r="F143" s="47" t="str">
        <f t="shared" si="12"/>
        <v>09</v>
      </c>
      <c r="G143" s="47" t="str">
        <f t="shared" si="13"/>
        <v>2019</v>
      </c>
      <c r="H143" s="40">
        <f t="shared" si="14"/>
        <v>0</v>
      </c>
    </row>
    <row r="144" spans="2:8" x14ac:dyDescent="0.35">
      <c r="B144" s="31" t="s">
        <v>650</v>
      </c>
      <c r="C144" s="29">
        <v>31665.861600000004</v>
      </c>
      <c r="D144" s="46" t="str">
        <f t="shared" si="10"/>
        <v>Partner Sales 201909</v>
      </c>
      <c r="E144" s="43" t="str">
        <f t="shared" si="11"/>
        <v>Partner Sales</v>
      </c>
      <c r="F144" s="47" t="str">
        <f t="shared" si="12"/>
        <v>09</v>
      </c>
      <c r="G144" s="47" t="str">
        <f t="shared" si="13"/>
        <v>2019</v>
      </c>
      <c r="H144" s="40">
        <f t="shared" si="14"/>
        <v>31665.861600000004</v>
      </c>
    </row>
    <row r="145" spans="2:8" x14ac:dyDescent="0.35">
      <c r="B145" s="31" t="s">
        <v>651</v>
      </c>
      <c r="C145" s="29">
        <v>35526</v>
      </c>
      <c r="D145" s="46" t="str">
        <f t="shared" si="10"/>
        <v>Partner Sales Tooling 201909</v>
      </c>
      <c r="E145" s="43" t="str">
        <f t="shared" si="11"/>
        <v>Partner Sales Tooling</v>
      </c>
      <c r="F145" s="47" t="str">
        <f t="shared" si="12"/>
        <v>09</v>
      </c>
      <c r="G145" s="47" t="str">
        <f t="shared" si="13"/>
        <v>2019</v>
      </c>
      <c r="H145" s="40">
        <f t="shared" si="14"/>
        <v>35526</v>
      </c>
    </row>
    <row r="146" spans="2:8" x14ac:dyDescent="0.35">
      <c r="B146" s="31" t="s">
        <v>652</v>
      </c>
      <c r="C146" s="29">
        <v>-4484.2559999999994</v>
      </c>
      <c r="D146" s="46" t="str">
        <f t="shared" si="10"/>
        <v>Sales - Discounts 201909</v>
      </c>
      <c r="E146" s="43" t="str">
        <f t="shared" si="11"/>
        <v>Sales - Discounts</v>
      </c>
      <c r="F146" s="47" t="str">
        <f t="shared" si="12"/>
        <v>09</v>
      </c>
      <c r="G146" s="47" t="str">
        <f t="shared" si="13"/>
        <v>2019</v>
      </c>
      <c r="H146" s="40">
        <f t="shared" si="14"/>
        <v>-4484.2559999999994</v>
      </c>
    </row>
    <row r="147" spans="2:8" x14ac:dyDescent="0.35">
      <c r="B147" s="31" t="s">
        <v>653</v>
      </c>
      <c r="C147" s="29">
        <v>155.09620000000001</v>
      </c>
      <c r="D147" s="46" t="str">
        <f t="shared" si="10"/>
        <v>Sales - Freight Out 201909</v>
      </c>
      <c r="E147" s="43" t="str">
        <f t="shared" si="11"/>
        <v>Sales - Freight Out</v>
      </c>
      <c r="F147" s="47" t="str">
        <f t="shared" si="12"/>
        <v>09</v>
      </c>
      <c r="G147" s="47" t="str">
        <f t="shared" si="13"/>
        <v>2019</v>
      </c>
      <c r="H147" s="40">
        <f t="shared" si="14"/>
        <v>155.09620000000001</v>
      </c>
    </row>
    <row r="148" spans="2:8" x14ac:dyDescent="0.35">
      <c r="B148" s="31" t="s">
        <v>654</v>
      </c>
      <c r="C148" s="29">
        <v>-7036.0375000000004</v>
      </c>
      <c r="D148" s="46" t="str">
        <f t="shared" si="10"/>
        <v>Sales - Returns 201909</v>
      </c>
      <c r="E148" s="43" t="str">
        <f t="shared" si="11"/>
        <v>Sales - Returns</v>
      </c>
      <c r="F148" s="47" t="str">
        <f t="shared" si="12"/>
        <v>09</v>
      </c>
      <c r="G148" s="47" t="str">
        <f t="shared" si="13"/>
        <v>2019</v>
      </c>
      <c r="H148" s="40">
        <f t="shared" si="14"/>
        <v>-7036.0375000000004</v>
      </c>
    </row>
    <row r="149" spans="2:8" x14ac:dyDescent="0.35">
      <c r="B149" s="31" t="s">
        <v>655</v>
      </c>
      <c r="C149" s="29">
        <v>136919.09659999999</v>
      </c>
      <c r="D149" s="46" t="str">
        <f t="shared" si="10"/>
        <v>Automotive Sales 201910</v>
      </c>
      <c r="E149" s="43" t="str">
        <f t="shared" si="11"/>
        <v>Automotive Sales</v>
      </c>
      <c r="F149" s="47" t="str">
        <f t="shared" si="12"/>
        <v>10</v>
      </c>
      <c r="G149" s="47" t="str">
        <f t="shared" si="13"/>
        <v>2019</v>
      </c>
      <c r="H149" s="40">
        <f t="shared" si="14"/>
        <v>136919.09659999999</v>
      </c>
    </row>
    <row r="150" spans="2:8" x14ac:dyDescent="0.35">
      <c r="B150" s="31" t="s">
        <v>656</v>
      </c>
      <c r="C150" s="29">
        <v>0</v>
      </c>
      <c r="D150" s="46" t="str">
        <f t="shared" si="10"/>
        <v>Automotive Sales Tooling 201910</v>
      </c>
      <c r="E150" s="43" t="str">
        <f t="shared" si="11"/>
        <v>Automotive Sales Tooling</v>
      </c>
      <c r="F150" s="47" t="str">
        <f t="shared" si="12"/>
        <v>10</v>
      </c>
      <c r="G150" s="47" t="str">
        <f t="shared" si="13"/>
        <v>2019</v>
      </c>
      <c r="H150" s="40">
        <f t="shared" si="14"/>
        <v>0</v>
      </c>
    </row>
    <row r="151" spans="2:8" x14ac:dyDescent="0.35">
      <c r="B151" s="31" t="s">
        <v>657</v>
      </c>
      <c r="C151" s="29">
        <v>662704.93460000004</v>
      </c>
      <c r="D151" s="46" t="str">
        <f t="shared" si="10"/>
        <v>Bulk Sales 201910</v>
      </c>
      <c r="E151" s="43" t="str">
        <f t="shared" si="11"/>
        <v>Bulk Sales</v>
      </c>
      <c r="F151" s="47" t="str">
        <f t="shared" si="12"/>
        <v>10</v>
      </c>
      <c r="G151" s="47" t="str">
        <f t="shared" si="13"/>
        <v>2019</v>
      </c>
      <c r="H151" s="40">
        <f t="shared" si="14"/>
        <v>662704.93460000004</v>
      </c>
    </row>
    <row r="152" spans="2:8" x14ac:dyDescent="0.35">
      <c r="B152" s="31" t="s">
        <v>658</v>
      </c>
      <c r="C152" s="29">
        <v>1728</v>
      </c>
      <c r="D152" s="46" t="str">
        <f t="shared" si="10"/>
        <v>Bulk Sales Tooling 201910</v>
      </c>
      <c r="E152" s="43" t="str">
        <f t="shared" si="11"/>
        <v>Bulk Sales Tooling</v>
      </c>
      <c r="F152" s="47" t="str">
        <f t="shared" si="12"/>
        <v>10</v>
      </c>
      <c r="G152" s="47" t="str">
        <f t="shared" si="13"/>
        <v>2019</v>
      </c>
      <c r="H152" s="40">
        <f t="shared" si="14"/>
        <v>1728</v>
      </c>
    </row>
    <row r="153" spans="2:8" x14ac:dyDescent="0.35">
      <c r="B153" s="31" t="s">
        <v>659</v>
      </c>
      <c r="C153" s="29">
        <v>319411.89839999995</v>
      </c>
      <c r="D153" s="46" t="str">
        <f t="shared" si="10"/>
        <v>Consumer Sales 201910</v>
      </c>
      <c r="E153" s="43" t="str">
        <f t="shared" si="11"/>
        <v>Consumer Sales</v>
      </c>
      <c r="F153" s="47" t="str">
        <f t="shared" si="12"/>
        <v>10</v>
      </c>
      <c r="G153" s="47" t="str">
        <f t="shared" si="13"/>
        <v>2019</v>
      </c>
      <c r="H153" s="40">
        <f t="shared" si="14"/>
        <v>319411.89839999995</v>
      </c>
    </row>
    <row r="154" spans="2:8" x14ac:dyDescent="0.35">
      <c r="B154" s="31" t="s">
        <v>660</v>
      </c>
      <c r="C154" s="29">
        <v>0</v>
      </c>
      <c r="D154" s="46" t="str">
        <f t="shared" si="10"/>
        <v>Consumer Sales Tooling 201910</v>
      </c>
      <c r="E154" s="43" t="str">
        <f t="shared" si="11"/>
        <v>Consumer Sales Tooling</v>
      </c>
      <c r="F154" s="47" t="str">
        <f t="shared" si="12"/>
        <v>10</v>
      </c>
      <c r="G154" s="47" t="str">
        <f t="shared" si="13"/>
        <v>2019</v>
      </c>
      <c r="H154" s="40">
        <f t="shared" si="14"/>
        <v>0</v>
      </c>
    </row>
    <row r="155" spans="2:8" x14ac:dyDescent="0.35">
      <c r="B155" s="31" t="s">
        <v>661</v>
      </c>
      <c r="C155" s="29">
        <v>26193.599999999999</v>
      </c>
      <c r="D155" s="46" t="str">
        <f t="shared" si="10"/>
        <v>Electronics Sales 201910</v>
      </c>
      <c r="E155" s="43" t="str">
        <f t="shared" si="11"/>
        <v>Electronics Sales</v>
      </c>
      <c r="F155" s="47" t="str">
        <f t="shared" si="12"/>
        <v>10</v>
      </c>
      <c r="G155" s="47" t="str">
        <f t="shared" si="13"/>
        <v>2019</v>
      </c>
      <c r="H155" s="40">
        <f t="shared" si="14"/>
        <v>26193.599999999999</v>
      </c>
    </row>
    <row r="156" spans="2:8" x14ac:dyDescent="0.35">
      <c r="B156" s="31" t="s">
        <v>662</v>
      </c>
      <c r="C156" s="29">
        <v>0</v>
      </c>
      <c r="D156" s="46" t="str">
        <f t="shared" si="10"/>
        <v>Electronics Sales Tooling 201910</v>
      </c>
      <c r="E156" s="43" t="str">
        <f t="shared" si="11"/>
        <v>Electronics Sales Tooling</v>
      </c>
      <c r="F156" s="47" t="str">
        <f t="shared" si="12"/>
        <v>10</v>
      </c>
      <c r="G156" s="47" t="str">
        <f t="shared" si="13"/>
        <v>2019</v>
      </c>
      <c r="H156" s="40">
        <f t="shared" si="14"/>
        <v>0</v>
      </c>
    </row>
    <row r="157" spans="2:8" x14ac:dyDescent="0.35">
      <c r="B157" s="31" t="s">
        <v>663</v>
      </c>
      <c r="C157" s="29">
        <v>50567.535000000003</v>
      </c>
      <c r="D157" s="46" t="str">
        <f t="shared" si="10"/>
        <v>Mechanic Sales 201910</v>
      </c>
      <c r="E157" s="43" t="str">
        <f t="shared" si="11"/>
        <v>Mechanic Sales</v>
      </c>
      <c r="F157" s="47" t="str">
        <f t="shared" si="12"/>
        <v>10</v>
      </c>
      <c r="G157" s="47" t="str">
        <f t="shared" si="13"/>
        <v>2019</v>
      </c>
      <c r="H157" s="40">
        <f t="shared" si="14"/>
        <v>50567.535000000003</v>
      </c>
    </row>
    <row r="158" spans="2:8" x14ac:dyDescent="0.35">
      <c r="B158" s="31" t="s">
        <v>664</v>
      </c>
      <c r="C158" s="29">
        <v>5718.3254999999999</v>
      </c>
      <c r="D158" s="46" t="str">
        <f t="shared" si="10"/>
        <v>Mechanic Sales Tooling 201910</v>
      </c>
      <c r="E158" s="43" t="str">
        <f t="shared" si="11"/>
        <v>Mechanic Sales Tooling</v>
      </c>
      <c r="F158" s="47" t="str">
        <f t="shared" si="12"/>
        <v>10</v>
      </c>
      <c r="G158" s="47" t="str">
        <f t="shared" si="13"/>
        <v>2019</v>
      </c>
      <c r="H158" s="40">
        <f t="shared" si="14"/>
        <v>5718.3254999999999</v>
      </c>
    </row>
    <row r="159" spans="2:8" x14ac:dyDescent="0.35">
      <c r="B159" s="31" t="s">
        <v>665</v>
      </c>
      <c r="C159" s="29">
        <v>0</v>
      </c>
      <c r="D159" s="46" t="str">
        <f t="shared" si="10"/>
        <v>Non Operating sales201910</v>
      </c>
      <c r="E159" s="43" t="str">
        <f t="shared" si="11"/>
        <v>Non Operating sale</v>
      </c>
      <c r="F159" s="47" t="str">
        <f t="shared" si="12"/>
        <v>10</v>
      </c>
      <c r="G159" s="47" t="str">
        <f t="shared" si="13"/>
        <v>2019</v>
      </c>
      <c r="H159" s="40">
        <f t="shared" si="14"/>
        <v>0</v>
      </c>
    </row>
    <row r="160" spans="2:8" x14ac:dyDescent="0.35">
      <c r="B160" s="31" t="s">
        <v>666</v>
      </c>
      <c r="C160" s="29">
        <v>185560.03760000004</v>
      </c>
      <c r="D160" s="46" t="str">
        <f t="shared" si="10"/>
        <v>Partner Sales 201910</v>
      </c>
      <c r="E160" s="43" t="str">
        <f t="shared" si="11"/>
        <v>Partner Sales</v>
      </c>
      <c r="F160" s="47" t="str">
        <f t="shared" si="12"/>
        <v>10</v>
      </c>
      <c r="G160" s="47" t="str">
        <f t="shared" si="13"/>
        <v>2019</v>
      </c>
      <c r="H160" s="40">
        <f t="shared" si="14"/>
        <v>185560.03760000004</v>
      </c>
    </row>
    <row r="161" spans="2:8" x14ac:dyDescent="0.35">
      <c r="B161" s="31" t="s">
        <v>667</v>
      </c>
      <c r="C161" s="29">
        <v>0</v>
      </c>
      <c r="D161" s="46" t="str">
        <f t="shared" si="10"/>
        <v>Partner Sales Tooling 201910</v>
      </c>
      <c r="E161" s="43" t="str">
        <f t="shared" si="11"/>
        <v>Partner Sales Tooling</v>
      </c>
      <c r="F161" s="47" t="str">
        <f t="shared" si="12"/>
        <v>10</v>
      </c>
      <c r="G161" s="47" t="str">
        <f t="shared" si="13"/>
        <v>2019</v>
      </c>
      <c r="H161" s="40">
        <f t="shared" si="14"/>
        <v>0</v>
      </c>
    </row>
    <row r="162" spans="2:8" x14ac:dyDescent="0.35">
      <c r="B162" s="31" t="s">
        <v>668</v>
      </c>
      <c r="C162" s="29">
        <v>-3909.4299999999994</v>
      </c>
      <c r="D162" s="46" t="str">
        <f t="shared" si="10"/>
        <v>Sales - Discounts 201910</v>
      </c>
      <c r="E162" s="43" t="str">
        <f t="shared" si="11"/>
        <v>Sales - Discounts</v>
      </c>
      <c r="F162" s="47" t="str">
        <f t="shared" si="12"/>
        <v>10</v>
      </c>
      <c r="G162" s="47" t="str">
        <f t="shared" si="13"/>
        <v>2019</v>
      </c>
      <c r="H162" s="40">
        <f t="shared" si="14"/>
        <v>-3909.4299999999994</v>
      </c>
    </row>
    <row r="163" spans="2:8" x14ac:dyDescent="0.35">
      <c r="B163" s="31" t="s">
        <v>669</v>
      </c>
      <c r="C163" s="29">
        <v>92.490600000000015</v>
      </c>
      <c r="D163" s="46" t="str">
        <f t="shared" si="10"/>
        <v>Sales - Freight Out 201910</v>
      </c>
      <c r="E163" s="43" t="str">
        <f t="shared" si="11"/>
        <v>Sales - Freight Out</v>
      </c>
      <c r="F163" s="47" t="str">
        <f t="shared" si="12"/>
        <v>10</v>
      </c>
      <c r="G163" s="47" t="str">
        <f t="shared" si="13"/>
        <v>2019</v>
      </c>
      <c r="H163" s="40">
        <f t="shared" si="14"/>
        <v>92.490600000000015</v>
      </c>
    </row>
    <row r="164" spans="2:8" x14ac:dyDescent="0.35">
      <c r="B164" s="31" t="s">
        <v>670</v>
      </c>
      <c r="C164" s="29">
        <v>4299.3999999999996</v>
      </c>
      <c r="D164" s="46" t="str">
        <f t="shared" si="10"/>
        <v>Sales - Returns 201910</v>
      </c>
      <c r="E164" s="43" t="str">
        <f t="shared" si="11"/>
        <v>Sales - Returns</v>
      </c>
      <c r="F164" s="47" t="str">
        <f t="shared" si="12"/>
        <v>10</v>
      </c>
      <c r="G164" s="47" t="str">
        <f t="shared" si="13"/>
        <v>2019</v>
      </c>
      <c r="H164" s="40">
        <f t="shared" si="14"/>
        <v>4299.3999999999996</v>
      </c>
    </row>
    <row r="165" spans="2:8" x14ac:dyDescent="0.35">
      <c r="B165" s="31" t="s">
        <v>671</v>
      </c>
      <c r="C165" s="29">
        <v>242473.93169999999</v>
      </c>
      <c r="D165" s="46" t="str">
        <f t="shared" si="10"/>
        <v>Automotive Sales 201911</v>
      </c>
      <c r="E165" s="43" t="str">
        <f t="shared" si="11"/>
        <v>Automotive Sales</v>
      </c>
      <c r="F165" s="47" t="str">
        <f t="shared" si="12"/>
        <v>11</v>
      </c>
      <c r="G165" s="47" t="str">
        <f t="shared" si="13"/>
        <v>2019</v>
      </c>
      <c r="H165" s="40">
        <f t="shared" si="14"/>
        <v>242473.93169999999</v>
      </c>
    </row>
    <row r="166" spans="2:8" x14ac:dyDescent="0.35">
      <c r="B166" s="31" t="s">
        <v>672</v>
      </c>
      <c r="C166" s="29">
        <v>2650</v>
      </c>
      <c r="D166" s="46" t="str">
        <f t="shared" si="10"/>
        <v>Automotive Sales Tooling 201911</v>
      </c>
      <c r="E166" s="43" t="str">
        <f t="shared" si="11"/>
        <v>Automotive Sales Tooling</v>
      </c>
      <c r="F166" s="47" t="str">
        <f t="shared" si="12"/>
        <v>11</v>
      </c>
      <c r="G166" s="47" t="str">
        <f t="shared" si="13"/>
        <v>2019</v>
      </c>
      <c r="H166" s="40">
        <f t="shared" si="14"/>
        <v>2650</v>
      </c>
    </row>
    <row r="167" spans="2:8" x14ac:dyDescent="0.35">
      <c r="B167" s="31" t="s">
        <v>673</v>
      </c>
      <c r="C167" s="29">
        <v>839806.8918000001</v>
      </c>
      <c r="D167" s="46" t="str">
        <f t="shared" si="10"/>
        <v>Bulk Sales 201911</v>
      </c>
      <c r="E167" s="43" t="str">
        <f t="shared" si="11"/>
        <v>Bulk Sales</v>
      </c>
      <c r="F167" s="47" t="str">
        <f t="shared" si="12"/>
        <v>11</v>
      </c>
      <c r="G167" s="47" t="str">
        <f t="shared" si="13"/>
        <v>2019</v>
      </c>
      <c r="H167" s="40">
        <f t="shared" si="14"/>
        <v>839806.8918000001</v>
      </c>
    </row>
    <row r="168" spans="2:8" x14ac:dyDescent="0.35">
      <c r="B168" s="31" t="s">
        <v>674</v>
      </c>
      <c r="C168" s="29">
        <v>17568</v>
      </c>
      <c r="D168" s="46" t="str">
        <f t="shared" si="10"/>
        <v>Bulk Sales Tooling 201911</v>
      </c>
      <c r="E168" s="43" t="str">
        <f t="shared" si="11"/>
        <v>Bulk Sales Tooling</v>
      </c>
      <c r="F168" s="47" t="str">
        <f t="shared" si="12"/>
        <v>11</v>
      </c>
      <c r="G168" s="47" t="str">
        <f t="shared" si="13"/>
        <v>2019</v>
      </c>
      <c r="H168" s="40">
        <f t="shared" si="14"/>
        <v>17568</v>
      </c>
    </row>
    <row r="169" spans="2:8" x14ac:dyDescent="0.35">
      <c r="B169" s="31" t="s">
        <v>675</v>
      </c>
      <c r="C169" s="29">
        <v>348099.95599999995</v>
      </c>
      <c r="D169" s="46" t="str">
        <f t="shared" si="10"/>
        <v>Consumer Sales 201911</v>
      </c>
      <c r="E169" s="43" t="str">
        <f t="shared" si="11"/>
        <v>Consumer Sales</v>
      </c>
      <c r="F169" s="47" t="str">
        <f t="shared" si="12"/>
        <v>11</v>
      </c>
      <c r="G169" s="47" t="str">
        <f t="shared" si="13"/>
        <v>2019</v>
      </c>
      <c r="H169" s="40">
        <f t="shared" si="14"/>
        <v>348099.95599999995</v>
      </c>
    </row>
    <row r="170" spans="2:8" x14ac:dyDescent="0.35">
      <c r="B170" s="31" t="s">
        <v>676</v>
      </c>
      <c r="C170" s="29">
        <v>0</v>
      </c>
      <c r="D170" s="46" t="str">
        <f t="shared" si="10"/>
        <v>Consumer Sales Tooling 201911</v>
      </c>
      <c r="E170" s="43" t="str">
        <f t="shared" si="11"/>
        <v>Consumer Sales Tooling</v>
      </c>
      <c r="F170" s="47" t="str">
        <f t="shared" si="12"/>
        <v>11</v>
      </c>
      <c r="G170" s="47" t="str">
        <f t="shared" si="13"/>
        <v>2019</v>
      </c>
      <c r="H170" s="40">
        <f t="shared" si="14"/>
        <v>0</v>
      </c>
    </row>
    <row r="171" spans="2:8" x14ac:dyDescent="0.35">
      <c r="B171" s="31" t="s">
        <v>677</v>
      </c>
      <c r="C171" s="29">
        <v>0</v>
      </c>
      <c r="D171" s="46" t="str">
        <f t="shared" si="10"/>
        <v>Electronics Sales 201911</v>
      </c>
      <c r="E171" s="43" t="str">
        <f t="shared" si="11"/>
        <v>Electronics Sales</v>
      </c>
      <c r="F171" s="47" t="str">
        <f t="shared" si="12"/>
        <v>11</v>
      </c>
      <c r="G171" s="47" t="str">
        <f t="shared" si="13"/>
        <v>2019</v>
      </c>
      <c r="H171" s="40">
        <f t="shared" si="14"/>
        <v>0</v>
      </c>
    </row>
    <row r="172" spans="2:8" x14ac:dyDescent="0.35">
      <c r="B172" s="31" t="s">
        <v>678</v>
      </c>
      <c r="C172" s="29">
        <v>0</v>
      </c>
      <c r="D172" s="46" t="str">
        <f t="shared" si="10"/>
        <v>Electronics Sales Tooling 201911</v>
      </c>
      <c r="E172" s="43" t="str">
        <f t="shared" si="11"/>
        <v>Electronics Sales Tooling</v>
      </c>
      <c r="F172" s="47" t="str">
        <f t="shared" si="12"/>
        <v>11</v>
      </c>
      <c r="G172" s="47" t="str">
        <f t="shared" si="13"/>
        <v>2019</v>
      </c>
      <c r="H172" s="40">
        <f t="shared" si="14"/>
        <v>0</v>
      </c>
    </row>
    <row r="173" spans="2:8" x14ac:dyDescent="0.35">
      <c r="B173" s="31" t="s">
        <v>679</v>
      </c>
      <c r="C173" s="29">
        <v>32905.845000000001</v>
      </c>
      <c r="D173" s="46" t="str">
        <f t="shared" si="10"/>
        <v>Mechanic Sales 201911</v>
      </c>
      <c r="E173" s="43" t="str">
        <f t="shared" si="11"/>
        <v>Mechanic Sales</v>
      </c>
      <c r="F173" s="47" t="str">
        <f t="shared" si="12"/>
        <v>11</v>
      </c>
      <c r="G173" s="47" t="str">
        <f t="shared" si="13"/>
        <v>2019</v>
      </c>
      <c r="H173" s="40">
        <f t="shared" si="14"/>
        <v>32905.845000000001</v>
      </c>
    </row>
    <row r="174" spans="2:8" x14ac:dyDescent="0.35">
      <c r="B174" s="31" t="s">
        <v>680</v>
      </c>
      <c r="C174" s="29">
        <v>12666.3966</v>
      </c>
      <c r="D174" s="46" t="str">
        <f t="shared" si="10"/>
        <v>Mechanic Sales Tooling 201911</v>
      </c>
      <c r="E174" s="43" t="str">
        <f t="shared" si="11"/>
        <v>Mechanic Sales Tooling</v>
      </c>
      <c r="F174" s="47" t="str">
        <f t="shared" si="12"/>
        <v>11</v>
      </c>
      <c r="G174" s="47" t="str">
        <f t="shared" si="13"/>
        <v>2019</v>
      </c>
      <c r="H174" s="40">
        <f t="shared" si="14"/>
        <v>12666.3966</v>
      </c>
    </row>
    <row r="175" spans="2:8" x14ac:dyDescent="0.35">
      <c r="B175" s="31" t="s">
        <v>681</v>
      </c>
      <c r="C175" s="29">
        <v>0</v>
      </c>
      <c r="D175" s="46" t="str">
        <f t="shared" si="10"/>
        <v>Non Operating sales201911</v>
      </c>
      <c r="E175" s="43" t="str">
        <f t="shared" si="11"/>
        <v>Non Operating sale</v>
      </c>
      <c r="F175" s="47" t="str">
        <f t="shared" si="12"/>
        <v>11</v>
      </c>
      <c r="G175" s="47" t="str">
        <f t="shared" si="13"/>
        <v>2019</v>
      </c>
      <c r="H175" s="40">
        <f t="shared" si="14"/>
        <v>0</v>
      </c>
    </row>
    <row r="176" spans="2:8" x14ac:dyDescent="0.35">
      <c r="B176" s="31" t="s">
        <v>682</v>
      </c>
      <c r="C176" s="29">
        <v>212568.17980000001</v>
      </c>
      <c r="D176" s="46" t="str">
        <f t="shared" si="10"/>
        <v>Partner Sales 201911</v>
      </c>
      <c r="E176" s="43" t="str">
        <f t="shared" si="11"/>
        <v>Partner Sales</v>
      </c>
      <c r="F176" s="47" t="str">
        <f t="shared" si="12"/>
        <v>11</v>
      </c>
      <c r="G176" s="47" t="str">
        <f t="shared" si="13"/>
        <v>2019</v>
      </c>
      <c r="H176" s="40">
        <f t="shared" si="14"/>
        <v>212568.17980000001</v>
      </c>
    </row>
    <row r="177" spans="2:8" x14ac:dyDescent="0.35">
      <c r="B177" s="31" t="s">
        <v>683</v>
      </c>
      <c r="C177" s="29">
        <v>6091.5929999999998</v>
      </c>
      <c r="D177" s="46" t="str">
        <f t="shared" si="10"/>
        <v>Partner Sales Tooling 201911</v>
      </c>
      <c r="E177" s="43" t="str">
        <f t="shared" si="11"/>
        <v>Partner Sales Tooling</v>
      </c>
      <c r="F177" s="47" t="str">
        <f t="shared" si="12"/>
        <v>11</v>
      </c>
      <c r="G177" s="47" t="str">
        <f t="shared" si="13"/>
        <v>2019</v>
      </c>
      <c r="H177" s="40">
        <f t="shared" si="14"/>
        <v>6091.5929999999998</v>
      </c>
    </row>
    <row r="178" spans="2:8" x14ac:dyDescent="0.35">
      <c r="B178" s="31" t="s">
        <v>684</v>
      </c>
      <c r="C178" s="29">
        <v>-1539.5519999999999</v>
      </c>
      <c r="D178" s="46" t="str">
        <f t="shared" si="10"/>
        <v>Sales - Discounts 201911</v>
      </c>
      <c r="E178" s="43" t="str">
        <f t="shared" si="11"/>
        <v>Sales - Discounts</v>
      </c>
      <c r="F178" s="47" t="str">
        <f t="shared" si="12"/>
        <v>11</v>
      </c>
      <c r="G178" s="47" t="str">
        <f t="shared" si="13"/>
        <v>2019</v>
      </c>
      <c r="H178" s="40">
        <f t="shared" si="14"/>
        <v>-1539.5519999999999</v>
      </c>
    </row>
    <row r="179" spans="2:8" x14ac:dyDescent="0.35">
      <c r="B179" s="31" t="s">
        <v>685</v>
      </c>
      <c r="C179" s="29">
        <v>240.12250000000003</v>
      </c>
      <c r="D179" s="46" t="str">
        <f t="shared" si="10"/>
        <v>Sales - Freight Out 201911</v>
      </c>
      <c r="E179" s="43" t="str">
        <f t="shared" si="11"/>
        <v>Sales - Freight Out</v>
      </c>
      <c r="F179" s="47" t="str">
        <f t="shared" si="12"/>
        <v>11</v>
      </c>
      <c r="G179" s="47" t="str">
        <f t="shared" si="13"/>
        <v>2019</v>
      </c>
      <c r="H179" s="40">
        <f t="shared" si="14"/>
        <v>240.12250000000003</v>
      </c>
    </row>
    <row r="180" spans="2:8" x14ac:dyDescent="0.35">
      <c r="B180" s="31" t="s">
        <v>686</v>
      </c>
      <c r="C180" s="29">
        <v>-8175.3125</v>
      </c>
      <c r="D180" s="46" t="str">
        <f t="shared" si="10"/>
        <v>Sales - Returns 201911</v>
      </c>
      <c r="E180" s="43" t="str">
        <f t="shared" si="11"/>
        <v>Sales - Returns</v>
      </c>
      <c r="F180" s="47" t="str">
        <f t="shared" si="12"/>
        <v>11</v>
      </c>
      <c r="G180" s="47" t="str">
        <f t="shared" si="13"/>
        <v>2019</v>
      </c>
      <c r="H180" s="40">
        <f t="shared" si="14"/>
        <v>-8175.3125</v>
      </c>
    </row>
    <row r="181" spans="2:8" x14ac:dyDescent="0.35">
      <c r="B181" s="31" t="s">
        <v>687</v>
      </c>
      <c r="C181" s="29">
        <v>545756.86879999994</v>
      </c>
      <c r="D181" s="46" t="str">
        <f t="shared" si="10"/>
        <v>Automotive Sales 201912</v>
      </c>
      <c r="E181" s="43" t="str">
        <f t="shared" si="11"/>
        <v>Automotive Sales</v>
      </c>
      <c r="F181" s="47" t="str">
        <f t="shared" si="12"/>
        <v>12</v>
      </c>
      <c r="G181" s="47" t="str">
        <f t="shared" si="13"/>
        <v>2019</v>
      </c>
      <c r="H181" s="40">
        <f t="shared" si="14"/>
        <v>545756.86879999994</v>
      </c>
    </row>
    <row r="182" spans="2:8" x14ac:dyDescent="0.35">
      <c r="B182" s="31" t="s">
        <v>688</v>
      </c>
      <c r="C182" s="29">
        <v>43942.3</v>
      </c>
      <c r="D182" s="46" t="str">
        <f t="shared" si="10"/>
        <v>Automotive Sales Tooling 201912</v>
      </c>
      <c r="E182" s="43" t="str">
        <f t="shared" si="11"/>
        <v>Automotive Sales Tooling</v>
      </c>
      <c r="F182" s="47" t="str">
        <f t="shared" si="12"/>
        <v>12</v>
      </c>
      <c r="G182" s="47" t="str">
        <f t="shared" si="13"/>
        <v>2019</v>
      </c>
      <c r="H182" s="40">
        <f t="shared" si="14"/>
        <v>43942.3</v>
      </c>
    </row>
    <row r="183" spans="2:8" x14ac:dyDescent="0.35">
      <c r="B183" s="31" t="s">
        <v>689</v>
      </c>
      <c r="C183" s="29">
        <v>990469.1725000001</v>
      </c>
      <c r="D183" s="46" t="str">
        <f t="shared" si="10"/>
        <v>Bulk Sales 201912</v>
      </c>
      <c r="E183" s="43" t="str">
        <f t="shared" si="11"/>
        <v>Bulk Sales</v>
      </c>
      <c r="F183" s="47" t="str">
        <f t="shared" si="12"/>
        <v>12</v>
      </c>
      <c r="G183" s="47" t="str">
        <f t="shared" si="13"/>
        <v>2019</v>
      </c>
      <c r="H183" s="40">
        <f t="shared" si="14"/>
        <v>990469.1725000001</v>
      </c>
    </row>
    <row r="184" spans="2:8" x14ac:dyDescent="0.35">
      <c r="B184" s="31" t="s">
        <v>690</v>
      </c>
      <c r="C184" s="29">
        <v>24336</v>
      </c>
      <c r="D184" s="46" t="str">
        <f t="shared" si="10"/>
        <v>Bulk Sales Tooling 201912</v>
      </c>
      <c r="E184" s="43" t="str">
        <f t="shared" si="11"/>
        <v>Bulk Sales Tooling</v>
      </c>
      <c r="F184" s="47" t="str">
        <f t="shared" si="12"/>
        <v>12</v>
      </c>
      <c r="G184" s="47" t="str">
        <f t="shared" si="13"/>
        <v>2019</v>
      </c>
      <c r="H184" s="40">
        <f t="shared" si="14"/>
        <v>24336</v>
      </c>
    </row>
    <row r="185" spans="2:8" x14ac:dyDescent="0.35">
      <c r="B185" s="31" t="s">
        <v>691</v>
      </c>
      <c r="C185" s="29">
        <v>794930.41759999993</v>
      </c>
      <c r="D185" s="46" t="str">
        <f t="shared" si="10"/>
        <v>Consumer Sales 201912</v>
      </c>
      <c r="E185" s="43" t="str">
        <f t="shared" si="11"/>
        <v>Consumer Sales</v>
      </c>
      <c r="F185" s="47" t="str">
        <f t="shared" si="12"/>
        <v>12</v>
      </c>
      <c r="G185" s="47" t="str">
        <f t="shared" si="13"/>
        <v>2019</v>
      </c>
      <c r="H185" s="40">
        <f t="shared" si="14"/>
        <v>794930.41759999993</v>
      </c>
    </row>
    <row r="186" spans="2:8" x14ac:dyDescent="0.35">
      <c r="B186" s="31" t="s">
        <v>692</v>
      </c>
      <c r="C186" s="29">
        <v>41328</v>
      </c>
      <c r="D186" s="46" t="str">
        <f t="shared" si="10"/>
        <v>Consumer Sales Tooling 201912</v>
      </c>
      <c r="E186" s="43" t="str">
        <f t="shared" si="11"/>
        <v>Consumer Sales Tooling</v>
      </c>
      <c r="F186" s="47" t="str">
        <f t="shared" si="12"/>
        <v>12</v>
      </c>
      <c r="G186" s="47" t="str">
        <f t="shared" si="13"/>
        <v>2019</v>
      </c>
      <c r="H186" s="40">
        <f t="shared" si="14"/>
        <v>41328</v>
      </c>
    </row>
    <row r="187" spans="2:8" x14ac:dyDescent="0.35">
      <c r="B187" s="31" t="s">
        <v>693</v>
      </c>
      <c r="C187" s="29">
        <v>16419.599999999999</v>
      </c>
      <c r="D187" s="46" t="str">
        <f t="shared" si="10"/>
        <v>Electronics Sales 201912</v>
      </c>
      <c r="E187" s="43" t="str">
        <f t="shared" si="11"/>
        <v>Electronics Sales</v>
      </c>
      <c r="F187" s="47" t="str">
        <f t="shared" si="12"/>
        <v>12</v>
      </c>
      <c r="G187" s="47" t="str">
        <f t="shared" si="13"/>
        <v>2019</v>
      </c>
      <c r="H187" s="40">
        <f t="shared" si="14"/>
        <v>16419.599999999999</v>
      </c>
    </row>
    <row r="188" spans="2:8" x14ac:dyDescent="0.35">
      <c r="B188" s="31" t="s">
        <v>694</v>
      </c>
      <c r="C188" s="29">
        <v>0</v>
      </c>
      <c r="D188" s="46" t="str">
        <f t="shared" si="10"/>
        <v>Electronics Sales Tooling 201912</v>
      </c>
      <c r="E188" s="43" t="str">
        <f t="shared" si="11"/>
        <v>Electronics Sales Tooling</v>
      </c>
      <c r="F188" s="47" t="str">
        <f t="shared" si="12"/>
        <v>12</v>
      </c>
      <c r="G188" s="47" t="str">
        <f t="shared" si="13"/>
        <v>2019</v>
      </c>
      <c r="H188" s="40">
        <f t="shared" si="14"/>
        <v>0</v>
      </c>
    </row>
    <row r="189" spans="2:8" x14ac:dyDescent="0.35">
      <c r="B189" s="31" t="s">
        <v>695</v>
      </c>
      <c r="C189" s="29">
        <v>102928.56</v>
      </c>
      <c r="D189" s="46" t="str">
        <f t="shared" si="10"/>
        <v>Mechanic Sales 201912</v>
      </c>
      <c r="E189" s="43" t="str">
        <f t="shared" si="11"/>
        <v>Mechanic Sales</v>
      </c>
      <c r="F189" s="47" t="str">
        <f t="shared" si="12"/>
        <v>12</v>
      </c>
      <c r="G189" s="47" t="str">
        <f t="shared" si="13"/>
        <v>2019</v>
      </c>
      <c r="H189" s="40">
        <f t="shared" si="14"/>
        <v>102928.56</v>
      </c>
    </row>
    <row r="190" spans="2:8" x14ac:dyDescent="0.35">
      <c r="B190" s="31" t="s">
        <v>696</v>
      </c>
      <c r="C190" s="29">
        <v>94630.739999999991</v>
      </c>
      <c r="D190" s="46" t="str">
        <f t="shared" si="10"/>
        <v>Mechanic Sales Tooling 201912</v>
      </c>
      <c r="E190" s="43" t="str">
        <f t="shared" si="11"/>
        <v>Mechanic Sales Tooling</v>
      </c>
      <c r="F190" s="47" t="str">
        <f t="shared" si="12"/>
        <v>12</v>
      </c>
      <c r="G190" s="47" t="str">
        <f t="shared" si="13"/>
        <v>2019</v>
      </c>
      <c r="H190" s="40">
        <f t="shared" si="14"/>
        <v>94630.739999999991</v>
      </c>
    </row>
    <row r="191" spans="2:8" x14ac:dyDescent="0.35">
      <c r="B191" s="31" t="s">
        <v>697</v>
      </c>
      <c r="C191" s="29">
        <v>0</v>
      </c>
      <c r="D191" s="46" t="str">
        <f t="shared" si="10"/>
        <v>Non Operating sales201912</v>
      </c>
      <c r="E191" s="43" t="str">
        <f t="shared" si="11"/>
        <v>Non Operating sale</v>
      </c>
      <c r="F191" s="47" t="str">
        <f t="shared" si="12"/>
        <v>12</v>
      </c>
      <c r="G191" s="47" t="str">
        <f t="shared" si="13"/>
        <v>2019</v>
      </c>
      <c r="H191" s="40">
        <f t="shared" si="14"/>
        <v>0</v>
      </c>
    </row>
    <row r="192" spans="2:8" x14ac:dyDescent="0.35">
      <c r="B192" s="31" t="s">
        <v>698</v>
      </c>
      <c r="C192" s="29">
        <v>321703.31400000001</v>
      </c>
      <c r="D192" s="46" t="str">
        <f t="shared" si="10"/>
        <v>Partner Sales 201912</v>
      </c>
      <c r="E192" s="43" t="str">
        <f t="shared" si="11"/>
        <v>Partner Sales</v>
      </c>
      <c r="F192" s="47" t="str">
        <f t="shared" si="12"/>
        <v>12</v>
      </c>
      <c r="G192" s="47" t="str">
        <f t="shared" si="13"/>
        <v>2019</v>
      </c>
      <c r="H192" s="40">
        <f t="shared" si="14"/>
        <v>321703.31400000001</v>
      </c>
    </row>
    <row r="193" spans="2:8" x14ac:dyDescent="0.35">
      <c r="B193" s="31" t="s">
        <v>699</v>
      </c>
      <c r="C193" s="29">
        <v>137593.5</v>
      </c>
      <c r="D193" s="46" t="str">
        <f t="shared" si="10"/>
        <v>Partner Sales Tooling 201912</v>
      </c>
      <c r="E193" s="43" t="str">
        <f t="shared" si="11"/>
        <v>Partner Sales Tooling</v>
      </c>
      <c r="F193" s="47" t="str">
        <f t="shared" si="12"/>
        <v>12</v>
      </c>
      <c r="G193" s="47" t="str">
        <f t="shared" si="13"/>
        <v>2019</v>
      </c>
      <c r="H193" s="40">
        <f t="shared" si="14"/>
        <v>137593.5</v>
      </c>
    </row>
    <row r="194" spans="2:8" x14ac:dyDescent="0.35">
      <c r="B194" s="31" t="s">
        <v>700</v>
      </c>
      <c r="C194" s="29">
        <v>-4759.482</v>
      </c>
      <c r="D194" s="46" t="str">
        <f t="shared" si="10"/>
        <v>Sales - Discounts 201912</v>
      </c>
      <c r="E194" s="43" t="str">
        <f t="shared" si="11"/>
        <v>Sales - Discounts</v>
      </c>
      <c r="F194" s="47" t="str">
        <f t="shared" si="12"/>
        <v>12</v>
      </c>
      <c r="G194" s="47" t="str">
        <f t="shared" si="13"/>
        <v>2019</v>
      </c>
      <c r="H194" s="40">
        <f t="shared" si="14"/>
        <v>-4759.482</v>
      </c>
    </row>
    <row r="195" spans="2:8" x14ac:dyDescent="0.35">
      <c r="B195" s="31" t="s">
        <v>701</v>
      </c>
      <c r="C195" s="29">
        <v>264.00270000000006</v>
      </c>
      <c r="D195" s="46" t="str">
        <f t="shared" si="10"/>
        <v>Sales - Freight Out 201912</v>
      </c>
      <c r="E195" s="43" t="str">
        <f t="shared" si="11"/>
        <v>Sales - Freight Out</v>
      </c>
      <c r="F195" s="47" t="str">
        <f t="shared" si="12"/>
        <v>12</v>
      </c>
      <c r="G195" s="47" t="str">
        <f t="shared" si="13"/>
        <v>2019</v>
      </c>
      <c r="H195" s="40">
        <f t="shared" si="14"/>
        <v>264.00270000000006</v>
      </c>
    </row>
    <row r="196" spans="2:8" x14ac:dyDescent="0.35">
      <c r="B196" s="31" t="s">
        <v>702</v>
      </c>
      <c r="C196" s="29">
        <v>-10527.449999999999</v>
      </c>
      <c r="D196" s="46" t="str">
        <f t="shared" si="10"/>
        <v>Sales - Returns 201912</v>
      </c>
      <c r="E196" s="43" t="str">
        <f t="shared" si="11"/>
        <v>Sales - Returns</v>
      </c>
      <c r="F196" s="47" t="str">
        <f t="shared" si="12"/>
        <v>12</v>
      </c>
      <c r="G196" s="47" t="str">
        <f t="shared" si="13"/>
        <v>2019</v>
      </c>
      <c r="H196" s="40">
        <f t="shared" si="14"/>
        <v>-10527.449999999999</v>
      </c>
    </row>
    <row r="197" spans="2:8" x14ac:dyDescent="0.35">
      <c r="B197" s="31" t="s">
        <v>703</v>
      </c>
      <c r="C197" s="29">
        <v>144562.93280000001</v>
      </c>
      <c r="D197" s="46" t="str">
        <f t="shared" si="10"/>
        <v>Automotive Sales 201801</v>
      </c>
      <c r="E197" s="43" t="str">
        <f t="shared" si="11"/>
        <v>Automotive Sales</v>
      </c>
      <c r="F197" s="47" t="str">
        <f t="shared" si="12"/>
        <v>01</v>
      </c>
      <c r="G197" s="47" t="str">
        <f t="shared" si="13"/>
        <v>2018</v>
      </c>
      <c r="H197" s="40">
        <f t="shared" si="14"/>
        <v>144562.93280000001</v>
      </c>
    </row>
    <row r="198" spans="2:8" x14ac:dyDescent="0.35">
      <c r="B198" s="31" t="s">
        <v>704</v>
      </c>
      <c r="C198" s="29">
        <v>0</v>
      </c>
      <c r="D198" s="46" t="str">
        <f t="shared" ref="D198:D261" si="15">TRIM(B198)</f>
        <v>Automotive Sales Tooling 201801</v>
      </c>
      <c r="E198" s="43" t="str">
        <f t="shared" ref="E198:E261" si="16">LEFT(D198,LEN(D198)-7)</f>
        <v>Automotive Sales Tooling</v>
      </c>
      <c r="F198" s="47" t="str">
        <f t="shared" ref="F198:F261" si="17">RIGHT(D198,2)</f>
        <v>01</v>
      </c>
      <c r="G198" s="47" t="str">
        <f t="shared" ref="G198:G261" si="18">RIGHT(LEFT(D198,LEN(D198)-2),4)</f>
        <v>2018</v>
      </c>
      <c r="H198" s="40">
        <f t="shared" ref="H198:H261" si="19">C198</f>
        <v>0</v>
      </c>
    </row>
    <row r="199" spans="2:8" x14ac:dyDescent="0.35">
      <c r="B199" s="31" t="s">
        <v>705</v>
      </c>
      <c r="C199" s="29">
        <v>972997.84550000005</v>
      </c>
      <c r="D199" s="46" t="str">
        <f t="shared" si="15"/>
        <v>Bulk Sales 201801</v>
      </c>
      <c r="E199" s="43" t="str">
        <f t="shared" si="16"/>
        <v>Bulk Sales</v>
      </c>
      <c r="F199" s="47" t="str">
        <f t="shared" si="17"/>
        <v>01</v>
      </c>
      <c r="G199" s="47" t="str">
        <f t="shared" si="18"/>
        <v>2018</v>
      </c>
      <c r="H199" s="40">
        <f t="shared" si="19"/>
        <v>972997.84550000005</v>
      </c>
    </row>
    <row r="200" spans="2:8" x14ac:dyDescent="0.35">
      <c r="B200" s="31" t="s">
        <v>706</v>
      </c>
      <c r="C200" s="29">
        <v>0</v>
      </c>
      <c r="D200" s="46" t="str">
        <f t="shared" si="15"/>
        <v>Bulk Sales Tooling 201801</v>
      </c>
      <c r="E200" s="43" t="str">
        <f t="shared" si="16"/>
        <v>Bulk Sales Tooling</v>
      </c>
      <c r="F200" s="47" t="str">
        <f t="shared" si="17"/>
        <v>01</v>
      </c>
      <c r="G200" s="47" t="str">
        <f t="shared" si="18"/>
        <v>2018</v>
      </c>
      <c r="H200" s="40">
        <f t="shared" si="19"/>
        <v>0</v>
      </c>
    </row>
    <row r="201" spans="2:8" x14ac:dyDescent="0.35">
      <c r="B201" s="31" t="s">
        <v>707</v>
      </c>
      <c r="C201" s="29">
        <v>351063.88559999998</v>
      </c>
      <c r="D201" s="46" t="str">
        <f t="shared" si="15"/>
        <v>Consumer Sales 201801</v>
      </c>
      <c r="E201" s="43" t="str">
        <f t="shared" si="16"/>
        <v>Consumer Sales</v>
      </c>
      <c r="F201" s="47" t="str">
        <f t="shared" si="17"/>
        <v>01</v>
      </c>
      <c r="G201" s="47" t="str">
        <f t="shared" si="18"/>
        <v>2018</v>
      </c>
      <c r="H201" s="40">
        <f t="shared" si="19"/>
        <v>351063.88559999998</v>
      </c>
    </row>
    <row r="202" spans="2:8" x14ac:dyDescent="0.35">
      <c r="B202" s="31" t="s">
        <v>708</v>
      </c>
      <c r="C202" s="29">
        <v>6120</v>
      </c>
      <c r="D202" s="46" t="str">
        <f t="shared" si="15"/>
        <v>Consumer Sales Tooling 201801</v>
      </c>
      <c r="E202" s="43" t="str">
        <f t="shared" si="16"/>
        <v>Consumer Sales Tooling</v>
      </c>
      <c r="F202" s="47" t="str">
        <f t="shared" si="17"/>
        <v>01</v>
      </c>
      <c r="G202" s="47" t="str">
        <f t="shared" si="18"/>
        <v>2018</v>
      </c>
      <c r="H202" s="40">
        <f t="shared" si="19"/>
        <v>6120</v>
      </c>
    </row>
    <row r="203" spans="2:8" x14ac:dyDescent="0.35">
      <c r="B203" s="31" t="s">
        <v>709</v>
      </c>
      <c r="C203" s="29">
        <v>20704.982399999997</v>
      </c>
      <c r="D203" s="46" t="str">
        <f t="shared" si="15"/>
        <v>Electronics Sales 201801</v>
      </c>
      <c r="E203" s="43" t="str">
        <f t="shared" si="16"/>
        <v>Electronics Sales</v>
      </c>
      <c r="F203" s="47" t="str">
        <f t="shared" si="17"/>
        <v>01</v>
      </c>
      <c r="G203" s="47" t="str">
        <f t="shared" si="18"/>
        <v>2018</v>
      </c>
      <c r="H203" s="40">
        <f t="shared" si="19"/>
        <v>20704.982399999997</v>
      </c>
    </row>
    <row r="204" spans="2:8" x14ac:dyDescent="0.35">
      <c r="B204" s="31" t="s">
        <v>710</v>
      </c>
      <c r="C204" s="29">
        <v>0</v>
      </c>
      <c r="D204" s="46" t="str">
        <f t="shared" si="15"/>
        <v>Electronics Sales Tooling 201801</v>
      </c>
      <c r="E204" s="43" t="str">
        <f t="shared" si="16"/>
        <v>Electronics Sales Tooling</v>
      </c>
      <c r="F204" s="47" t="str">
        <f t="shared" si="17"/>
        <v>01</v>
      </c>
      <c r="G204" s="47" t="str">
        <f t="shared" si="18"/>
        <v>2018</v>
      </c>
      <c r="H204" s="40">
        <f t="shared" si="19"/>
        <v>0</v>
      </c>
    </row>
    <row r="205" spans="2:8" x14ac:dyDescent="0.35">
      <c r="B205" s="31" t="s">
        <v>711</v>
      </c>
      <c r="C205" s="29">
        <v>0</v>
      </c>
      <c r="D205" s="46" t="str">
        <f t="shared" si="15"/>
        <v>Mechanic Sales 201801</v>
      </c>
      <c r="E205" s="43" t="str">
        <f t="shared" si="16"/>
        <v>Mechanic Sales</v>
      </c>
      <c r="F205" s="47" t="str">
        <f t="shared" si="17"/>
        <v>01</v>
      </c>
      <c r="G205" s="47" t="str">
        <f t="shared" si="18"/>
        <v>2018</v>
      </c>
      <c r="H205" s="40">
        <f t="shared" si="19"/>
        <v>0</v>
      </c>
    </row>
    <row r="206" spans="2:8" x14ac:dyDescent="0.35">
      <c r="B206" s="31" t="s">
        <v>712</v>
      </c>
      <c r="C206" s="29">
        <v>0</v>
      </c>
      <c r="D206" s="46" t="str">
        <f t="shared" si="15"/>
        <v>Mechanic Sales Tooling 201801</v>
      </c>
      <c r="E206" s="43" t="str">
        <f t="shared" si="16"/>
        <v>Mechanic Sales Tooling</v>
      </c>
      <c r="F206" s="47" t="str">
        <f t="shared" si="17"/>
        <v>01</v>
      </c>
      <c r="G206" s="47" t="str">
        <f t="shared" si="18"/>
        <v>2018</v>
      </c>
      <c r="H206" s="40">
        <f t="shared" si="19"/>
        <v>0</v>
      </c>
    </row>
    <row r="207" spans="2:8" x14ac:dyDescent="0.35">
      <c r="B207" s="31" t="s">
        <v>713</v>
      </c>
      <c r="C207" s="29">
        <v>0</v>
      </c>
      <c r="D207" s="46" t="str">
        <f t="shared" si="15"/>
        <v>Non Operating sales201801</v>
      </c>
      <c r="E207" s="43" t="str">
        <f t="shared" si="16"/>
        <v>Non Operating sale</v>
      </c>
      <c r="F207" s="47" t="str">
        <f t="shared" si="17"/>
        <v>01</v>
      </c>
      <c r="G207" s="47" t="str">
        <f t="shared" si="18"/>
        <v>2018</v>
      </c>
      <c r="H207" s="40">
        <f t="shared" si="19"/>
        <v>0</v>
      </c>
    </row>
    <row r="208" spans="2:8" x14ac:dyDescent="0.35">
      <c r="B208" s="31" t="s">
        <v>714</v>
      </c>
      <c r="C208" s="29">
        <v>148571.77640000003</v>
      </c>
      <c r="D208" s="46" t="str">
        <f t="shared" si="15"/>
        <v>Partner Sales 201801</v>
      </c>
      <c r="E208" s="43" t="str">
        <f t="shared" si="16"/>
        <v>Partner Sales</v>
      </c>
      <c r="F208" s="47" t="str">
        <f t="shared" si="17"/>
        <v>01</v>
      </c>
      <c r="G208" s="47" t="str">
        <f t="shared" si="18"/>
        <v>2018</v>
      </c>
      <c r="H208" s="40">
        <f t="shared" si="19"/>
        <v>148571.77640000003</v>
      </c>
    </row>
    <row r="209" spans="2:8" x14ac:dyDescent="0.35">
      <c r="B209" s="31" t="s">
        <v>715</v>
      </c>
      <c r="C209" s="29">
        <v>66629.849999999991</v>
      </c>
      <c r="D209" s="46" t="str">
        <f t="shared" si="15"/>
        <v>Partner Sales Tooling 201801</v>
      </c>
      <c r="E209" s="43" t="str">
        <f t="shared" si="16"/>
        <v>Partner Sales Tooling</v>
      </c>
      <c r="F209" s="47" t="str">
        <f t="shared" si="17"/>
        <v>01</v>
      </c>
      <c r="G209" s="47" t="str">
        <f t="shared" si="18"/>
        <v>2018</v>
      </c>
      <c r="H209" s="40">
        <f t="shared" si="19"/>
        <v>66629.849999999991</v>
      </c>
    </row>
    <row r="210" spans="2:8" x14ac:dyDescent="0.35">
      <c r="B210" s="31" t="s">
        <v>716</v>
      </c>
      <c r="C210" s="29">
        <v>-3504.116</v>
      </c>
      <c r="D210" s="46" t="str">
        <f t="shared" si="15"/>
        <v>Sales - Discounts 201801</v>
      </c>
      <c r="E210" s="43" t="str">
        <f t="shared" si="16"/>
        <v>Sales - Discounts</v>
      </c>
      <c r="F210" s="47" t="str">
        <f t="shared" si="17"/>
        <v>01</v>
      </c>
      <c r="G210" s="47" t="str">
        <f t="shared" si="18"/>
        <v>2018</v>
      </c>
      <c r="H210" s="40">
        <f t="shared" si="19"/>
        <v>-3504.116</v>
      </c>
    </row>
    <row r="211" spans="2:8" x14ac:dyDescent="0.35">
      <c r="B211" s="31" t="s">
        <v>717</v>
      </c>
      <c r="C211" s="29">
        <v>159.82220000000001</v>
      </c>
      <c r="D211" s="46" t="str">
        <f t="shared" si="15"/>
        <v>Sales - Freight Out 201801</v>
      </c>
      <c r="E211" s="43" t="str">
        <f t="shared" si="16"/>
        <v>Sales - Freight Out</v>
      </c>
      <c r="F211" s="47" t="str">
        <f t="shared" si="17"/>
        <v>01</v>
      </c>
      <c r="G211" s="47" t="str">
        <f t="shared" si="18"/>
        <v>2018</v>
      </c>
      <c r="H211" s="40">
        <f t="shared" si="19"/>
        <v>159.82220000000001</v>
      </c>
    </row>
    <row r="212" spans="2:8" x14ac:dyDescent="0.35">
      <c r="B212" s="31" t="s">
        <v>718</v>
      </c>
      <c r="C212" s="29">
        <v>-18208.349999999999</v>
      </c>
      <c r="D212" s="46" t="str">
        <f t="shared" si="15"/>
        <v>Sales - Returns 201801</v>
      </c>
      <c r="E212" s="43" t="str">
        <f t="shared" si="16"/>
        <v>Sales - Returns</v>
      </c>
      <c r="F212" s="47" t="str">
        <f t="shared" si="17"/>
        <v>01</v>
      </c>
      <c r="G212" s="47" t="str">
        <f t="shared" si="18"/>
        <v>2018</v>
      </c>
      <c r="H212" s="40">
        <f t="shared" si="19"/>
        <v>-18208.349999999999</v>
      </c>
    </row>
    <row r="213" spans="2:8" x14ac:dyDescent="0.35">
      <c r="B213" s="31" t="s">
        <v>719</v>
      </c>
      <c r="C213" s="29">
        <v>85186.987599999993</v>
      </c>
      <c r="D213" s="46" t="str">
        <f t="shared" si="15"/>
        <v>Automotive Sales 201802</v>
      </c>
      <c r="E213" s="43" t="str">
        <f t="shared" si="16"/>
        <v>Automotive Sales</v>
      </c>
      <c r="F213" s="47" t="str">
        <f t="shared" si="17"/>
        <v>02</v>
      </c>
      <c r="G213" s="47" t="str">
        <f t="shared" si="18"/>
        <v>2018</v>
      </c>
      <c r="H213" s="40">
        <f t="shared" si="19"/>
        <v>85186.987599999993</v>
      </c>
    </row>
    <row r="214" spans="2:8" x14ac:dyDescent="0.35">
      <c r="B214" s="31" t="s">
        <v>720</v>
      </c>
      <c r="C214" s="29">
        <v>0</v>
      </c>
      <c r="D214" s="46" t="str">
        <f t="shared" si="15"/>
        <v>Automotive Sales Tooling 201802</v>
      </c>
      <c r="E214" s="43" t="str">
        <f t="shared" si="16"/>
        <v>Automotive Sales Tooling</v>
      </c>
      <c r="F214" s="47" t="str">
        <f t="shared" si="17"/>
        <v>02</v>
      </c>
      <c r="G214" s="47" t="str">
        <f t="shared" si="18"/>
        <v>2018</v>
      </c>
      <c r="H214" s="40">
        <f t="shared" si="19"/>
        <v>0</v>
      </c>
    </row>
    <row r="215" spans="2:8" x14ac:dyDescent="0.35">
      <c r="B215" s="31" t="s">
        <v>721</v>
      </c>
      <c r="C215" s="29">
        <v>726308.80480000004</v>
      </c>
      <c r="D215" s="46" t="str">
        <f t="shared" si="15"/>
        <v>Bulk Sales 201802</v>
      </c>
      <c r="E215" s="43" t="str">
        <f t="shared" si="16"/>
        <v>Bulk Sales</v>
      </c>
      <c r="F215" s="47" t="str">
        <f t="shared" si="17"/>
        <v>02</v>
      </c>
      <c r="G215" s="47" t="str">
        <f t="shared" si="18"/>
        <v>2018</v>
      </c>
      <c r="H215" s="40">
        <f t="shared" si="19"/>
        <v>726308.80480000004</v>
      </c>
    </row>
    <row r="216" spans="2:8" x14ac:dyDescent="0.35">
      <c r="B216" s="31" t="s">
        <v>722</v>
      </c>
      <c r="C216" s="29">
        <v>50976</v>
      </c>
      <c r="D216" s="46" t="str">
        <f t="shared" si="15"/>
        <v>Bulk Sales Tooling 201802</v>
      </c>
      <c r="E216" s="43" t="str">
        <f t="shared" si="16"/>
        <v>Bulk Sales Tooling</v>
      </c>
      <c r="F216" s="47" t="str">
        <f t="shared" si="17"/>
        <v>02</v>
      </c>
      <c r="G216" s="47" t="str">
        <f t="shared" si="18"/>
        <v>2018</v>
      </c>
      <c r="H216" s="40">
        <f t="shared" si="19"/>
        <v>50976</v>
      </c>
    </row>
    <row r="217" spans="2:8" x14ac:dyDescent="0.35">
      <c r="B217" s="31" t="s">
        <v>723</v>
      </c>
      <c r="C217" s="29">
        <v>407551.09119999997</v>
      </c>
      <c r="D217" s="46" t="str">
        <f t="shared" si="15"/>
        <v>Consumer Sales 201802</v>
      </c>
      <c r="E217" s="43" t="str">
        <f t="shared" si="16"/>
        <v>Consumer Sales</v>
      </c>
      <c r="F217" s="47" t="str">
        <f t="shared" si="17"/>
        <v>02</v>
      </c>
      <c r="G217" s="47" t="str">
        <f t="shared" si="18"/>
        <v>2018</v>
      </c>
      <c r="H217" s="40">
        <f t="shared" si="19"/>
        <v>407551.09119999997</v>
      </c>
    </row>
    <row r="218" spans="2:8" x14ac:dyDescent="0.35">
      <c r="B218" s="31" t="s">
        <v>724</v>
      </c>
      <c r="C218" s="29">
        <v>69696</v>
      </c>
      <c r="D218" s="46" t="str">
        <f t="shared" si="15"/>
        <v>Consumer Sales Tooling 201802</v>
      </c>
      <c r="E218" s="43" t="str">
        <f t="shared" si="16"/>
        <v>Consumer Sales Tooling</v>
      </c>
      <c r="F218" s="47" t="str">
        <f t="shared" si="17"/>
        <v>02</v>
      </c>
      <c r="G218" s="47" t="str">
        <f t="shared" si="18"/>
        <v>2018</v>
      </c>
      <c r="H218" s="40">
        <f t="shared" si="19"/>
        <v>69696</v>
      </c>
    </row>
    <row r="219" spans="2:8" x14ac:dyDescent="0.35">
      <c r="B219" s="31" t="s">
        <v>725</v>
      </c>
      <c r="C219" s="29">
        <v>5994.9359999999997</v>
      </c>
      <c r="D219" s="46" t="str">
        <f t="shared" si="15"/>
        <v>Electronics Sales 201802</v>
      </c>
      <c r="E219" s="43" t="str">
        <f t="shared" si="16"/>
        <v>Electronics Sales</v>
      </c>
      <c r="F219" s="47" t="str">
        <f t="shared" si="17"/>
        <v>02</v>
      </c>
      <c r="G219" s="47" t="str">
        <f t="shared" si="18"/>
        <v>2018</v>
      </c>
      <c r="H219" s="40">
        <f t="shared" si="19"/>
        <v>5994.9359999999997</v>
      </c>
    </row>
    <row r="220" spans="2:8" x14ac:dyDescent="0.35">
      <c r="B220" s="31" t="s">
        <v>726</v>
      </c>
      <c r="C220" s="29">
        <v>0</v>
      </c>
      <c r="D220" s="46" t="str">
        <f t="shared" si="15"/>
        <v>Electronics Sales Tooling 201802</v>
      </c>
      <c r="E220" s="43" t="str">
        <f t="shared" si="16"/>
        <v>Electronics Sales Tooling</v>
      </c>
      <c r="F220" s="47" t="str">
        <f t="shared" si="17"/>
        <v>02</v>
      </c>
      <c r="G220" s="47" t="str">
        <f t="shared" si="18"/>
        <v>2018</v>
      </c>
      <c r="H220" s="40">
        <f t="shared" si="19"/>
        <v>0</v>
      </c>
    </row>
    <row r="221" spans="2:8" x14ac:dyDescent="0.35">
      <c r="B221" s="31" t="s">
        <v>727</v>
      </c>
      <c r="C221" s="29">
        <v>29565</v>
      </c>
      <c r="D221" s="46" t="str">
        <f t="shared" si="15"/>
        <v>Mechanic Sales 201802</v>
      </c>
      <c r="E221" s="43" t="str">
        <f t="shared" si="16"/>
        <v>Mechanic Sales</v>
      </c>
      <c r="F221" s="47" t="str">
        <f t="shared" si="17"/>
        <v>02</v>
      </c>
      <c r="G221" s="47" t="str">
        <f t="shared" si="18"/>
        <v>2018</v>
      </c>
      <c r="H221" s="40">
        <f t="shared" si="19"/>
        <v>29565</v>
      </c>
    </row>
    <row r="222" spans="2:8" x14ac:dyDescent="0.35">
      <c r="B222" s="31" t="s">
        <v>728</v>
      </c>
      <c r="C222" s="29">
        <v>10575</v>
      </c>
      <c r="D222" s="46" t="str">
        <f t="shared" si="15"/>
        <v>Mechanic Sales Tooling 201802</v>
      </c>
      <c r="E222" s="43" t="str">
        <f t="shared" si="16"/>
        <v>Mechanic Sales Tooling</v>
      </c>
      <c r="F222" s="47" t="str">
        <f t="shared" si="17"/>
        <v>02</v>
      </c>
      <c r="G222" s="47" t="str">
        <f t="shared" si="18"/>
        <v>2018</v>
      </c>
      <c r="H222" s="40">
        <f t="shared" si="19"/>
        <v>10575</v>
      </c>
    </row>
    <row r="223" spans="2:8" x14ac:dyDescent="0.35">
      <c r="B223" s="31" t="s">
        <v>729</v>
      </c>
      <c r="C223" s="29">
        <v>17200</v>
      </c>
      <c r="D223" s="46" t="str">
        <f t="shared" si="15"/>
        <v>Non Operating sales201802</v>
      </c>
      <c r="E223" s="43" t="str">
        <f t="shared" si="16"/>
        <v>Non Operating sale</v>
      </c>
      <c r="F223" s="47" t="str">
        <f t="shared" si="17"/>
        <v>02</v>
      </c>
      <c r="G223" s="47" t="str">
        <f t="shared" si="18"/>
        <v>2018</v>
      </c>
      <c r="H223" s="40">
        <f t="shared" si="19"/>
        <v>17200</v>
      </c>
    </row>
    <row r="224" spans="2:8" x14ac:dyDescent="0.35">
      <c r="B224" s="31" t="s">
        <v>730</v>
      </c>
      <c r="C224" s="29">
        <v>94850.318800000008</v>
      </c>
      <c r="D224" s="46" t="str">
        <f t="shared" si="15"/>
        <v>Partner Sales 201802</v>
      </c>
      <c r="E224" s="43" t="str">
        <f t="shared" si="16"/>
        <v>Partner Sales</v>
      </c>
      <c r="F224" s="47" t="str">
        <f t="shared" si="17"/>
        <v>02</v>
      </c>
      <c r="G224" s="47" t="str">
        <f t="shared" si="18"/>
        <v>2018</v>
      </c>
      <c r="H224" s="40">
        <f t="shared" si="19"/>
        <v>94850.318800000008</v>
      </c>
    </row>
    <row r="225" spans="2:8" x14ac:dyDescent="0.35">
      <c r="B225" s="31" t="s">
        <v>731</v>
      </c>
      <c r="C225" s="29">
        <v>0</v>
      </c>
      <c r="D225" s="46" t="str">
        <f t="shared" si="15"/>
        <v>Partner Sales Tooling 201802</v>
      </c>
      <c r="E225" s="43" t="str">
        <f t="shared" si="16"/>
        <v>Partner Sales Tooling</v>
      </c>
      <c r="F225" s="47" t="str">
        <f t="shared" si="17"/>
        <v>02</v>
      </c>
      <c r="G225" s="47" t="str">
        <f t="shared" si="18"/>
        <v>2018</v>
      </c>
      <c r="H225" s="40">
        <f t="shared" si="19"/>
        <v>0</v>
      </c>
    </row>
    <row r="226" spans="2:8" x14ac:dyDescent="0.35">
      <c r="B226" s="31" t="s">
        <v>732</v>
      </c>
      <c r="C226" s="29">
        <v>-2356.3399999999997</v>
      </c>
      <c r="D226" s="46" t="str">
        <f t="shared" si="15"/>
        <v>Sales - Discounts 201802</v>
      </c>
      <c r="E226" s="43" t="str">
        <f t="shared" si="16"/>
        <v>Sales - Discounts</v>
      </c>
      <c r="F226" s="47" t="str">
        <f t="shared" si="17"/>
        <v>02</v>
      </c>
      <c r="G226" s="47" t="str">
        <f t="shared" si="18"/>
        <v>2018</v>
      </c>
      <c r="H226" s="40">
        <f t="shared" si="19"/>
        <v>-2356.3399999999997</v>
      </c>
    </row>
    <row r="227" spans="2:8" x14ac:dyDescent="0.35">
      <c r="B227" s="31" t="s">
        <v>733</v>
      </c>
      <c r="C227" s="29">
        <v>91.781700000000015</v>
      </c>
      <c r="D227" s="46" t="str">
        <f t="shared" si="15"/>
        <v>Sales - Freight Out 201802</v>
      </c>
      <c r="E227" s="43" t="str">
        <f t="shared" si="16"/>
        <v>Sales - Freight Out</v>
      </c>
      <c r="F227" s="47" t="str">
        <f t="shared" si="17"/>
        <v>02</v>
      </c>
      <c r="G227" s="47" t="str">
        <f t="shared" si="18"/>
        <v>2018</v>
      </c>
      <c r="H227" s="40">
        <f t="shared" si="19"/>
        <v>91.781700000000015</v>
      </c>
    </row>
    <row r="228" spans="2:8" x14ac:dyDescent="0.35">
      <c r="B228" s="31" t="s">
        <v>734</v>
      </c>
      <c r="C228" s="29">
        <v>-133.87500000000728</v>
      </c>
      <c r="D228" s="46" t="str">
        <f t="shared" si="15"/>
        <v>Sales - Returns 201802</v>
      </c>
      <c r="E228" s="43" t="str">
        <f t="shared" si="16"/>
        <v>Sales - Returns</v>
      </c>
      <c r="F228" s="47" t="str">
        <f t="shared" si="17"/>
        <v>02</v>
      </c>
      <c r="G228" s="47" t="str">
        <f t="shared" si="18"/>
        <v>2018</v>
      </c>
      <c r="H228" s="40">
        <f t="shared" si="19"/>
        <v>-133.87500000000728</v>
      </c>
    </row>
    <row r="229" spans="2:8" x14ac:dyDescent="0.35">
      <c r="B229" s="31" t="s">
        <v>735</v>
      </c>
      <c r="C229" s="29">
        <v>93939.989000000001</v>
      </c>
      <c r="D229" s="46" t="str">
        <f t="shared" si="15"/>
        <v>Automotive Sales 201803</v>
      </c>
      <c r="E229" s="43" t="str">
        <f t="shared" si="16"/>
        <v>Automotive Sales</v>
      </c>
      <c r="F229" s="47" t="str">
        <f t="shared" si="17"/>
        <v>03</v>
      </c>
      <c r="G229" s="47" t="str">
        <f t="shared" si="18"/>
        <v>2018</v>
      </c>
      <c r="H229" s="40">
        <f t="shared" si="19"/>
        <v>93939.989000000001</v>
      </c>
    </row>
    <row r="230" spans="2:8" x14ac:dyDescent="0.35">
      <c r="B230" s="31" t="s">
        <v>736</v>
      </c>
      <c r="C230" s="29">
        <v>0</v>
      </c>
      <c r="D230" s="46" t="str">
        <f t="shared" si="15"/>
        <v>Automotive Sales Tooling 201803</v>
      </c>
      <c r="E230" s="43" t="str">
        <f t="shared" si="16"/>
        <v>Automotive Sales Tooling</v>
      </c>
      <c r="F230" s="47" t="str">
        <f t="shared" si="17"/>
        <v>03</v>
      </c>
      <c r="G230" s="47" t="str">
        <f t="shared" si="18"/>
        <v>2018</v>
      </c>
      <c r="H230" s="40">
        <f t="shared" si="19"/>
        <v>0</v>
      </c>
    </row>
    <row r="231" spans="2:8" x14ac:dyDescent="0.35">
      <c r="B231" s="31" t="s">
        <v>737</v>
      </c>
      <c r="C231" s="29">
        <v>945930.47280000011</v>
      </c>
      <c r="D231" s="46" t="str">
        <f t="shared" si="15"/>
        <v>Bulk Sales 201803</v>
      </c>
      <c r="E231" s="43" t="str">
        <f t="shared" si="16"/>
        <v>Bulk Sales</v>
      </c>
      <c r="F231" s="47" t="str">
        <f t="shared" si="17"/>
        <v>03</v>
      </c>
      <c r="G231" s="47" t="str">
        <f t="shared" si="18"/>
        <v>2018</v>
      </c>
      <c r="H231" s="40">
        <f t="shared" si="19"/>
        <v>945930.47280000011</v>
      </c>
    </row>
    <row r="232" spans="2:8" x14ac:dyDescent="0.35">
      <c r="B232" s="31" t="s">
        <v>738</v>
      </c>
      <c r="C232" s="29">
        <v>76099.679999999993</v>
      </c>
      <c r="D232" s="46" t="str">
        <f t="shared" si="15"/>
        <v>Bulk Sales Tooling 201803</v>
      </c>
      <c r="E232" s="43" t="str">
        <f t="shared" si="16"/>
        <v>Bulk Sales Tooling</v>
      </c>
      <c r="F232" s="47" t="str">
        <f t="shared" si="17"/>
        <v>03</v>
      </c>
      <c r="G232" s="47" t="str">
        <f t="shared" si="18"/>
        <v>2018</v>
      </c>
      <c r="H232" s="40">
        <f t="shared" si="19"/>
        <v>76099.679999999993</v>
      </c>
    </row>
    <row r="233" spans="2:8" x14ac:dyDescent="0.35">
      <c r="B233" s="31" t="s">
        <v>739</v>
      </c>
      <c r="C233" s="29">
        <v>429041.48479999998</v>
      </c>
      <c r="D233" s="46" t="str">
        <f t="shared" si="15"/>
        <v>Consumer Sales 201803</v>
      </c>
      <c r="E233" s="43" t="str">
        <f t="shared" si="16"/>
        <v>Consumer Sales</v>
      </c>
      <c r="F233" s="47" t="str">
        <f t="shared" si="17"/>
        <v>03</v>
      </c>
      <c r="G233" s="47" t="str">
        <f t="shared" si="18"/>
        <v>2018</v>
      </c>
      <c r="H233" s="40">
        <f t="shared" si="19"/>
        <v>429041.48479999998</v>
      </c>
    </row>
    <row r="234" spans="2:8" x14ac:dyDescent="0.35">
      <c r="B234" s="31" t="s">
        <v>740</v>
      </c>
      <c r="C234" s="29">
        <v>38304</v>
      </c>
      <c r="D234" s="46" t="str">
        <f t="shared" si="15"/>
        <v>Consumer Sales Tooling 201803</v>
      </c>
      <c r="E234" s="43" t="str">
        <f t="shared" si="16"/>
        <v>Consumer Sales Tooling</v>
      </c>
      <c r="F234" s="47" t="str">
        <f t="shared" si="17"/>
        <v>03</v>
      </c>
      <c r="G234" s="47" t="str">
        <f t="shared" si="18"/>
        <v>2018</v>
      </c>
      <c r="H234" s="40">
        <f t="shared" si="19"/>
        <v>38304</v>
      </c>
    </row>
    <row r="235" spans="2:8" x14ac:dyDescent="0.35">
      <c r="B235" s="31" t="s">
        <v>741</v>
      </c>
      <c r="C235" s="29">
        <v>5919.2064</v>
      </c>
      <c r="D235" s="46" t="str">
        <f t="shared" si="15"/>
        <v>Electronics Sales 201803</v>
      </c>
      <c r="E235" s="43" t="str">
        <f t="shared" si="16"/>
        <v>Electronics Sales</v>
      </c>
      <c r="F235" s="47" t="str">
        <f t="shared" si="17"/>
        <v>03</v>
      </c>
      <c r="G235" s="47" t="str">
        <f t="shared" si="18"/>
        <v>2018</v>
      </c>
      <c r="H235" s="40">
        <f t="shared" si="19"/>
        <v>5919.2064</v>
      </c>
    </row>
    <row r="236" spans="2:8" x14ac:dyDescent="0.35">
      <c r="B236" s="31" t="s">
        <v>742</v>
      </c>
      <c r="C236" s="29">
        <v>0</v>
      </c>
      <c r="D236" s="46" t="str">
        <f t="shared" si="15"/>
        <v>Electronics Sales Tooling 201803</v>
      </c>
      <c r="E236" s="43" t="str">
        <f t="shared" si="16"/>
        <v>Electronics Sales Tooling</v>
      </c>
      <c r="F236" s="47" t="str">
        <f t="shared" si="17"/>
        <v>03</v>
      </c>
      <c r="G236" s="47" t="str">
        <f t="shared" si="18"/>
        <v>2018</v>
      </c>
      <c r="H236" s="40">
        <f t="shared" si="19"/>
        <v>0</v>
      </c>
    </row>
    <row r="237" spans="2:8" x14ac:dyDescent="0.35">
      <c r="B237" s="31" t="s">
        <v>743</v>
      </c>
      <c r="C237" s="29">
        <v>72207.584999999992</v>
      </c>
      <c r="D237" s="46" t="str">
        <f t="shared" si="15"/>
        <v>Mechanic Sales 201803</v>
      </c>
      <c r="E237" s="43" t="str">
        <f t="shared" si="16"/>
        <v>Mechanic Sales</v>
      </c>
      <c r="F237" s="47" t="str">
        <f t="shared" si="17"/>
        <v>03</v>
      </c>
      <c r="G237" s="47" t="str">
        <f t="shared" si="18"/>
        <v>2018</v>
      </c>
      <c r="H237" s="40">
        <f t="shared" si="19"/>
        <v>72207.584999999992</v>
      </c>
    </row>
    <row r="238" spans="2:8" x14ac:dyDescent="0.35">
      <c r="B238" s="31" t="s">
        <v>744</v>
      </c>
      <c r="C238" s="29">
        <v>27266.579999999998</v>
      </c>
      <c r="D238" s="46" t="str">
        <f t="shared" si="15"/>
        <v>Mechanic Sales Tooling 201803</v>
      </c>
      <c r="E238" s="43" t="str">
        <f t="shared" si="16"/>
        <v>Mechanic Sales Tooling</v>
      </c>
      <c r="F238" s="47" t="str">
        <f t="shared" si="17"/>
        <v>03</v>
      </c>
      <c r="G238" s="47" t="str">
        <f t="shared" si="18"/>
        <v>2018</v>
      </c>
      <c r="H238" s="40">
        <f t="shared" si="19"/>
        <v>27266.579999999998</v>
      </c>
    </row>
    <row r="239" spans="2:8" x14ac:dyDescent="0.35">
      <c r="B239" s="31" t="s">
        <v>745</v>
      </c>
      <c r="C239" s="29">
        <v>6519.66</v>
      </c>
      <c r="D239" s="46" t="str">
        <f t="shared" si="15"/>
        <v>Non Operating sales201803</v>
      </c>
      <c r="E239" s="43" t="str">
        <f t="shared" si="16"/>
        <v>Non Operating sale</v>
      </c>
      <c r="F239" s="47" t="str">
        <f t="shared" si="17"/>
        <v>03</v>
      </c>
      <c r="G239" s="47" t="str">
        <f t="shared" si="18"/>
        <v>2018</v>
      </c>
      <c r="H239" s="40">
        <f t="shared" si="19"/>
        <v>6519.66</v>
      </c>
    </row>
    <row r="240" spans="2:8" x14ac:dyDescent="0.35">
      <c r="B240" s="31" t="s">
        <v>746</v>
      </c>
      <c r="C240" s="29">
        <v>326575.60760000005</v>
      </c>
      <c r="D240" s="46" t="str">
        <f t="shared" si="15"/>
        <v>Partner Sales 201803</v>
      </c>
      <c r="E240" s="43" t="str">
        <f t="shared" si="16"/>
        <v>Partner Sales</v>
      </c>
      <c r="F240" s="47" t="str">
        <f t="shared" si="17"/>
        <v>03</v>
      </c>
      <c r="G240" s="47" t="str">
        <f t="shared" si="18"/>
        <v>2018</v>
      </c>
      <c r="H240" s="40">
        <f t="shared" si="19"/>
        <v>326575.60760000005</v>
      </c>
    </row>
    <row r="241" spans="2:8" x14ac:dyDescent="0.35">
      <c r="B241" s="31" t="s">
        <v>747</v>
      </c>
      <c r="C241" s="29">
        <v>3617.7</v>
      </c>
      <c r="D241" s="46" t="str">
        <f t="shared" si="15"/>
        <v>Partner Sales Tooling 201803</v>
      </c>
      <c r="E241" s="43" t="str">
        <f t="shared" si="16"/>
        <v>Partner Sales Tooling</v>
      </c>
      <c r="F241" s="47" t="str">
        <f t="shared" si="17"/>
        <v>03</v>
      </c>
      <c r="G241" s="47" t="str">
        <f t="shared" si="18"/>
        <v>2018</v>
      </c>
      <c r="H241" s="40">
        <f t="shared" si="19"/>
        <v>3617.7</v>
      </c>
    </row>
    <row r="242" spans="2:8" x14ac:dyDescent="0.35">
      <c r="B242" s="31" t="s">
        <v>748</v>
      </c>
      <c r="C242" s="29">
        <v>-1746.164</v>
      </c>
      <c r="D242" s="46" t="str">
        <f t="shared" si="15"/>
        <v>Sales - Discounts 201803</v>
      </c>
      <c r="E242" s="43" t="str">
        <f t="shared" si="16"/>
        <v>Sales - Discounts</v>
      </c>
      <c r="F242" s="47" t="str">
        <f t="shared" si="17"/>
        <v>03</v>
      </c>
      <c r="G242" s="47" t="str">
        <f t="shared" si="18"/>
        <v>2018</v>
      </c>
      <c r="H242" s="40">
        <f t="shared" si="19"/>
        <v>-1746.164</v>
      </c>
    </row>
    <row r="243" spans="2:8" x14ac:dyDescent="0.35">
      <c r="B243" s="31" t="s">
        <v>749</v>
      </c>
      <c r="C243" s="29">
        <v>244.62610000000004</v>
      </c>
      <c r="D243" s="46" t="str">
        <f t="shared" si="15"/>
        <v>Sales - Freight Out 201803</v>
      </c>
      <c r="E243" s="43" t="str">
        <f t="shared" si="16"/>
        <v>Sales - Freight Out</v>
      </c>
      <c r="F243" s="47" t="str">
        <f t="shared" si="17"/>
        <v>03</v>
      </c>
      <c r="G243" s="47" t="str">
        <f t="shared" si="18"/>
        <v>2018</v>
      </c>
      <c r="H243" s="40">
        <f t="shared" si="19"/>
        <v>244.62610000000004</v>
      </c>
    </row>
    <row r="244" spans="2:8" x14ac:dyDescent="0.35">
      <c r="B244" s="31" t="s">
        <v>750</v>
      </c>
      <c r="C244" s="29">
        <v>-44440.574999999997</v>
      </c>
      <c r="D244" s="46" t="str">
        <f t="shared" si="15"/>
        <v>Sales - Returns 201803</v>
      </c>
      <c r="E244" s="43" t="str">
        <f t="shared" si="16"/>
        <v>Sales - Returns</v>
      </c>
      <c r="F244" s="47" t="str">
        <f t="shared" si="17"/>
        <v>03</v>
      </c>
      <c r="G244" s="47" t="str">
        <f t="shared" si="18"/>
        <v>2018</v>
      </c>
      <c r="H244" s="40">
        <f t="shared" si="19"/>
        <v>-44440.574999999997</v>
      </c>
    </row>
    <row r="245" spans="2:8" x14ac:dyDescent="0.35">
      <c r="B245" s="31" t="s">
        <v>751</v>
      </c>
      <c r="C245" s="29">
        <v>145968.89449999999</v>
      </c>
      <c r="D245" s="46" t="str">
        <f t="shared" si="15"/>
        <v>Automotive Sales 201804</v>
      </c>
      <c r="E245" s="43" t="str">
        <f t="shared" si="16"/>
        <v>Automotive Sales</v>
      </c>
      <c r="F245" s="47" t="str">
        <f t="shared" si="17"/>
        <v>04</v>
      </c>
      <c r="G245" s="47" t="str">
        <f t="shared" si="18"/>
        <v>2018</v>
      </c>
      <c r="H245" s="40">
        <f t="shared" si="19"/>
        <v>145968.89449999999</v>
      </c>
    </row>
    <row r="246" spans="2:8" x14ac:dyDescent="0.35">
      <c r="B246" s="31" t="s">
        <v>752</v>
      </c>
      <c r="C246" s="29">
        <v>27560</v>
      </c>
      <c r="D246" s="46" t="str">
        <f t="shared" si="15"/>
        <v>Automotive Sales Tooling 201804</v>
      </c>
      <c r="E246" s="43" t="str">
        <f t="shared" si="16"/>
        <v>Automotive Sales Tooling</v>
      </c>
      <c r="F246" s="47" t="str">
        <f t="shared" si="17"/>
        <v>04</v>
      </c>
      <c r="G246" s="47" t="str">
        <f t="shared" si="18"/>
        <v>2018</v>
      </c>
      <c r="H246" s="40">
        <f t="shared" si="19"/>
        <v>27560</v>
      </c>
    </row>
    <row r="247" spans="2:8" x14ac:dyDescent="0.35">
      <c r="B247" s="31" t="s">
        <v>753</v>
      </c>
      <c r="C247" s="29">
        <v>679604.15150000004</v>
      </c>
      <c r="D247" s="46" t="str">
        <f t="shared" si="15"/>
        <v>Bulk Sales 201804</v>
      </c>
      <c r="E247" s="43" t="str">
        <f t="shared" si="16"/>
        <v>Bulk Sales</v>
      </c>
      <c r="F247" s="47" t="str">
        <f t="shared" si="17"/>
        <v>04</v>
      </c>
      <c r="G247" s="47" t="str">
        <f t="shared" si="18"/>
        <v>2018</v>
      </c>
      <c r="H247" s="40">
        <f t="shared" si="19"/>
        <v>679604.15150000004</v>
      </c>
    </row>
    <row r="248" spans="2:8" x14ac:dyDescent="0.35">
      <c r="B248" s="31" t="s">
        <v>754</v>
      </c>
      <c r="C248" s="29">
        <v>0</v>
      </c>
      <c r="D248" s="46" t="str">
        <f t="shared" si="15"/>
        <v>Bulk Sales Tooling 201804</v>
      </c>
      <c r="E248" s="43" t="str">
        <f t="shared" si="16"/>
        <v>Bulk Sales Tooling</v>
      </c>
      <c r="F248" s="47" t="str">
        <f t="shared" si="17"/>
        <v>04</v>
      </c>
      <c r="G248" s="47" t="str">
        <f t="shared" si="18"/>
        <v>2018</v>
      </c>
      <c r="H248" s="40">
        <f t="shared" si="19"/>
        <v>0</v>
      </c>
    </row>
    <row r="249" spans="2:8" x14ac:dyDescent="0.35">
      <c r="B249" s="31" t="s">
        <v>755</v>
      </c>
      <c r="C249" s="29">
        <v>549424.68639999989</v>
      </c>
      <c r="D249" s="46" t="str">
        <f t="shared" si="15"/>
        <v>Consumer Sales 201804</v>
      </c>
      <c r="E249" s="43" t="str">
        <f t="shared" si="16"/>
        <v>Consumer Sales</v>
      </c>
      <c r="F249" s="47" t="str">
        <f t="shared" si="17"/>
        <v>04</v>
      </c>
      <c r="G249" s="47" t="str">
        <f t="shared" si="18"/>
        <v>2018</v>
      </c>
      <c r="H249" s="40">
        <f t="shared" si="19"/>
        <v>549424.68639999989</v>
      </c>
    </row>
    <row r="250" spans="2:8" x14ac:dyDescent="0.35">
      <c r="B250" s="31" t="s">
        <v>756</v>
      </c>
      <c r="C250" s="29">
        <v>11448</v>
      </c>
      <c r="D250" s="46" t="str">
        <f t="shared" si="15"/>
        <v>Consumer Sales Tooling 201804</v>
      </c>
      <c r="E250" s="43" t="str">
        <f t="shared" si="16"/>
        <v>Consumer Sales Tooling</v>
      </c>
      <c r="F250" s="47" t="str">
        <f t="shared" si="17"/>
        <v>04</v>
      </c>
      <c r="G250" s="47" t="str">
        <f t="shared" si="18"/>
        <v>2018</v>
      </c>
      <c r="H250" s="40">
        <f t="shared" si="19"/>
        <v>11448</v>
      </c>
    </row>
    <row r="251" spans="2:8" x14ac:dyDescent="0.35">
      <c r="B251" s="31" t="s">
        <v>757</v>
      </c>
      <c r="C251" s="29">
        <v>0</v>
      </c>
      <c r="D251" s="46" t="str">
        <f t="shared" si="15"/>
        <v>Electronics Sales 201804</v>
      </c>
      <c r="E251" s="43" t="str">
        <f t="shared" si="16"/>
        <v>Electronics Sales</v>
      </c>
      <c r="F251" s="47" t="str">
        <f t="shared" si="17"/>
        <v>04</v>
      </c>
      <c r="G251" s="47" t="str">
        <f t="shared" si="18"/>
        <v>2018</v>
      </c>
      <c r="H251" s="40">
        <f t="shared" si="19"/>
        <v>0</v>
      </c>
    </row>
    <row r="252" spans="2:8" x14ac:dyDescent="0.35">
      <c r="B252" s="31" t="s">
        <v>758</v>
      </c>
      <c r="C252" s="29">
        <v>0</v>
      </c>
      <c r="D252" s="46" t="str">
        <f t="shared" si="15"/>
        <v>Electronics Sales Tooling 201804</v>
      </c>
      <c r="E252" s="43" t="str">
        <f t="shared" si="16"/>
        <v>Electronics Sales Tooling</v>
      </c>
      <c r="F252" s="47" t="str">
        <f t="shared" si="17"/>
        <v>04</v>
      </c>
      <c r="G252" s="47" t="str">
        <f t="shared" si="18"/>
        <v>2018</v>
      </c>
      <c r="H252" s="40">
        <f t="shared" si="19"/>
        <v>0</v>
      </c>
    </row>
    <row r="253" spans="2:8" x14ac:dyDescent="0.35">
      <c r="B253" s="31" t="s">
        <v>759</v>
      </c>
      <c r="C253" s="29">
        <v>41824.620000000003</v>
      </c>
      <c r="D253" s="46" t="str">
        <f t="shared" si="15"/>
        <v>Mechanic Sales 201804</v>
      </c>
      <c r="E253" s="43" t="str">
        <f t="shared" si="16"/>
        <v>Mechanic Sales</v>
      </c>
      <c r="F253" s="47" t="str">
        <f t="shared" si="17"/>
        <v>04</v>
      </c>
      <c r="G253" s="47" t="str">
        <f t="shared" si="18"/>
        <v>2018</v>
      </c>
      <c r="H253" s="40">
        <f t="shared" si="19"/>
        <v>41824.620000000003</v>
      </c>
    </row>
    <row r="254" spans="2:8" x14ac:dyDescent="0.35">
      <c r="B254" s="31" t="s">
        <v>760</v>
      </c>
      <c r="C254" s="29">
        <v>0</v>
      </c>
      <c r="D254" s="46" t="str">
        <f t="shared" si="15"/>
        <v>Mechanic Sales Tooling 201804</v>
      </c>
      <c r="E254" s="43" t="str">
        <f t="shared" si="16"/>
        <v>Mechanic Sales Tooling</v>
      </c>
      <c r="F254" s="47" t="str">
        <f t="shared" si="17"/>
        <v>04</v>
      </c>
      <c r="G254" s="47" t="str">
        <f t="shared" si="18"/>
        <v>2018</v>
      </c>
      <c r="H254" s="40">
        <f t="shared" si="19"/>
        <v>0</v>
      </c>
    </row>
    <row r="255" spans="2:8" x14ac:dyDescent="0.35">
      <c r="B255" s="31" t="s">
        <v>761</v>
      </c>
      <c r="C255" s="29">
        <v>0</v>
      </c>
      <c r="D255" s="46" t="str">
        <f t="shared" si="15"/>
        <v>Non Operating sales201804</v>
      </c>
      <c r="E255" s="43" t="str">
        <f t="shared" si="16"/>
        <v>Non Operating sale</v>
      </c>
      <c r="F255" s="47" t="str">
        <f t="shared" si="17"/>
        <v>04</v>
      </c>
      <c r="G255" s="47" t="str">
        <f t="shared" si="18"/>
        <v>2018</v>
      </c>
      <c r="H255" s="40">
        <f t="shared" si="19"/>
        <v>0</v>
      </c>
    </row>
    <row r="256" spans="2:8" x14ac:dyDescent="0.35">
      <c r="B256" s="31" t="s">
        <v>762</v>
      </c>
      <c r="C256" s="29">
        <v>246918.6912</v>
      </c>
      <c r="D256" s="46" t="str">
        <f t="shared" si="15"/>
        <v>Partner Sales 201804</v>
      </c>
      <c r="E256" s="43" t="str">
        <f t="shared" si="16"/>
        <v>Partner Sales</v>
      </c>
      <c r="F256" s="47" t="str">
        <f t="shared" si="17"/>
        <v>04</v>
      </c>
      <c r="G256" s="47" t="str">
        <f t="shared" si="18"/>
        <v>2018</v>
      </c>
      <c r="H256" s="40">
        <f t="shared" si="19"/>
        <v>246918.6912</v>
      </c>
    </row>
    <row r="257" spans="2:8" x14ac:dyDescent="0.35">
      <c r="B257" s="31" t="s">
        <v>763</v>
      </c>
      <c r="C257" s="29">
        <v>0</v>
      </c>
      <c r="D257" s="46" t="str">
        <f t="shared" si="15"/>
        <v>Partner Sales Tooling 201804</v>
      </c>
      <c r="E257" s="43" t="str">
        <f t="shared" si="16"/>
        <v>Partner Sales Tooling</v>
      </c>
      <c r="F257" s="47" t="str">
        <f t="shared" si="17"/>
        <v>04</v>
      </c>
      <c r="G257" s="47" t="str">
        <f t="shared" si="18"/>
        <v>2018</v>
      </c>
      <c r="H257" s="40">
        <f t="shared" si="19"/>
        <v>0</v>
      </c>
    </row>
    <row r="258" spans="2:8" x14ac:dyDescent="0.35">
      <c r="B258" s="31" t="s">
        <v>764</v>
      </c>
      <c r="C258" s="29">
        <v>-3668.6019999999994</v>
      </c>
      <c r="D258" s="46" t="str">
        <f t="shared" si="15"/>
        <v>Sales - Discounts 201804</v>
      </c>
      <c r="E258" s="43" t="str">
        <f t="shared" si="16"/>
        <v>Sales - Discounts</v>
      </c>
      <c r="F258" s="47" t="str">
        <f t="shared" si="17"/>
        <v>04</v>
      </c>
      <c r="G258" s="47" t="str">
        <f t="shared" si="18"/>
        <v>2018</v>
      </c>
      <c r="H258" s="40">
        <f t="shared" si="19"/>
        <v>-3668.6019999999994</v>
      </c>
    </row>
    <row r="259" spans="2:8" x14ac:dyDescent="0.35">
      <c r="B259" s="31" t="s">
        <v>765</v>
      </c>
      <c r="C259" s="29">
        <v>79.299500000000009</v>
      </c>
      <c r="D259" s="46" t="str">
        <f t="shared" si="15"/>
        <v>Sales - Freight Out 201804</v>
      </c>
      <c r="E259" s="43" t="str">
        <f t="shared" si="16"/>
        <v>Sales - Freight Out</v>
      </c>
      <c r="F259" s="47" t="str">
        <f t="shared" si="17"/>
        <v>04</v>
      </c>
      <c r="G259" s="47" t="str">
        <f t="shared" si="18"/>
        <v>2018</v>
      </c>
      <c r="H259" s="40">
        <f t="shared" si="19"/>
        <v>79.299500000000009</v>
      </c>
    </row>
    <row r="260" spans="2:8" x14ac:dyDescent="0.35">
      <c r="B260" s="31" t="s">
        <v>766</v>
      </c>
      <c r="C260" s="29">
        <v>-32168.25</v>
      </c>
      <c r="D260" s="46" t="str">
        <f t="shared" si="15"/>
        <v>Sales - Returns 201804</v>
      </c>
      <c r="E260" s="43" t="str">
        <f t="shared" si="16"/>
        <v>Sales - Returns</v>
      </c>
      <c r="F260" s="47" t="str">
        <f t="shared" si="17"/>
        <v>04</v>
      </c>
      <c r="G260" s="47" t="str">
        <f t="shared" si="18"/>
        <v>2018</v>
      </c>
      <c r="H260" s="40">
        <f t="shared" si="19"/>
        <v>-32168.25</v>
      </c>
    </row>
    <row r="261" spans="2:8" x14ac:dyDescent="0.35">
      <c r="B261" s="31" t="s">
        <v>767</v>
      </c>
      <c r="C261" s="29">
        <v>280861.08049999998</v>
      </c>
      <c r="D261" s="46" t="str">
        <f t="shared" si="15"/>
        <v>Automotive Sales 201805</v>
      </c>
      <c r="E261" s="43" t="str">
        <f t="shared" si="16"/>
        <v>Automotive Sales</v>
      </c>
      <c r="F261" s="47" t="str">
        <f t="shared" si="17"/>
        <v>05</v>
      </c>
      <c r="G261" s="47" t="str">
        <f t="shared" si="18"/>
        <v>2018</v>
      </c>
      <c r="H261" s="40">
        <f t="shared" si="19"/>
        <v>280861.08049999998</v>
      </c>
    </row>
    <row r="262" spans="2:8" x14ac:dyDescent="0.35">
      <c r="B262" s="31" t="s">
        <v>768</v>
      </c>
      <c r="C262" s="29">
        <v>26320.542000000001</v>
      </c>
      <c r="D262" s="46" t="str">
        <f t="shared" ref="D262:D325" si="20">TRIM(B262)</f>
        <v>Automotive Sales Tooling 201805</v>
      </c>
      <c r="E262" s="43" t="str">
        <f t="shared" ref="E262:E325" si="21">LEFT(D262,LEN(D262)-7)</f>
        <v>Automotive Sales Tooling</v>
      </c>
      <c r="F262" s="47" t="str">
        <f t="shared" ref="F262:F325" si="22">RIGHT(D262,2)</f>
        <v>05</v>
      </c>
      <c r="G262" s="47" t="str">
        <f t="shared" ref="G262:G325" si="23">RIGHT(LEFT(D262,LEN(D262)-2),4)</f>
        <v>2018</v>
      </c>
      <c r="H262" s="40">
        <f t="shared" ref="H262:H325" si="24">C262</f>
        <v>26320.542000000001</v>
      </c>
    </row>
    <row r="263" spans="2:8" x14ac:dyDescent="0.35">
      <c r="B263" s="31" t="s">
        <v>769</v>
      </c>
      <c r="C263" s="29">
        <v>694552.68410000007</v>
      </c>
      <c r="D263" s="46" t="str">
        <f t="shared" si="20"/>
        <v>Bulk Sales 201805</v>
      </c>
      <c r="E263" s="43" t="str">
        <f t="shared" si="21"/>
        <v>Bulk Sales</v>
      </c>
      <c r="F263" s="47" t="str">
        <f t="shared" si="22"/>
        <v>05</v>
      </c>
      <c r="G263" s="47" t="str">
        <f t="shared" si="23"/>
        <v>2018</v>
      </c>
      <c r="H263" s="40">
        <f t="shared" si="24"/>
        <v>694552.68410000007</v>
      </c>
    </row>
    <row r="264" spans="2:8" x14ac:dyDescent="0.35">
      <c r="B264" s="31" t="s">
        <v>770</v>
      </c>
      <c r="C264" s="29">
        <v>0</v>
      </c>
      <c r="D264" s="46" t="str">
        <f t="shared" si="20"/>
        <v>Bulk Sales Tooling 201805</v>
      </c>
      <c r="E264" s="43" t="str">
        <f t="shared" si="21"/>
        <v>Bulk Sales Tooling</v>
      </c>
      <c r="F264" s="47" t="str">
        <f t="shared" si="22"/>
        <v>05</v>
      </c>
      <c r="G264" s="47" t="str">
        <f t="shared" si="23"/>
        <v>2018</v>
      </c>
      <c r="H264" s="40">
        <f t="shared" si="24"/>
        <v>0</v>
      </c>
    </row>
    <row r="265" spans="2:8" x14ac:dyDescent="0.35">
      <c r="B265" s="31" t="s">
        <v>771</v>
      </c>
      <c r="C265" s="29">
        <v>528938.58479999995</v>
      </c>
      <c r="D265" s="46" t="str">
        <f t="shared" si="20"/>
        <v>Consumer Sales 201805</v>
      </c>
      <c r="E265" s="43" t="str">
        <f t="shared" si="21"/>
        <v>Consumer Sales</v>
      </c>
      <c r="F265" s="47" t="str">
        <f t="shared" si="22"/>
        <v>05</v>
      </c>
      <c r="G265" s="47" t="str">
        <f t="shared" si="23"/>
        <v>2018</v>
      </c>
      <c r="H265" s="40">
        <f t="shared" si="24"/>
        <v>528938.58479999995</v>
      </c>
    </row>
    <row r="266" spans="2:8" x14ac:dyDescent="0.35">
      <c r="B266" s="31" t="s">
        <v>772</v>
      </c>
      <c r="C266" s="29">
        <v>16531.2</v>
      </c>
      <c r="D266" s="46" t="str">
        <f t="shared" si="20"/>
        <v>Consumer Sales Tooling 201805</v>
      </c>
      <c r="E266" s="43" t="str">
        <f t="shared" si="21"/>
        <v>Consumer Sales Tooling</v>
      </c>
      <c r="F266" s="47" t="str">
        <f t="shared" si="22"/>
        <v>05</v>
      </c>
      <c r="G266" s="47" t="str">
        <f t="shared" si="23"/>
        <v>2018</v>
      </c>
      <c r="H266" s="40">
        <f t="shared" si="24"/>
        <v>16531.2</v>
      </c>
    </row>
    <row r="267" spans="2:8" x14ac:dyDescent="0.35">
      <c r="B267" s="31" t="s">
        <v>773</v>
      </c>
      <c r="C267" s="29">
        <v>3830.3999999999996</v>
      </c>
      <c r="D267" s="46" t="str">
        <f t="shared" si="20"/>
        <v>Electronics Sales 201805</v>
      </c>
      <c r="E267" s="43" t="str">
        <f t="shared" si="21"/>
        <v>Electronics Sales</v>
      </c>
      <c r="F267" s="47" t="str">
        <f t="shared" si="22"/>
        <v>05</v>
      </c>
      <c r="G267" s="47" t="str">
        <f t="shared" si="23"/>
        <v>2018</v>
      </c>
      <c r="H267" s="40">
        <f t="shared" si="24"/>
        <v>3830.3999999999996</v>
      </c>
    </row>
    <row r="268" spans="2:8" x14ac:dyDescent="0.35">
      <c r="B268" s="31" t="s">
        <v>774</v>
      </c>
      <c r="C268" s="29">
        <v>0</v>
      </c>
      <c r="D268" s="46" t="str">
        <f t="shared" si="20"/>
        <v>Electronics Sales Tooling 201805</v>
      </c>
      <c r="E268" s="43" t="str">
        <f t="shared" si="21"/>
        <v>Electronics Sales Tooling</v>
      </c>
      <c r="F268" s="47" t="str">
        <f t="shared" si="22"/>
        <v>05</v>
      </c>
      <c r="G268" s="47" t="str">
        <f t="shared" si="23"/>
        <v>2018</v>
      </c>
      <c r="H268" s="40">
        <f t="shared" si="24"/>
        <v>0</v>
      </c>
    </row>
    <row r="269" spans="2:8" x14ac:dyDescent="0.35">
      <c r="B269" s="31" t="s">
        <v>775</v>
      </c>
      <c r="C269" s="29">
        <v>71507.88</v>
      </c>
      <c r="D269" s="46" t="str">
        <f t="shared" si="20"/>
        <v>Mechanic Sales 201805</v>
      </c>
      <c r="E269" s="43" t="str">
        <f t="shared" si="21"/>
        <v>Mechanic Sales</v>
      </c>
      <c r="F269" s="47" t="str">
        <f t="shared" si="22"/>
        <v>05</v>
      </c>
      <c r="G269" s="47" t="str">
        <f t="shared" si="23"/>
        <v>2018</v>
      </c>
      <c r="H269" s="40">
        <f t="shared" si="24"/>
        <v>71507.88</v>
      </c>
    </row>
    <row r="270" spans="2:8" x14ac:dyDescent="0.35">
      <c r="B270" s="31" t="s">
        <v>776</v>
      </c>
      <c r="C270" s="29">
        <v>5992.5</v>
      </c>
      <c r="D270" s="46" t="str">
        <f t="shared" si="20"/>
        <v>Mechanic Sales Tooling 201805</v>
      </c>
      <c r="E270" s="43" t="str">
        <f t="shared" si="21"/>
        <v>Mechanic Sales Tooling</v>
      </c>
      <c r="F270" s="47" t="str">
        <f t="shared" si="22"/>
        <v>05</v>
      </c>
      <c r="G270" s="47" t="str">
        <f t="shared" si="23"/>
        <v>2018</v>
      </c>
      <c r="H270" s="40">
        <f t="shared" si="24"/>
        <v>5992.5</v>
      </c>
    </row>
    <row r="271" spans="2:8" x14ac:dyDescent="0.35">
      <c r="B271" s="31" t="s">
        <v>777</v>
      </c>
      <c r="C271" s="29">
        <v>0</v>
      </c>
      <c r="D271" s="46" t="str">
        <f t="shared" si="20"/>
        <v>Non Operating sales201805</v>
      </c>
      <c r="E271" s="43" t="str">
        <f t="shared" si="21"/>
        <v>Non Operating sale</v>
      </c>
      <c r="F271" s="47" t="str">
        <f t="shared" si="22"/>
        <v>05</v>
      </c>
      <c r="G271" s="47" t="str">
        <f t="shared" si="23"/>
        <v>2018</v>
      </c>
      <c r="H271" s="40">
        <f t="shared" si="24"/>
        <v>0</v>
      </c>
    </row>
    <row r="272" spans="2:8" x14ac:dyDescent="0.35">
      <c r="B272" s="31" t="s">
        <v>778</v>
      </c>
      <c r="C272" s="29">
        <v>174288.89560000002</v>
      </c>
      <c r="D272" s="46" t="str">
        <f t="shared" si="20"/>
        <v>Partner Sales 201805</v>
      </c>
      <c r="E272" s="43" t="str">
        <f t="shared" si="21"/>
        <v>Partner Sales</v>
      </c>
      <c r="F272" s="47" t="str">
        <f t="shared" si="22"/>
        <v>05</v>
      </c>
      <c r="G272" s="47" t="str">
        <f t="shared" si="23"/>
        <v>2018</v>
      </c>
      <c r="H272" s="40">
        <f t="shared" si="24"/>
        <v>174288.89560000002</v>
      </c>
    </row>
    <row r="273" spans="2:8" x14ac:dyDescent="0.35">
      <c r="B273" s="31" t="s">
        <v>779</v>
      </c>
      <c r="C273" s="29">
        <v>59147.999999999993</v>
      </c>
      <c r="D273" s="46" t="str">
        <f t="shared" si="20"/>
        <v>Partner Sales Tooling 201805</v>
      </c>
      <c r="E273" s="43" t="str">
        <f t="shared" si="21"/>
        <v>Partner Sales Tooling</v>
      </c>
      <c r="F273" s="47" t="str">
        <f t="shared" si="22"/>
        <v>05</v>
      </c>
      <c r="G273" s="47" t="str">
        <f t="shared" si="23"/>
        <v>2018</v>
      </c>
      <c r="H273" s="40">
        <f t="shared" si="24"/>
        <v>59147.999999999993</v>
      </c>
    </row>
    <row r="274" spans="2:8" x14ac:dyDescent="0.35">
      <c r="B274" s="31" t="s">
        <v>780</v>
      </c>
      <c r="C274" s="29">
        <v>-4232.76</v>
      </c>
      <c r="D274" s="46" t="str">
        <f t="shared" si="20"/>
        <v>Sales - Discounts 201805</v>
      </c>
      <c r="E274" s="43" t="str">
        <f t="shared" si="21"/>
        <v>Sales - Discounts</v>
      </c>
      <c r="F274" s="47" t="str">
        <f t="shared" si="22"/>
        <v>05</v>
      </c>
      <c r="G274" s="47" t="str">
        <f t="shared" si="23"/>
        <v>2018</v>
      </c>
      <c r="H274" s="40">
        <f t="shared" si="24"/>
        <v>-4232.76</v>
      </c>
    </row>
    <row r="275" spans="2:8" x14ac:dyDescent="0.35">
      <c r="B275" s="31" t="s">
        <v>781</v>
      </c>
      <c r="C275" s="29">
        <v>55.071800000000003</v>
      </c>
      <c r="D275" s="46" t="str">
        <f t="shared" si="20"/>
        <v>Sales - Freight Out 201805</v>
      </c>
      <c r="E275" s="43" t="str">
        <f t="shared" si="21"/>
        <v>Sales - Freight Out</v>
      </c>
      <c r="F275" s="47" t="str">
        <f t="shared" si="22"/>
        <v>05</v>
      </c>
      <c r="G275" s="47" t="str">
        <f t="shared" si="23"/>
        <v>2018</v>
      </c>
      <c r="H275" s="40">
        <f t="shared" si="24"/>
        <v>55.071800000000003</v>
      </c>
    </row>
    <row r="276" spans="2:8" x14ac:dyDescent="0.35">
      <c r="B276" s="31" t="s">
        <v>782</v>
      </c>
      <c r="C276" s="29">
        <v>-11537.487499999999</v>
      </c>
      <c r="D276" s="46" t="str">
        <f t="shared" si="20"/>
        <v>Sales - Returns 201805</v>
      </c>
      <c r="E276" s="43" t="str">
        <f t="shared" si="21"/>
        <v>Sales - Returns</v>
      </c>
      <c r="F276" s="47" t="str">
        <f t="shared" si="22"/>
        <v>05</v>
      </c>
      <c r="G276" s="47" t="str">
        <f t="shared" si="23"/>
        <v>2018</v>
      </c>
      <c r="H276" s="40">
        <f t="shared" si="24"/>
        <v>-11537.487499999999</v>
      </c>
    </row>
    <row r="277" spans="2:8" x14ac:dyDescent="0.35">
      <c r="B277" s="31" t="s">
        <v>783</v>
      </c>
      <c r="C277" s="29">
        <v>417863.7034</v>
      </c>
      <c r="D277" s="46" t="str">
        <f t="shared" si="20"/>
        <v>Automotive Sales 201806</v>
      </c>
      <c r="E277" s="43" t="str">
        <f t="shared" si="21"/>
        <v>Automotive Sales</v>
      </c>
      <c r="F277" s="47" t="str">
        <f t="shared" si="22"/>
        <v>06</v>
      </c>
      <c r="G277" s="47" t="str">
        <f t="shared" si="23"/>
        <v>2018</v>
      </c>
      <c r="H277" s="40">
        <f t="shared" si="24"/>
        <v>417863.7034</v>
      </c>
    </row>
    <row r="278" spans="2:8" x14ac:dyDescent="0.35">
      <c r="B278" s="31" t="s">
        <v>784</v>
      </c>
      <c r="C278" s="29">
        <v>0</v>
      </c>
      <c r="D278" s="46" t="str">
        <f t="shared" si="20"/>
        <v>Automotive Sales Tooling 201806</v>
      </c>
      <c r="E278" s="43" t="str">
        <f t="shared" si="21"/>
        <v>Automotive Sales Tooling</v>
      </c>
      <c r="F278" s="47" t="str">
        <f t="shared" si="22"/>
        <v>06</v>
      </c>
      <c r="G278" s="47" t="str">
        <f t="shared" si="23"/>
        <v>2018</v>
      </c>
      <c r="H278" s="40">
        <f t="shared" si="24"/>
        <v>0</v>
      </c>
    </row>
    <row r="279" spans="2:8" x14ac:dyDescent="0.35">
      <c r="B279" s="31" t="s">
        <v>785</v>
      </c>
      <c r="C279" s="29">
        <v>839695.91420000012</v>
      </c>
      <c r="D279" s="46" t="str">
        <f t="shared" si="20"/>
        <v>Bulk Sales 201806</v>
      </c>
      <c r="E279" s="43" t="str">
        <f t="shared" si="21"/>
        <v>Bulk Sales</v>
      </c>
      <c r="F279" s="47" t="str">
        <f t="shared" si="22"/>
        <v>06</v>
      </c>
      <c r="G279" s="47" t="str">
        <f t="shared" si="23"/>
        <v>2018</v>
      </c>
      <c r="H279" s="40">
        <f t="shared" si="24"/>
        <v>839695.91420000012</v>
      </c>
    </row>
    <row r="280" spans="2:8" x14ac:dyDescent="0.35">
      <c r="B280" s="31" t="s">
        <v>786</v>
      </c>
      <c r="C280" s="29">
        <v>158155.77599999998</v>
      </c>
      <c r="D280" s="46" t="str">
        <f t="shared" si="20"/>
        <v>Bulk Sales Tooling 201806</v>
      </c>
      <c r="E280" s="43" t="str">
        <f t="shared" si="21"/>
        <v>Bulk Sales Tooling</v>
      </c>
      <c r="F280" s="47" t="str">
        <f t="shared" si="22"/>
        <v>06</v>
      </c>
      <c r="G280" s="47" t="str">
        <f t="shared" si="23"/>
        <v>2018</v>
      </c>
      <c r="H280" s="40">
        <f t="shared" si="24"/>
        <v>158155.77599999998</v>
      </c>
    </row>
    <row r="281" spans="2:8" x14ac:dyDescent="0.35">
      <c r="B281" s="31" t="s">
        <v>787</v>
      </c>
      <c r="C281" s="29">
        <v>707599.97599999991</v>
      </c>
      <c r="D281" s="46" t="str">
        <f t="shared" si="20"/>
        <v>Consumer Sales 201806</v>
      </c>
      <c r="E281" s="43" t="str">
        <f t="shared" si="21"/>
        <v>Consumer Sales</v>
      </c>
      <c r="F281" s="47" t="str">
        <f t="shared" si="22"/>
        <v>06</v>
      </c>
      <c r="G281" s="47" t="str">
        <f t="shared" si="23"/>
        <v>2018</v>
      </c>
      <c r="H281" s="40">
        <f t="shared" si="24"/>
        <v>707599.97599999991</v>
      </c>
    </row>
    <row r="282" spans="2:8" x14ac:dyDescent="0.35">
      <c r="B282" s="31" t="s">
        <v>788</v>
      </c>
      <c r="C282" s="29">
        <v>7416</v>
      </c>
      <c r="D282" s="46" t="str">
        <f t="shared" si="20"/>
        <v>Consumer Sales Tooling 201806</v>
      </c>
      <c r="E282" s="43" t="str">
        <f t="shared" si="21"/>
        <v>Consumer Sales Tooling</v>
      </c>
      <c r="F282" s="47" t="str">
        <f t="shared" si="22"/>
        <v>06</v>
      </c>
      <c r="G282" s="47" t="str">
        <f t="shared" si="23"/>
        <v>2018</v>
      </c>
      <c r="H282" s="40">
        <f t="shared" si="24"/>
        <v>7416</v>
      </c>
    </row>
    <row r="283" spans="2:8" x14ac:dyDescent="0.35">
      <c r="B283" s="31" t="s">
        <v>789</v>
      </c>
      <c r="C283" s="29">
        <v>16323.7248</v>
      </c>
      <c r="D283" s="46" t="str">
        <f t="shared" si="20"/>
        <v>Electronics Sales 201806</v>
      </c>
      <c r="E283" s="43" t="str">
        <f t="shared" si="21"/>
        <v>Electronics Sales</v>
      </c>
      <c r="F283" s="47" t="str">
        <f t="shared" si="22"/>
        <v>06</v>
      </c>
      <c r="G283" s="47" t="str">
        <f t="shared" si="23"/>
        <v>2018</v>
      </c>
      <c r="H283" s="40">
        <f t="shared" si="24"/>
        <v>16323.7248</v>
      </c>
    </row>
    <row r="284" spans="2:8" x14ac:dyDescent="0.35">
      <c r="B284" s="31" t="s">
        <v>790</v>
      </c>
      <c r="C284" s="29">
        <v>0</v>
      </c>
      <c r="D284" s="46" t="str">
        <f t="shared" si="20"/>
        <v>Electronics Sales Tooling 201806</v>
      </c>
      <c r="E284" s="43" t="str">
        <f t="shared" si="21"/>
        <v>Electronics Sales Tooling</v>
      </c>
      <c r="F284" s="47" t="str">
        <f t="shared" si="22"/>
        <v>06</v>
      </c>
      <c r="G284" s="47" t="str">
        <f t="shared" si="23"/>
        <v>2018</v>
      </c>
      <c r="H284" s="40">
        <f t="shared" si="24"/>
        <v>0</v>
      </c>
    </row>
    <row r="285" spans="2:8" x14ac:dyDescent="0.35">
      <c r="B285" s="31" t="s">
        <v>791</v>
      </c>
      <c r="C285" s="29">
        <v>134254.66500000001</v>
      </c>
      <c r="D285" s="46" t="str">
        <f t="shared" si="20"/>
        <v>Mechanic Sales 201806</v>
      </c>
      <c r="E285" s="43" t="str">
        <f t="shared" si="21"/>
        <v>Mechanic Sales</v>
      </c>
      <c r="F285" s="47" t="str">
        <f t="shared" si="22"/>
        <v>06</v>
      </c>
      <c r="G285" s="47" t="str">
        <f t="shared" si="23"/>
        <v>2018</v>
      </c>
      <c r="H285" s="40">
        <f t="shared" si="24"/>
        <v>134254.66500000001</v>
      </c>
    </row>
    <row r="286" spans="2:8" x14ac:dyDescent="0.35">
      <c r="B286" s="31" t="s">
        <v>792</v>
      </c>
      <c r="C286" s="29">
        <v>60644.1</v>
      </c>
      <c r="D286" s="46" t="str">
        <f t="shared" si="20"/>
        <v>Mechanic Sales Tooling 201806</v>
      </c>
      <c r="E286" s="43" t="str">
        <f t="shared" si="21"/>
        <v>Mechanic Sales Tooling</v>
      </c>
      <c r="F286" s="47" t="str">
        <f t="shared" si="22"/>
        <v>06</v>
      </c>
      <c r="G286" s="47" t="str">
        <f t="shared" si="23"/>
        <v>2018</v>
      </c>
      <c r="H286" s="40">
        <f t="shared" si="24"/>
        <v>60644.1</v>
      </c>
    </row>
    <row r="287" spans="2:8" x14ac:dyDescent="0.35">
      <c r="B287" s="31" t="s">
        <v>793</v>
      </c>
      <c r="C287" s="29">
        <v>452.36</v>
      </c>
      <c r="D287" s="46" t="str">
        <f t="shared" si="20"/>
        <v>Non Operating sales201806</v>
      </c>
      <c r="E287" s="43" t="str">
        <f t="shared" si="21"/>
        <v>Non Operating sale</v>
      </c>
      <c r="F287" s="47" t="str">
        <f t="shared" si="22"/>
        <v>06</v>
      </c>
      <c r="G287" s="47" t="str">
        <f t="shared" si="23"/>
        <v>2018</v>
      </c>
      <c r="H287" s="40">
        <f t="shared" si="24"/>
        <v>452.36</v>
      </c>
    </row>
    <row r="288" spans="2:8" x14ac:dyDescent="0.35">
      <c r="B288" s="31" t="s">
        <v>794</v>
      </c>
      <c r="C288" s="29">
        <v>350252.89840000001</v>
      </c>
      <c r="D288" s="46" t="str">
        <f t="shared" si="20"/>
        <v>Partner Sales 201806</v>
      </c>
      <c r="E288" s="43" t="str">
        <f t="shared" si="21"/>
        <v>Partner Sales</v>
      </c>
      <c r="F288" s="47" t="str">
        <f t="shared" si="22"/>
        <v>06</v>
      </c>
      <c r="G288" s="47" t="str">
        <f t="shared" si="23"/>
        <v>2018</v>
      </c>
      <c r="H288" s="40">
        <f t="shared" si="24"/>
        <v>350252.89840000001</v>
      </c>
    </row>
    <row r="289" spans="2:8" x14ac:dyDescent="0.35">
      <c r="B289" s="31" t="s">
        <v>795</v>
      </c>
      <c r="C289" s="29">
        <v>7811.9999999999991</v>
      </c>
      <c r="D289" s="46" t="str">
        <f t="shared" si="20"/>
        <v>Partner Sales Tooling 201806</v>
      </c>
      <c r="E289" s="43" t="str">
        <f t="shared" si="21"/>
        <v>Partner Sales Tooling</v>
      </c>
      <c r="F289" s="47" t="str">
        <f t="shared" si="22"/>
        <v>06</v>
      </c>
      <c r="G289" s="47" t="str">
        <f t="shared" si="23"/>
        <v>2018</v>
      </c>
      <c r="H289" s="40">
        <f t="shared" si="24"/>
        <v>7811.9999999999991</v>
      </c>
    </row>
    <row r="290" spans="2:8" x14ac:dyDescent="0.35">
      <c r="B290" s="31" t="s">
        <v>796</v>
      </c>
      <c r="C290" s="29">
        <v>-3817.7439999999997</v>
      </c>
      <c r="D290" s="46" t="str">
        <f t="shared" si="20"/>
        <v>Sales - Discounts 201806</v>
      </c>
      <c r="E290" s="43" t="str">
        <f t="shared" si="21"/>
        <v>Sales - Discounts</v>
      </c>
      <c r="F290" s="47" t="str">
        <f t="shared" si="22"/>
        <v>06</v>
      </c>
      <c r="G290" s="47" t="str">
        <f t="shared" si="23"/>
        <v>2018</v>
      </c>
      <c r="H290" s="40">
        <f t="shared" si="24"/>
        <v>-3817.7439999999997</v>
      </c>
    </row>
    <row r="291" spans="2:8" x14ac:dyDescent="0.35">
      <c r="B291" s="31" t="s">
        <v>797</v>
      </c>
      <c r="C291" s="29">
        <v>108.2115</v>
      </c>
      <c r="D291" s="46" t="str">
        <f t="shared" si="20"/>
        <v>Sales - Freight Out 201806</v>
      </c>
      <c r="E291" s="43" t="str">
        <f t="shared" si="21"/>
        <v>Sales - Freight Out</v>
      </c>
      <c r="F291" s="47" t="str">
        <f t="shared" si="22"/>
        <v>06</v>
      </c>
      <c r="G291" s="47" t="str">
        <f t="shared" si="23"/>
        <v>2018</v>
      </c>
      <c r="H291" s="40">
        <f t="shared" si="24"/>
        <v>108.2115</v>
      </c>
    </row>
    <row r="292" spans="2:8" x14ac:dyDescent="0.35">
      <c r="B292" s="31" t="s">
        <v>798</v>
      </c>
      <c r="C292" s="29">
        <v>-10270.6625</v>
      </c>
      <c r="D292" s="46" t="str">
        <f t="shared" si="20"/>
        <v>Sales - Returns 201806</v>
      </c>
      <c r="E292" s="43" t="str">
        <f t="shared" si="21"/>
        <v>Sales - Returns</v>
      </c>
      <c r="F292" s="47" t="str">
        <f t="shared" si="22"/>
        <v>06</v>
      </c>
      <c r="G292" s="47" t="str">
        <f t="shared" si="23"/>
        <v>2018</v>
      </c>
      <c r="H292" s="40">
        <f t="shared" si="24"/>
        <v>-10270.6625</v>
      </c>
    </row>
    <row r="293" spans="2:8" x14ac:dyDescent="0.35">
      <c r="B293" s="31" t="s">
        <v>799</v>
      </c>
      <c r="C293" s="29">
        <v>-334801.22389999998</v>
      </c>
      <c r="D293" s="46" t="str">
        <f t="shared" si="20"/>
        <v>Automotive Sales 201807</v>
      </c>
      <c r="E293" s="43" t="str">
        <f t="shared" si="21"/>
        <v>Automotive Sales</v>
      </c>
      <c r="F293" s="47" t="str">
        <f t="shared" si="22"/>
        <v>07</v>
      </c>
      <c r="G293" s="47" t="str">
        <f t="shared" si="23"/>
        <v>2018</v>
      </c>
      <c r="H293" s="40">
        <f t="shared" si="24"/>
        <v>-334801.22389999998</v>
      </c>
    </row>
    <row r="294" spans="2:8" x14ac:dyDescent="0.35">
      <c r="B294" s="31" t="s">
        <v>800</v>
      </c>
      <c r="C294" s="29">
        <v>0</v>
      </c>
      <c r="D294" s="46" t="str">
        <f t="shared" si="20"/>
        <v>Automotive Sales Tooling 201807</v>
      </c>
      <c r="E294" s="43" t="str">
        <f t="shared" si="21"/>
        <v>Automotive Sales Tooling</v>
      </c>
      <c r="F294" s="47" t="str">
        <f t="shared" si="22"/>
        <v>07</v>
      </c>
      <c r="G294" s="47" t="str">
        <f t="shared" si="23"/>
        <v>2018</v>
      </c>
      <c r="H294" s="40">
        <f t="shared" si="24"/>
        <v>0</v>
      </c>
    </row>
    <row r="295" spans="2:8" x14ac:dyDescent="0.35">
      <c r="B295" s="31" t="s">
        <v>801</v>
      </c>
      <c r="C295" s="29">
        <v>-1026272.4867000001</v>
      </c>
      <c r="D295" s="46" t="str">
        <f t="shared" si="20"/>
        <v>Bulk Sales 201807</v>
      </c>
      <c r="E295" s="43" t="str">
        <f t="shared" si="21"/>
        <v>Bulk Sales</v>
      </c>
      <c r="F295" s="47" t="str">
        <f t="shared" si="22"/>
        <v>07</v>
      </c>
      <c r="G295" s="47" t="str">
        <f t="shared" si="23"/>
        <v>2018</v>
      </c>
      <c r="H295" s="40">
        <f t="shared" si="24"/>
        <v>-1026272.4867000001</v>
      </c>
    </row>
    <row r="296" spans="2:8" x14ac:dyDescent="0.35">
      <c r="B296" s="31" t="s">
        <v>802</v>
      </c>
      <c r="C296" s="29">
        <v>-182275.19999999998</v>
      </c>
      <c r="D296" s="46" t="str">
        <f t="shared" si="20"/>
        <v>Bulk Sales Tooling 201807</v>
      </c>
      <c r="E296" s="43" t="str">
        <f t="shared" si="21"/>
        <v>Bulk Sales Tooling</v>
      </c>
      <c r="F296" s="47" t="str">
        <f t="shared" si="22"/>
        <v>07</v>
      </c>
      <c r="G296" s="47" t="str">
        <f t="shared" si="23"/>
        <v>2018</v>
      </c>
      <c r="H296" s="40">
        <f t="shared" si="24"/>
        <v>-182275.19999999998</v>
      </c>
    </row>
    <row r="297" spans="2:8" x14ac:dyDescent="0.35">
      <c r="B297" s="31" t="s">
        <v>803</v>
      </c>
      <c r="C297" s="29">
        <v>-542890.75679999997</v>
      </c>
      <c r="D297" s="46" t="str">
        <f t="shared" si="20"/>
        <v>Consumer Sales 201807</v>
      </c>
      <c r="E297" s="43" t="str">
        <f t="shared" si="21"/>
        <v>Consumer Sales</v>
      </c>
      <c r="F297" s="47" t="str">
        <f t="shared" si="22"/>
        <v>07</v>
      </c>
      <c r="G297" s="47" t="str">
        <f t="shared" si="23"/>
        <v>2018</v>
      </c>
      <c r="H297" s="40">
        <f t="shared" si="24"/>
        <v>-542890.75679999997</v>
      </c>
    </row>
    <row r="298" spans="2:8" x14ac:dyDescent="0.35">
      <c r="B298" s="31" t="s">
        <v>804</v>
      </c>
      <c r="C298" s="29">
        <v>-59400</v>
      </c>
      <c r="D298" s="46" t="str">
        <f t="shared" si="20"/>
        <v>Consumer Sales Tooling 201807</v>
      </c>
      <c r="E298" s="43" t="str">
        <f t="shared" si="21"/>
        <v>Consumer Sales Tooling</v>
      </c>
      <c r="F298" s="47" t="str">
        <f t="shared" si="22"/>
        <v>07</v>
      </c>
      <c r="G298" s="47" t="str">
        <f t="shared" si="23"/>
        <v>2018</v>
      </c>
      <c r="H298" s="40">
        <f t="shared" si="24"/>
        <v>-59400</v>
      </c>
    </row>
    <row r="299" spans="2:8" x14ac:dyDescent="0.35">
      <c r="B299" s="31" t="s">
        <v>805</v>
      </c>
      <c r="C299" s="29">
        <v>0</v>
      </c>
      <c r="D299" s="46" t="str">
        <f t="shared" si="20"/>
        <v>Electronics Sales 201807</v>
      </c>
      <c r="E299" s="43" t="str">
        <f t="shared" si="21"/>
        <v>Electronics Sales</v>
      </c>
      <c r="F299" s="47" t="str">
        <f t="shared" si="22"/>
        <v>07</v>
      </c>
      <c r="G299" s="47" t="str">
        <f t="shared" si="23"/>
        <v>2018</v>
      </c>
      <c r="H299" s="40">
        <f t="shared" si="24"/>
        <v>0</v>
      </c>
    </row>
    <row r="300" spans="2:8" x14ac:dyDescent="0.35">
      <c r="B300" s="31" t="s">
        <v>806</v>
      </c>
      <c r="C300" s="29">
        <v>0</v>
      </c>
      <c r="D300" s="46" t="str">
        <f t="shared" si="20"/>
        <v>Electronics Sales Tooling 201807</v>
      </c>
      <c r="E300" s="43" t="str">
        <f t="shared" si="21"/>
        <v>Electronics Sales Tooling</v>
      </c>
      <c r="F300" s="47" t="str">
        <f t="shared" si="22"/>
        <v>07</v>
      </c>
      <c r="G300" s="47" t="str">
        <f t="shared" si="23"/>
        <v>2018</v>
      </c>
      <c r="H300" s="40">
        <f t="shared" si="24"/>
        <v>0</v>
      </c>
    </row>
    <row r="301" spans="2:8" x14ac:dyDescent="0.35">
      <c r="B301" s="31" t="s">
        <v>807</v>
      </c>
      <c r="C301" s="29">
        <v>0</v>
      </c>
      <c r="D301" s="46" t="str">
        <f t="shared" si="20"/>
        <v>Mechanic Sales 201807</v>
      </c>
      <c r="E301" s="43" t="str">
        <f t="shared" si="21"/>
        <v>Mechanic Sales</v>
      </c>
      <c r="F301" s="47" t="str">
        <f t="shared" si="22"/>
        <v>07</v>
      </c>
      <c r="G301" s="47" t="str">
        <f t="shared" si="23"/>
        <v>2018</v>
      </c>
      <c r="H301" s="40">
        <f t="shared" si="24"/>
        <v>0</v>
      </c>
    </row>
    <row r="302" spans="2:8" x14ac:dyDescent="0.35">
      <c r="B302" s="31" t="s">
        <v>808</v>
      </c>
      <c r="C302" s="29">
        <v>0</v>
      </c>
      <c r="D302" s="46" t="str">
        <f t="shared" si="20"/>
        <v>Mechanic Sales Tooling 201807</v>
      </c>
      <c r="E302" s="43" t="str">
        <f t="shared" si="21"/>
        <v>Mechanic Sales Tooling</v>
      </c>
      <c r="F302" s="47" t="str">
        <f t="shared" si="22"/>
        <v>07</v>
      </c>
      <c r="G302" s="47" t="str">
        <f t="shared" si="23"/>
        <v>2018</v>
      </c>
      <c r="H302" s="40">
        <f t="shared" si="24"/>
        <v>0</v>
      </c>
    </row>
    <row r="303" spans="2:8" x14ac:dyDescent="0.35">
      <c r="B303" s="31" t="s">
        <v>809</v>
      </c>
      <c r="C303" s="29">
        <v>0</v>
      </c>
      <c r="D303" s="46" t="str">
        <f t="shared" si="20"/>
        <v>Non Operating sales201807</v>
      </c>
      <c r="E303" s="43" t="str">
        <f t="shared" si="21"/>
        <v>Non Operating sale</v>
      </c>
      <c r="F303" s="47" t="str">
        <f t="shared" si="22"/>
        <v>07</v>
      </c>
      <c r="G303" s="47" t="str">
        <f t="shared" si="23"/>
        <v>2018</v>
      </c>
      <c r="H303" s="40">
        <f t="shared" si="24"/>
        <v>0</v>
      </c>
    </row>
    <row r="304" spans="2:8" x14ac:dyDescent="0.35">
      <c r="B304" s="31" t="s">
        <v>810</v>
      </c>
      <c r="C304" s="29">
        <v>-177675.96000000002</v>
      </c>
      <c r="D304" s="46" t="str">
        <f t="shared" si="20"/>
        <v>Partner Sales 201807</v>
      </c>
      <c r="E304" s="43" t="str">
        <f t="shared" si="21"/>
        <v>Partner Sales</v>
      </c>
      <c r="F304" s="47" t="str">
        <f t="shared" si="22"/>
        <v>07</v>
      </c>
      <c r="G304" s="47" t="str">
        <f t="shared" si="23"/>
        <v>2018</v>
      </c>
      <c r="H304" s="40">
        <f t="shared" si="24"/>
        <v>-177675.96000000002</v>
      </c>
    </row>
    <row r="305" spans="2:8" x14ac:dyDescent="0.35">
      <c r="B305" s="31" t="s">
        <v>811</v>
      </c>
      <c r="C305" s="29">
        <v>0</v>
      </c>
      <c r="D305" s="46" t="str">
        <f t="shared" si="20"/>
        <v>Partner Sales Tooling 201807</v>
      </c>
      <c r="E305" s="43" t="str">
        <f t="shared" si="21"/>
        <v>Partner Sales Tooling</v>
      </c>
      <c r="F305" s="47" t="str">
        <f t="shared" si="22"/>
        <v>07</v>
      </c>
      <c r="G305" s="47" t="str">
        <f t="shared" si="23"/>
        <v>2018</v>
      </c>
      <c r="H305" s="40">
        <f t="shared" si="24"/>
        <v>0</v>
      </c>
    </row>
    <row r="306" spans="2:8" x14ac:dyDescent="0.35">
      <c r="B306" s="31" t="s">
        <v>812</v>
      </c>
      <c r="C306" s="29">
        <v>-7688.9259999999995</v>
      </c>
      <c r="D306" s="46" t="str">
        <f t="shared" si="20"/>
        <v>Sales - Discounts 201807</v>
      </c>
      <c r="E306" s="43" t="str">
        <f t="shared" si="21"/>
        <v>Sales - Discounts</v>
      </c>
      <c r="F306" s="47" t="str">
        <f t="shared" si="22"/>
        <v>07</v>
      </c>
      <c r="G306" s="47" t="str">
        <f t="shared" si="23"/>
        <v>2018</v>
      </c>
      <c r="H306" s="40">
        <f t="shared" si="24"/>
        <v>-7688.9259999999995</v>
      </c>
    </row>
    <row r="307" spans="2:8" x14ac:dyDescent="0.35">
      <c r="B307" s="31" t="s">
        <v>813</v>
      </c>
      <c r="C307" s="29">
        <v>5974.4146000000001</v>
      </c>
      <c r="D307" s="46" t="str">
        <f t="shared" si="20"/>
        <v>Sales - Freight Out 201807</v>
      </c>
      <c r="E307" s="43" t="str">
        <f t="shared" si="21"/>
        <v>Sales - Freight Out</v>
      </c>
      <c r="F307" s="47" t="str">
        <f t="shared" si="22"/>
        <v>07</v>
      </c>
      <c r="G307" s="47" t="str">
        <f t="shared" si="23"/>
        <v>2018</v>
      </c>
      <c r="H307" s="40">
        <f t="shared" si="24"/>
        <v>5974.4146000000001</v>
      </c>
    </row>
    <row r="308" spans="2:8" x14ac:dyDescent="0.35">
      <c r="B308" s="31" t="s">
        <v>814</v>
      </c>
      <c r="C308" s="29">
        <v>-17417.724999999999</v>
      </c>
      <c r="D308" s="46" t="str">
        <f t="shared" si="20"/>
        <v>Sales - Returns 201807</v>
      </c>
      <c r="E308" s="43" t="str">
        <f t="shared" si="21"/>
        <v>Sales - Returns</v>
      </c>
      <c r="F308" s="47" t="str">
        <f t="shared" si="22"/>
        <v>07</v>
      </c>
      <c r="G308" s="47" t="str">
        <f t="shared" si="23"/>
        <v>2018</v>
      </c>
      <c r="H308" s="40">
        <f t="shared" si="24"/>
        <v>-17417.724999999999</v>
      </c>
    </row>
    <row r="309" spans="2:8" x14ac:dyDescent="0.35">
      <c r="B309" s="31" t="s">
        <v>815</v>
      </c>
      <c r="C309" s="29">
        <v>197648.15069999997</v>
      </c>
      <c r="D309" s="46" t="str">
        <f t="shared" si="20"/>
        <v>Automotive Sales 201808</v>
      </c>
      <c r="E309" s="43" t="str">
        <f t="shared" si="21"/>
        <v>Automotive Sales</v>
      </c>
      <c r="F309" s="47" t="str">
        <f t="shared" si="22"/>
        <v>08</v>
      </c>
      <c r="G309" s="47" t="str">
        <f t="shared" si="23"/>
        <v>2018</v>
      </c>
      <c r="H309" s="40">
        <f t="shared" si="24"/>
        <v>197648.15069999997</v>
      </c>
    </row>
    <row r="310" spans="2:8" x14ac:dyDescent="0.35">
      <c r="B310" s="31" t="s">
        <v>816</v>
      </c>
      <c r="C310" s="29">
        <v>254506</v>
      </c>
      <c r="D310" s="46" t="str">
        <f t="shared" si="20"/>
        <v>Automotive Sales Tooling 201808</v>
      </c>
      <c r="E310" s="43" t="str">
        <f t="shared" si="21"/>
        <v>Automotive Sales Tooling</v>
      </c>
      <c r="F310" s="47" t="str">
        <f t="shared" si="22"/>
        <v>08</v>
      </c>
      <c r="G310" s="47" t="str">
        <f t="shared" si="23"/>
        <v>2018</v>
      </c>
      <c r="H310" s="40">
        <f t="shared" si="24"/>
        <v>254506</v>
      </c>
    </row>
    <row r="311" spans="2:8" x14ac:dyDescent="0.35">
      <c r="B311" s="31" t="s">
        <v>817</v>
      </c>
      <c r="C311" s="29">
        <v>526496.56890000007</v>
      </c>
      <c r="D311" s="46" t="str">
        <f t="shared" si="20"/>
        <v>Bulk Sales 201808</v>
      </c>
      <c r="E311" s="43" t="str">
        <f t="shared" si="21"/>
        <v>Bulk Sales</v>
      </c>
      <c r="F311" s="47" t="str">
        <f t="shared" si="22"/>
        <v>08</v>
      </c>
      <c r="G311" s="47" t="str">
        <f t="shared" si="23"/>
        <v>2018</v>
      </c>
      <c r="H311" s="40">
        <f t="shared" si="24"/>
        <v>526496.56890000007</v>
      </c>
    </row>
    <row r="312" spans="2:8" x14ac:dyDescent="0.35">
      <c r="B312" s="31" t="s">
        <v>818</v>
      </c>
      <c r="C312" s="29">
        <v>58705.919999999998</v>
      </c>
      <c r="D312" s="46" t="str">
        <f t="shared" si="20"/>
        <v>Bulk Sales Tooling 201808</v>
      </c>
      <c r="E312" s="43" t="str">
        <f t="shared" si="21"/>
        <v>Bulk Sales Tooling</v>
      </c>
      <c r="F312" s="47" t="str">
        <f t="shared" si="22"/>
        <v>08</v>
      </c>
      <c r="G312" s="47" t="str">
        <f t="shared" si="23"/>
        <v>2018</v>
      </c>
      <c r="H312" s="40">
        <f t="shared" si="24"/>
        <v>58705.919999999998</v>
      </c>
    </row>
    <row r="313" spans="2:8" x14ac:dyDescent="0.35">
      <c r="B313" s="31" t="s">
        <v>819</v>
      </c>
      <c r="C313" s="29">
        <v>480019.00400000002</v>
      </c>
      <c r="D313" s="46" t="str">
        <f t="shared" si="20"/>
        <v>Consumer Sales 201808</v>
      </c>
      <c r="E313" s="43" t="str">
        <f t="shared" si="21"/>
        <v>Consumer Sales</v>
      </c>
      <c r="F313" s="47" t="str">
        <f t="shared" si="22"/>
        <v>08</v>
      </c>
      <c r="G313" s="47" t="str">
        <f t="shared" si="23"/>
        <v>2018</v>
      </c>
      <c r="H313" s="40">
        <f t="shared" si="24"/>
        <v>480019.00400000002</v>
      </c>
    </row>
    <row r="314" spans="2:8" x14ac:dyDescent="0.35">
      <c r="B314" s="31" t="s">
        <v>820</v>
      </c>
      <c r="C314" s="29">
        <v>0</v>
      </c>
      <c r="D314" s="46" t="str">
        <f t="shared" si="20"/>
        <v>Consumer Sales Tooling 201808</v>
      </c>
      <c r="E314" s="43" t="str">
        <f t="shared" si="21"/>
        <v>Consumer Sales Tooling</v>
      </c>
      <c r="F314" s="47" t="str">
        <f t="shared" si="22"/>
        <v>08</v>
      </c>
      <c r="G314" s="47" t="str">
        <f t="shared" si="23"/>
        <v>2018</v>
      </c>
      <c r="H314" s="40">
        <f t="shared" si="24"/>
        <v>0</v>
      </c>
    </row>
    <row r="315" spans="2:8" x14ac:dyDescent="0.35">
      <c r="B315" s="31" t="s">
        <v>821</v>
      </c>
      <c r="C315" s="29">
        <v>2495.232</v>
      </c>
      <c r="D315" s="46" t="str">
        <f t="shared" si="20"/>
        <v>Electronics Sales 201808</v>
      </c>
      <c r="E315" s="43" t="str">
        <f t="shared" si="21"/>
        <v>Electronics Sales</v>
      </c>
      <c r="F315" s="47" t="str">
        <f t="shared" si="22"/>
        <v>08</v>
      </c>
      <c r="G315" s="47" t="str">
        <f t="shared" si="23"/>
        <v>2018</v>
      </c>
      <c r="H315" s="40">
        <f t="shared" si="24"/>
        <v>2495.232</v>
      </c>
    </row>
    <row r="316" spans="2:8" x14ac:dyDescent="0.35">
      <c r="B316" s="31" t="s">
        <v>822</v>
      </c>
      <c r="C316" s="29">
        <v>0</v>
      </c>
      <c r="D316" s="46" t="str">
        <f t="shared" si="20"/>
        <v>Electronics Sales Tooling 201808</v>
      </c>
      <c r="E316" s="43" t="str">
        <f t="shared" si="21"/>
        <v>Electronics Sales Tooling</v>
      </c>
      <c r="F316" s="47" t="str">
        <f t="shared" si="22"/>
        <v>08</v>
      </c>
      <c r="G316" s="47" t="str">
        <f t="shared" si="23"/>
        <v>2018</v>
      </c>
      <c r="H316" s="40">
        <f t="shared" si="24"/>
        <v>0</v>
      </c>
    </row>
    <row r="317" spans="2:8" x14ac:dyDescent="0.35">
      <c r="B317" s="31" t="s">
        <v>823</v>
      </c>
      <c r="C317" s="29">
        <v>0</v>
      </c>
      <c r="D317" s="46" t="str">
        <f t="shared" si="20"/>
        <v>Mechanic Sales 201808</v>
      </c>
      <c r="E317" s="43" t="str">
        <f t="shared" si="21"/>
        <v>Mechanic Sales</v>
      </c>
      <c r="F317" s="47" t="str">
        <f t="shared" si="22"/>
        <v>08</v>
      </c>
      <c r="G317" s="47" t="str">
        <f t="shared" si="23"/>
        <v>2018</v>
      </c>
      <c r="H317" s="40">
        <f t="shared" si="24"/>
        <v>0</v>
      </c>
    </row>
    <row r="318" spans="2:8" x14ac:dyDescent="0.35">
      <c r="B318" s="31" t="s">
        <v>824</v>
      </c>
      <c r="C318" s="29">
        <v>33734.25</v>
      </c>
      <c r="D318" s="46" t="str">
        <f t="shared" si="20"/>
        <v>Mechanic Sales Tooling 201808</v>
      </c>
      <c r="E318" s="43" t="str">
        <f t="shared" si="21"/>
        <v>Mechanic Sales Tooling</v>
      </c>
      <c r="F318" s="47" t="str">
        <f t="shared" si="22"/>
        <v>08</v>
      </c>
      <c r="G318" s="47" t="str">
        <f t="shared" si="23"/>
        <v>2018</v>
      </c>
      <c r="H318" s="40">
        <f t="shared" si="24"/>
        <v>33734.25</v>
      </c>
    </row>
    <row r="319" spans="2:8" x14ac:dyDescent="0.35">
      <c r="B319" s="31" t="s">
        <v>825</v>
      </c>
      <c r="C319" s="29">
        <v>0</v>
      </c>
      <c r="D319" s="46" t="str">
        <f t="shared" si="20"/>
        <v>Non Operating sales201808</v>
      </c>
      <c r="E319" s="43" t="str">
        <f t="shared" si="21"/>
        <v>Non Operating sale</v>
      </c>
      <c r="F319" s="47" t="str">
        <f t="shared" si="22"/>
        <v>08</v>
      </c>
      <c r="G319" s="47" t="str">
        <f t="shared" si="23"/>
        <v>2018</v>
      </c>
      <c r="H319" s="40">
        <f t="shared" si="24"/>
        <v>0</v>
      </c>
    </row>
    <row r="320" spans="2:8" x14ac:dyDescent="0.35">
      <c r="B320" s="31" t="s">
        <v>826</v>
      </c>
      <c r="C320" s="29">
        <v>41272</v>
      </c>
      <c r="D320" s="46" t="str">
        <f t="shared" si="20"/>
        <v>Partner Sales 201808</v>
      </c>
      <c r="E320" s="43" t="str">
        <f t="shared" si="21"/>
        <v>Partner Sales</v>
      </c>
      <c r="F320" s="47" t="str">
        <f t="shared" si="22"/>
        <v>08</v>
      </c>
      <c r="G320" s="47" t="str">
        <f t="shared" si="23"/>
        <v>2018</v>
      </c>
      <c r="H320" s="40">
        <f t="shared" si="24"/>
        <v>41272</v>
      </c>
    </row>
    <row r="321" spans="2:8" x14ac:dyDescent="0.35">
      <c r="B321" s="31" t="s">
        <v>827</v>
      </c>
      <c r="C321" s="29">
        <v>38827.5</v>
      </c>
      <c r="D321" s="46" t="str">
        <f t="shared" si="20"/>
        <v>Partner Sales Tooling 201808</v>
      </c>
      <c r="E321" s="43" t="str">
        <f t="shared" si="21"/>
        <v>Partner Sales Tooling</v>
      </c>
      <c r="F321" s="47" t="str">
        <f t="shared" si="22"/>
        <v>08</v>
      </c>
      <c r="G321" s="47" t="str">
        <f t="shared" si="23"/>
        <v>2018</v>
      </c>
      <c r="H321" s="40">
        <f t="shared" si="24"/>
        <v>38827.5</v>
      </c>
    </row>
    <row r="322" spans="2:8" x14ac:dyDescent="0.35">
      <c r="B322" s="31" t="s">
        <v>828</v>
      </c>
      <c r="C322" s="29">
        <v>-1761.396</v>
      </c>
      <c r="D322" s="46" t="str">
        <f t="shared" si="20"/>
        <v>Sales - Discounts 201808</v>
      </c>
      <c r="E322" s="43" t="str">
        <f t="shared" si="21"/>
        <v>Sales - Discounts</v>
      </c>
      <c r="F322" s="47" t="str">
        <f t="shared" si="22"/>
        <v>08</v>
      </c>
      <c r="G322" s="47" t="str">
        <f t="shared" si="23"/>
        <v>2018</v>
      </c>
      <c r="H322" s="40">
        <f t="shared" si="24"/>
        <v>-1761.396</v>
      </c>
    </row>
    <row r="323" spans="2:8" x14ac:dyDescent="0.35">
      <c r="B323" s="31" t="s">
        <v>829</v>
      </c>
      <c r="C323" s="29">
        <v>104.02760000000002</v>
      </c>
      <c r="D323" s="46" t="str">
        <f t="shared" si="20"/>
        <v>Sales - Freight Out 201808</v>
      </c>
      <c r="E323" s="43" t="str">
        <f t="shared" si="21"/>
        <v>Sales - Freight Out</v>
      </c>
      <c r="F323" s="47" t="str">
        <f t="shared" si="22"/>
        <v>08</v>
      </c>
      <c r="G323" s="47" t="str">
        <f t="shared" si="23"/>
        <v>2018</v>
      </c>
      <c r="H323" s="40">
        <f t="shared" si="24"/>
        <v>104.02760000000002</v>
      </c>
    </row>
    <row r="324" spans="2:8" x14ac:dyDescent="0.35">
      <c r="B324" s="31" t="s">
        <v>830</v>
      </c>
      <c r="C324" s="29">
        <v>-27168.449999999997</v>
      </c>
      <c r="D324" s="46" t="str">
        <f t="shared" si="20"/>
        <v>Sales - Returns 201808</v>
      </c>
      <c r="E324" s="43" t="str">
        <f t="shared" si="21"/>
        <v>Sales - Returns</v>
      </c>
      <c r="F324" s="47" t="str">
        <f t="shared" si="22"/>
        <v>08</v>
      </c>
      <c r="G324" s="47" t="str">
        <f t="shared" si="23"/>
        <v>2018</v>
      </c>
      <c r="H324" s="40">
        <f t="shared" si="24"/>
        <v>-27168.449999999997</v>
      </c>
    </row>
    <row r="325" spans="2:8" x14ac:dyDescent="0.35">
      <c r="B325" s="31" t="s">
        <v>831</v>
      </c>
      <c r="C325" s="29">
        <v>163957.40789999999</v>
      </c>
      <c r="D325" s="46" t="str">
        <f t="shared" si="20"/>
        <v>Automotive Sales 201809</v>
      </c>
      <c r="E325" s="43" t="str">
        <f t="shared" si="21"/>
        <v>Automotive Sales</v>
      </c>
      <c r="F325" s="47" t="str">
        <f t="shared" si="22"/>
        <v>09</v>
      </c>
      <c r="G325" s="47" t="str">
        <f t="shared" si="23"/>
        <v>2018</v>
      </c>
      <c r="H325" s="40">
        <f t="shared" si="24"/>
        <v>163957.40789999999</v>
      </c>
    </row>
    <row r="326" spans="2:8" x14ac:dyDescent="0.35">
      <c r="B326" s="31" t="s">
        <v>832</v>
      </c>
      <c r="C326" s="29">
        <v>0</v>
      </c>
      <c r="D326" s="46" t="str">
        <f t="shared" ref="D326:D389" si="25">TRIM(B326)</f>
        <v>Automotive Sales Tooling 201809</v>
      </c>
      <c r="E326" s="43" t="str">
        <f t="shared" ref="E326:E389" si="26">LEFT(D326,LEN(D326)-7)</f>
        <v>Automotive Sales Tooling</v>
      </c>
      <c r="F326" s="47" t="str">
        <f t="shared" ref="F326:F389" si="27">RIGHT(D326,2)</f>
        <v>09</v>
      </c>
      <c r="G326" s="47" t="str">
        <f t="shared" ref="G326:G389" si="28">RIGHT(LEFT(D326,LEN(D326)-2),4)</f>
        <v>2018</v>
      </c>
      <c r="H326" s="40">
        <f t="shared" ref="H326:H389" si="29">C326</f>
        <v>0</v>
      </c>
    </row>
    <row r="327" spans="2:8" x14ac:dyDescent="0.35">
      <c r="B327" s="31" t="s">
        <v>833</v>
      </c>
      <c r="C327" s="29">
        <v>589727.00170000014</v>
      </c>
      <c r="D327" s="46" t="str">
        <f t="shared" si="25"/>
        <v>Bulk Sales 201809</v>
      </c>
      <c r="E327" s="43" t="str">
        <f t="shared" si="26"/>
        <v>Bulk Sales</v>
      </c>
      <c r="F327" s="47" t="str">
        <f t="shared" si="27"/>
        <v>09</v>
      </c>
      <c r="G327" s="47" t="str">
        <f t="shared" si="28"/>
        <v>2018</v>
      </c>
      <c r="H327" s="40">
        <f t="shared" si="29"/>
        <v>589727.00170000014</v>
      </c>
    </row>
    <row r="328" spans="2:8" x14ac:dyDescent="0.35">
      <c r="B328" s="31" t="s">
        <v>834</v>
      </c>
      <c r="C328" s="29">
        <v>155792.9088</v>
      </c>
      <c r="D328" s="46" t="str">
        <f t="shared" si="25"/>
        <v>Bulk Sales Tooling 201809</v>
      </c>
      <c r="E328" s="43" t="str">
        <f t="shared" si="26"/>
        <v>Bulk Sales Tooling</v>
      </c>
      <c r="F328" s="47" t="str">
        <f t="shared" si="27"/>
        <v>09</v>
      </c>
      <c r="G328" s="47" t="str">
        <f t="shared" si="28"/>
        <v>2018</v>
      </c>
      <c r="H328" s="40">
        <f t="shared" si="29"/>
        <v>155792.9088</v>
      </c>
    </row>
    <row r="329" spans="2:8" x14ac:dyDescent="0.35">
      <c r="B329" s="31" t="s">
        <v>835</v>
      </c>
      <c r="C329" s="29">
        <v>626165.14799999993</v>
      </c>
      <c r="D329" s="46" t="str">
        <f t="shared" si="25"/>
        <v>Consumer Sales 201809</v>
      </c>
      <c r="E329" s="43" t="str">
        <f t="shared" si="26"/>
        <v>Consumer Sales</v>
      </c>
      <c r="F329" s="47" t="str">
        <f t="shared" si="27"/>
        <v>09</v>
      </c>
      <c r="G329" s="47" t="str">
        <f t="shared" si="28"/>
        <v>2018</v>
      </c>
      <c r="H329" s="40">
        <f t="shared" si="29"/>
        <v>626165.14799999993</v>
      </c>
    </row>
    <row r="330" spans="2:8" x14ac:dyDescent="0.35">
      <c r="B330" s="31" t="s">
        <v>836</v>
      </c>
      <c r="C330" s="29">
        <v>0</v>
      </c>
      <c r="D330" s="46" t="str">
        <f t="shared" si="25"/>
        <v>Consumer Sales Tooling 201809</v>
      </c>
      <c r="E330" s="43" t="str">
        <f t="shared" si="26"/>
        <v>Consumer Sales Tooling</v>
      </c>
      <c r="F330" s="47" t="str">
        <f t="shared" si="27"/>
        <v>09</v>
      </c>
      <c r="G330" s="47" t="str">
        <f t="shared" si="28"/>
        <v>2018</v>
      </c>
      <c r="H330" s="40">
        <f t="shared" si="29"/>
        <v>0</v>
      </c>
    </row>
    <row r="331" spans="2:8" x14ac:dyDescent="0.35">
      <c r="B331" s="31" t="s">
        <v>837</v>
      </c>
      <c r="C331" s="29">
        <v>44182.843199999996</v>
      </c>
      <c r="D331" s="46" t="str">
        <f t="shared" si="25"/>
        <v>Electronics Sales 201809</v>
      </c>
      <c r="E331" s="43" t="str">
        <f t="shared" si="26"/>
        <v>Electronics Sales</v>
      </c>
      <c r="F331" s="47" t="str">
        <f t="shared" si="27"/>
        <v>09</v>
      </c>
      <c r="G331" s="47" t="str">
        <f t="shared" si="28"/>
        <v>2018</v>
      </c>
      <c r="H331" s="40">
        <f t="shared" si="29"/>
        <v>44182.843199999996</v>
      </c>
    </row>
    <row r="332" spans="2:8" x14ac:dyDescent="0.35">
      <c r="B332" s="31" t="s">
        <v>838</v>
      </c>
      <c r="C332" s="29">
        <v>0</v>
      </c>
      <c r="D332" s="46" t="str">
        <f t="shared" si="25"/>
        <v>Electronics Sales Tooling 201809</v>
      </c>
      <c r="E332" s="43" t="str">
        <f t="shared" si="26"/>
        <v>Electronics Sales Tooling</v>
      </c>
      <c r="F332" s="47" t="str">
        <f t="shared" si="27"/>
        <v>09</v>
      </c>
      <c r="G332" s="47" t="str">
        <f t="shared" si="28"/>
        <v>2018</v>
      </c>
      <c r="H332" s="40">
        <f t="shared" si="29"/>
        <v>0</v>
      </c>
    </row>
    <row r="333" spans="2:8" x14ac:dyDescent="0.35">
      <c r="B333" s="31" t="s">
        <v>839</v>
      </c>
      <c r="C333" s="29">
        <v>162183.73500000002</v>
      </c>
      <c r="D333" s="46" t="str">
        <f t="shared" si="25"/>
        <v>Mechanic Sales 201809</v>
      </c>
      <c r="E333" s="43" t="str">
        <f t="shared" si="26"/>
        <v>Mechanic Sales</v>
      </c>
      <c r="F333" s="47" t="str">
        <f t="shared" si="27"/>
        <v>09</v>
      </c>
      <c r="G333" s="47" t="str">
        <f t="shared" si="28"/>
        <v>2018</v>
      </c>
      <c r="H333" s="40">
        <f t="shared" si="29"/>
        <v>162183.73500000002</v>
      </c>
    </row>
    <row r="334" spans="2:8" x14ac:dyDescent="0.35">
      <c r="B334" s="31" t="s">
        <v>840</v>
      </c>
      <c r="C334" s="29">
        <v>38483.129999999997</v>
      </c>
      <c r="D334" s="46" t="str">
        <f t="shared" si="25"/>
        <v>Mechanic Sales Tooling 201809</v>
      </c>
      <c r="E334" s="43" t="str">
        <f t="shared" si="26"/>
        <v>Mechanic Sales Tooling</v>
      </c>
      <c r="F334" s="47" t="str">
        <f t="shared" si="27"/>
        <v>09</v>
      </c>
      <c r="G334" s="47" t="str">
        <f t="shared" si="28"/>
        <v>2018</v>
      </c>
      <c r="H334" s="40">
        <f t="shared" si="29"/>
        <v>38483.129999999997</v>
      </c>
    </row>
    <row r="335" spans="2:8" x14ac:dyDescent="0.35">
      <c r="B335" s="31" t="s">
        <v>841</v>
      </c>
      <c r="C335" s="29">
        <v>0</v>
      </c>
      <c r="D335" s="46" t="str">
        <f t="shared" si="25"/>
        <v>Non Operating sales201809</v>
      </c>
      <c r="E335" s="43" t="str">
        <f t="shared" si="26"/>
        <v>Non Operating sale</v>
      </c>
      <c r="F335" s="47" t="str">
        <f t="shared" si="27"/>
        <v>09</v>
      </c>
      <c r="G335" s="47" t="str">
        <f t="shared" si="28"/>
        <v>2018</v>
      </c>
      <c r="H335" s="40">
        <f t="shared" si="29"/>
        <v>0</v>
      </c>
    </row>
    <row r="336" spans="2:8" x14ac:dyDescent="0.35">
      <c r="B336" s="31" t="s">
        <v>842</v>
      </c>
      <c r="C336" s="29">
        <v>0</v>
      </c>
      <c r="D336" s="46" t="str">
        <f t="shared" si="25"/>
        <v>Partner Sales 201809</v>
      </c>
      <c r="E336" s="43" t="str">
        <f t="shared" si="26"/>
        <v>Partner Sales</v>
      </c>
      <c r="F336" s="47" t="str">
        <f t="shared" si="27"/>
        <v>09</v>
      </c>
      <c r="G336" s="47" t="str">
        <f t="shared" si="28"/>
        <v>2018</v>
      </c>
      <c r="H336" s="40">
        <f t="shared" si="29"/>
        <v>0</v>
      </c>
    </row>
    <row r="337" spans="2:8" x14ac:dyDescent="0.35">
      <c r="B337" s="31" t="s">
        <v>843</v>
      </c>
      <c r="C337" s="29">
        <v>176979</v>
      </c>
      <c r="D337" s="46" t="str">
        <f t="shared" si="25"/>
        <v>Partner Sales Tooling 201809</v>
      </c>
      <c r="E337" s="43" t="str">
        <f t="shared" si="26"/>
        <v>Partner Sales Tooling</v>
      </c>
      <c r="F337" s="47" t="str">
        <f t="shared" si="27"/>
        <v>09</v>
      </c>
      <c r="G337" s="47" t="str">
        <f t="shared" si="28"/>
        <v>2018</v>
      </c>
      <c r="H337" s="40">
        <f t="shared" si="29"/>
        <v>176979</v>
      </c>
    </row>
    <row r="338" spans="2:8" x14ac:dyDescent="0.35">
      <c r="B338" s="31" t="s">
        <v>844</v>
      </c>
      <c r="C338" s="29">
        <v>-2972.1859999999997</v>
      </c>
      <c r="D338" s="46" t="str">
        <f t="shared" si="25"/>
        <v>Sales - Discounts 201809</v>
      </c>
      <c r="E338" s="43" t="str">
        <f t="shared" si="26"/>
        <v>Sales - Discounts</v>
      </c>
      <c r="F338" s="47" t="str">
        <f t="shared" si="27"/>
        <v>09</v>
      </c>
      <c r="G338" s="47" t="str">
        <f t="shared" si="28"/>
        <v>2018</v>
      </c>
      <c r="H338" s="40">
        <f t="shared" si="29"/>
        <v>-2972.1859999999997</v>
      </c>
    </row>
    <row r="339" spans="2:8" x14ac:dyDescent="0.35">
      <c r="B339" s="31" t="s">
        <v>845</v>
      </c>
      <c r="C339" s="29">
        <v>5140.6787000000004</v>
      </c>
      <c r="D339" s="46" t="str">
        <f t="shared" si="25"/>
        <v>Sales - Freight Out 201809</v>
      </c>
      <c r="E339" s="43" t="str">
        <f t="shared" si="26"/>
        <v>Sales - Freight Out</v>
      </c>
      <c r="F339" s="47" t="str">
        <f t="shared" si="27"/>
        <v>09</v>
      </c>
      <c r="G339" s="47" t="str">
        <f t="shared" si="28"/>
        <v>2018</v>
      </c>
      <c r="H339" s="40">
        <f t="shared" si="29"/>
        <v>5140.6787000000004</v>
      </c>
    </row>
    <row r="340" spans="2:8" x14ac:dyDescent="0.35">
      <c r="B340" s="31" t="s">
        <v>846</v>
      </c>
      <c r="C340" s="29">
        <v>-7107.1624999999995</v>
      </c>
      <c r="D340" s="46" t="str">
        <f t="shared" si="25"/>
        <v>Sales - Returns 201809</v>
      </c>
      <c r="E340" s="43" t="str">
        <f t="shared" si="26"/>
        <v>Sales - Returns</v>
      </c>
      <c r="F340" s="47" t="str">
        <f t="shared" si="27"/>
        <v>09</v>
      </c>
      <c r="G340" s="47" t="str">
        <f t="shared" si="28"/>
        <v>2018</v>
      </c>
      <c r="H340" s="40">
        <f t="shared" si="29"/>
        <v>-7107.1624999999995</v>
      </c>
    </row>
    <row r="341" spans="2:8" x14ac:dyDescent="0.35">
      <c r="B341" s="31" t="s">
        <v>847</v>
      </c>
      <c r="C341" s="29">
        <v>210881.7997</v>
      </c>
      <c r="D341" s="46" t="str">
        <f t="shared" si="25"/>
        <v>Automotive Sales 201810</v>
      </c>
      <c r="E341" s="43" t="str">
        <f t="shared" si="26"/>
        <v>Automotive Sales</v>
      </c>
      <c r="F341" s="47" t="str">
        <f t="shared" si="27"/>
        <v>10</v>
      </c>
      <c r="G341" s="47" t="str">
        <f t="shared" si="28"/>
        <v>2018</v>
      </c>
      <c r="H341" s="40">
        <f t="shared" si="29"/>
        <v>210881.7997</v>
      </c>
    </row>
    <row r="342" spans="2:8" x14ac:dyDescent="0.35">
      <c r="B342" s="31" t="s">
        <v>848</v>
      </c>
      <c r="C342" s="29">
        <v>0</v>
      </c>
      <c r="D342" s="46" t="str">
        <f t="shared" si="25"/>
        <v>Automotive Sales Tooling 201810</v>
      </c>
      <c r="E342" s="43" t="str">
        <f t="shared" si="26"/>
        <v>Automotive Sales Tooling</v>
      </c>
      <c r="F342" s="47" t="str">
        <f t="shared" si="27"/>
        <v>10</v>
      </c>
      <c r="G342" s="47" t="str">
        <f t="shared" si="28"/>
        <v>2018</v>
      </c>
      <c r="H342" s="40">
        <f t="shared" si="29"/>
        <v>0</v>
      </c>
    </row>
    <row r="343" spans="2:8" x14ac:dyDescent="0.35">
      <c r="B343" s="31" t="s">
        <v>849</v>
      </c>
      <c r="C343" s="29">
        <v>759149.66760000004</v>
      </c>
      <c r="D343" s="46" t="str">
        <f t="shared" si="25"/>
        <v>Bulk Sales 201810</v>
      </c>
      <c r="E343" s="43" t="str">
        <f t="shared" si="26"/>
        <v>Bulk Sales</v>
      </c>
      <c r="F343" s="47" t="str">
        <f t="shared" si="27"/>
        <v>10</v>
      </c>
      <c r="G343" s="47" t="str">
        <f t="shared" si="28"/>
        <v>2018</v>
      </c>
      <c r="H343" s="40">
        <f t="shared" si="29"/>
        <v>759149.66760000004</v>
      </c>
    </row>
    <row r="344" spans="2:8" x14ac:dyDescent="0.35">
      <c r="B344" s="31" t="s">
        <v>850</v>
      </c>
      <c r="C344" s="29">
        <v>25855.200000000001</v>
      </c>
      <c r="D344" s="46" t="str">
        <f t="shared" si="25"/>
        <v>Bulk Sales Tooling 201810</v>
      </c>
      <c r="E344" s="43" t="str">
        <f t="shared" si="26"/>
        <v>Bulk Sales Tooling</v>
      </c>
      <c r="F344" s="47" t="str">
        <f t="shared" si="27"/>
        <v>10</v>
      </c>
      <c r="G344" s="47" t="str">
        <f t="shared" si="28"/>
        <v>2018</v>
      </c>
      <c r="H344" s="40">
        <f t="shared" si="29"/>
        <v>25855.200000000001</v>
      </c>
    </row>
    <row r="345" spans="2:8" x14ac:dyDescent="0.35">
      <c r="B345" s="31" t="s">
        <v>851</v>
      </c>
      <c r="C345" s="29">
        <v>363536.90799999994</v>
      </c>
      <c r="D345" s="46" t="str">
        <f t="shared" si="25"/>
        <v>Consumer Sales 201810</v>
      </c>
      <c r="E345" s="43" t="str">
        <f t="shared" si="26"/>
        <v>Consumer Sales</v>
      </c>
      <c r="F345" s="47" t="str">
        <f t="shared" si="27"/>
        <v>10</v>
      </c>
      <c r="G345" s="47" t="str">
        <f t="shared" si="28"/>
        <v>2018</v>
      </c>
      <c r="H345" s="40">
        <f t="shared" si="29"/>
        <v>363536.90799999994</v>
      </c>
    </row>
    <row r="346" spans="2:8" x14ac:dyDescent="0.35">
      <c r="B346" s="31" t="s">
        <v>852</v>
      </c>
      <c r="C346" s="29">
        <v>0</v>
      </c>
      <c r="D346" s="46" t="str">
        <f t="shared" si="25"/>
        <v>Consumer Sales Tooling 201810</v>
      </c>
      <c r="E346" s="43" t="str">
        <f t="shared" si="26"/>
        <v>Consumer Sales Tooling</v>
      </c>
      <c r="F346" s="47" t="str">
        <f t="shared" si="27"/>
        <v>10</v>
      </c>
      <c r="G346" s="47" t="str">
        <f t="shared" si="28"/>
        <v>2018</v>
      </c>
      <c r="H346" s="40">
        <f t="shared" si="29"/>
        <v>0</v>
      </c>
    </row>
    <row r="347" spans="2:8" x14ac:dyDescent="0.35">
      <c r="B347" s="31" t="s">
        <v>853</v>
      </c>
      <c r="C347" s="29">
        <v>33331.2192</v>
      </c>
      <c r="D347" s="46" t="str">
        <f t="shared" si="25"/>
        <v>Electronics Sales 201810</v>
      </c>
      <c r="E347" s="43" t="str">
        <f t="shared" si="26"/>
        <v>Electronics Sales</v>
      </c>
      <c r="F347" s="47" t="str">
        <f t="shared" si="27"/>
        <v>10</v>
      </c>
      <c r="G347" s="47" t="str">
        <f t="shared" si="28"/>
        <v>2018</v>
      </c>
      <c r="H347" s="40">
        <f t="shared" si="29"/>
        <v>33331.2192</v>
      </c>
    </row>
    <row r="348" spans="2:8" x14ac:dyDescent="0.35">
      <c r="B348" s="31" t="s">
        <v>854</v>
      </c>
      <c r="C348" s="29">
        <v>0</v>
      </c>
      <c r="D348" s="46" t="str">
        <f t="shared" si="25"/>
        <v>Electronics Sales Tooling 201810</v>
      </c>
      <c r="E348" s="43" t="str">
        <f t="shared" si="26"/>
        <v>Electronics Sales Tooling</v>
      </c>
      <c r="F348" s="47" t="str">
        <f t="shared" si="27"/>
        <v>10</v>
      </c>
      <c r="G348" s="47" t="str">
        <f t="shared" si="28"/>
        <v>2018</v>
      </c>
      <c r="H348" s="40">
        <f t="shared" si="29"/>
        <v>0</v>
      </c>
    </row>
    <row r="349" spans="2:8" x14ac:dyDescent="0.35">
      <c r="B349" s="31" t="s">
        <v>855</v>
      </c>
      <c r="C349" s="29">
        <v>132145.69500000001</v>
      </c>
      <c r="D349" s="46" t="str">
        <f t="shared" si="25"/>
        <v>Mechanic Sales 201810</v>
      </c>
      <c r="E349" s="43" t="str">
        <f t="shared" si="26"/>
        <v>Mechanic Sales</v>
      </c>
      <c r="F349" s="47" t="str">
        <f t="shared" si="27"/>
        <v>10</v>
      </c>
      <c r="G349" s="47" t="str">
        <f t="shared" si="28"/>
        <v>2018</v>
      </c>
      <c r="H349" s="40">
        <f t="shared" si="29"/>
        <v>132145.69500000001</v>
      </c>
    </row>
    <row r="350" spans="2:8" x14ac:dyDescent="0.35">
      <c r="B350" s="31" t="s">
        <v>856</v>
      </c>
      <c r="C350" s="29">
        <v>0</v>
      </c>
      <c r="D350" s="46" t="str">
        <f t="shared" si="25"/>
        <v>Mechanic Sales Tooling 201810</v>
      </c>
      <c r="E350" s="43" t="str">
        <f t="shared" si="26"/>
        <v>Mechanic Sales Tooling</v>
      </c>
      <c r="F350" s="47" t="str">
        <f t="shared" si="27"/>
        <v>10</v>
      </c>
      <c r="G350" s="47" t="str">
        <f t="shared" si="28"/>
        <v>2018</v>
      </c>
      <c r="H350" s="40">
        <f t="shared" si="29"/>
        <v>0</v>
      </c>
    </row>
    <row r="351" spans="2:8" x14ac:dyDescent="0.35">
      <c r="B351" s="31" t="s">
        <v>857</v>
      </c>
      <c r="C351" s="29">
        <v>0</v>
      </c>
      <c r="D351" s="46" t="str">
        <f t="shared" si="25"/>
        <v>Non Operating sales201810</v>
      </c>
      <c r="E351" s="43" t="str">
        <f t="shared" si="26"/>
        <v>Non Operating sale</v>
      </c>
      <c r="F351" s="47" t="str">
        <f t="shared" si="27"/>
        <v>10</v>
      </c>
      <c r="G351" s="47" t="str">
        <f t="shared" si="28"/>
        <v>2018</v>
      </c>
      <c r="H351" s="40">
        <f t="shared" si="29"/>
        <v>0</v>
      </c>
    </row>
    <row r="352" spans="2:8" x14ac:dyDescent="0.35">
      <c r="B352" s="31" t="s">
        <v>858</v>
      </c>
      <c r="C352" s="29">
        <v>50294.166400000002</v>
      </c>
      <c r="D352" s="46" t="str">
        <f t="shared" si="25"/>
        <v>Partner Sales 201810</v>
      </c>
      <c r="E352" s="43" t="str">
        <f t="shared" si="26"/>
        <v>Partner Sales</v>
      </c>
      <c r="F352" s="47" t="str">
        <f t="shared" si="27"/>
        <v>10</v>
      </c>
      <c r="G352" s="47" t="str">
        <f t="shared" si="28"/>
        <v>2018</v>
      </c>
      <c r="H352" s="40">
        <f t="shared" si="29"/>
        <v>50294.166400000002</v>
      </c>
    </row>
    <row r="353" spans="2:8" x14ac:dyDescent="0.35">
      <c r="B353" s="31" t="s">
        <v>859</v>
      </c>
      <c r="C353" s="29">
        <v>0</v>
      </c>
      <c r="D353" s="46" t="str">
        <f t="shared" si="25"/>
        <v>Partner Sales Tooling 201810</v>
      </c>
      <c r="E353" s="43" t="str">
        <f t="shared" si="26"/>
        <v>Partner Sales Tooling</v>
      </c>
      <c r="F353" s="47" t="str">
        <f t="shared" si="27"/>
        <v>10</v>
      </c>
      <c r="G353" s="47" t="str">
        <f t="shared" si="28"/>
        <v>2018</v>
      </c>
      <c r="H353" s="40">
        <f t="shared" si="29"/>
        <v>0</v>
      </c>
    </row>
    <row r="354" spans="2:8" x14ac:dyDescent="0.35">
      <c r="B354" s="31" t="s">
        <v>860</v>
      </c>
      <c r="C354" s="29">
        <v>-2566.942</v>
      </c>
      <c r="D354" s="46" t="str">
        <f t="shared" si="25"/>
        <v>Sales - Discounts 201810</v>
      </c>
      <c r="E354" s="43" t="str">
        <f t="shared" si="26"/>
        <v>Sales - Discounts</v>
      </c>
      <c r="F354" s="47" t="str">
        <f t="shared" si="27"/>
        <v>10</v>
      </c>
      <c r="G354" s="47" t="str">
        <f t="shared" si="28"/>
        <v>2018</v>
      </c>
      <c r="H354" s="40">
        <f t="shared" si="29"/>
        <v>-2566.942</v>
      </c>
    </row>
    <row r="355" spans="2:8" x14ac:dyDescent="0.35">
      <c r="B355" s="31" t="s">
        <v>861</v>
      </c>
      <c r="C355" s="29">
        <v>83.997700000000009</v>
      </c>
      <c r="D355" s="46" t="str">
        <f t="shared" si="25"/>
        <v>Sales - Freight Out 201810</v>
      </c>
      <c r="E355" s="43" t="str">
        <f t="shared" si="26"/>
        <v>Sales - Freight Out</v>
      </c>
      <c r="F355" s="47" t="str">
        <f t="shared" si="27"/>
        <v>10</v>
      </c>
      <c r="G355" s="47" t="str">
        <f t="shared" si="28"/>
        <v>2018</v>
      </c>
      <c r="H355" s="40">
        <f t="shared" si="29"/>
        <v>83.997700000000009</v>
      </c>
    </row>
    <row r="356" spans="2:8" x14ac:dyDescent="0.35">
      <c r="B356" s="31" t="s">
        <v>862</v>
      </c>
      <c r="C356" s="29">
        <v>-90450.324999999997</v>
      </c>
      <c r="D356" s="46" t="str">
        <f t="shared" si="25"/>
        <v>Sales - Returns 201810</v>
      </c>
      <c r="E356" s="43" t="str">
        <f t="shared" si="26"/>
        <v>Sales - Returns</v>
      </c>
      <c r="F356" s="47" t="str">
        <f t="shared" si="27"/>
        <v>10</v>
      </c>
      <c r="G356" s="47" t="str">
        <f t="shared" si="28"/>
        <v>2018</v>
      </c>
      <c r="H356" s="40">
        <f t="shared" si="29"/>
        <v>-90450.324999999997</v>
      </c>
    </row>
    <row r="357" spans="2:8" x14ac:dyDescent="0.35">
      <c r="B357" s="31" t="s">
        <v>863</v>
      </c>
      <c r="C357" s="29">
        <v>108231.82369999999</v>
      </c>
      <c r="D357" s="46" t="str">
        <f t="shared" si="25"/>
        <v>Automotive Sales 201811</v>
      </c>
      <c r="E357" s="43" t="str">
        <f t="shared" si="26"/>
        <v>Automotive Sales</v>
      </c>
      <c r="F357" s="47" t="str">
        <f t="shared" si="27"/>
        <v>11</v>
      </c>
      <c r="G357" s="47" t="str">
        <f t="shared" si="28"/>
        <v>2018</v>
      </c>
      <c r="H357" s="40">
        <f t="shared" si="29"/>
        <v>108231.82369999999</v>
      </c>
    </row>
    <row r="358" spans="2:8" x14ac:dyDescent="0.35">
      <c r="B358" s="31" t="s">
        <v>864</v>
      </c>
      <c r="C358" s="29">
        <v>0</v>
      </c>
      <c r="D358" s="46" t="str">
        <f t="shared" si="25"/>
        <v>Automotive Sales Tooling 201811</v>
      </c>
      <c r="E358" s="43" t="str">
        <f t="shared" si="26"/>
        <v>Automotive Sales Tooling</v>
      </c>
      <c r="F358" s="47" t="str">
        <f t="shared" si="27"/>
        <v>11</v>
      </c>
      <c r="G358" s="47" t="str">
        <f t="shared" si="28"/>
        <v>2018</v>
      </c>
      <c r="H358" s="40">
        <f t="shared" si="29"/>
        <v>0</v>
      </c>
    </row>
    <row r="359" spans="2:8" x14ac:dyDescent="0.35">
      <c r="B359" s="31" t="s">
        <v>865</v>
      </c>
      <c r="C359" s="29">
        <v>771173.80700000015</v>
      </c>
      <c r="D359" s="46" t="str">
        <f t="shared" si="25"/>
        <v>Bulk Sales 201811</v>
      </c>
      <c r="E359" s="43" t="str">
        <f t="shared" si="26"/>
        <v>Bulk Sales</v>
      </c>
      <c r="F359" s="47" t="str">
        <f t="shared" si="27"/>
        <v>11</v>
      </c>
      <c r="G359" s="47" t="str">
        <f t="shared" si="28"/>
        <v>2018</v>
      </c>
      <c r="H359" s="40">
        <f t="shared" si="29"/>
        <v>771173.80700000015</v>
      </c>
    </row>
    <row r="360" spans="2:8" x14ac:dyDescent="0.35">
      <c r="B360" s="31" t="s">
        <v>866</v>
      </c>
      <c r="C360" s="29">
        <v>29952</v>
      </c>
      <c r="D360" s="46" t="str">
        <f t="shared" si="25"/>
        <v>Bulk Sales Tooling 201811</v>
      </c>
      <c r="E360" s="43" t="str">
        <f t="shared" si="26"/>
        <v>Bulk Sales Tooling</v>
      </c>
      <c r="F360" s="47" t="str">
        <f t="shared" si="27"/>
        <v>11</v>
      </c>
      <c r="G360" s="47" t="str">
        <f t="shared" si="28"/>
        <v>2018</v>
      </c>
      <c r="H360" s="40">
        <f t="shared" si="29"/>
        <v>29952</v>
      </c>
    </row>
    <row r="361" spans="2:8" x14ac:dyDescent="0.35">
      <c r="B361" s="31" t="s">
        <v>867</v>
      </c>
      <c r="C361" s="29">
        <v>775290.1544</v>
      </c>
      <c r="D361" s="46" t="str">
        <f t="shared" si="25"/>
        <v>Consumer Sales 201811</v>
      </c>
      <c r="E361" s="43" t="str">
        <f t="shared" si="26"/>
        <v>Consumer Sales</v>
      </c>
      <c r="F361" s="47" t="str">
        <f t="shared" si="27"/>
        <v>11</v>
      </c>
      <c r="G361" s="47" t="str">
        <f t="shared" si="28"/>
        <v>2018</v>
      </c>
      <c r="H361" s="40">
        <f t="shared" si="29"/>
        <v>775290.1544</v>
      </c>
    </row>
    <row r="362" spans="2:8" x14ac:dyDescent="0.35">
      <c r="B362" s="31" t="s">
        <v>868</v>
      </c>
      <c r="C362" s="29">
        <v>82800</v>
      </c>
      <c r="D362" s="46" t="str">
        <f t="shared" si="25"/>
        <v>Consumer Sales Tooling 201811</v>
      </c>
      <c r="E362" s="43" t="str">
        <f t="shared" si="26"/>
        <v>Consumer Sales Tooling</v>
      </c>
      <c r="F362" s="47" t="str">
        <f t="shared" si="27"/>
        <v>11</v>
      </c>
      <c r="G362" s="47" t="str">
        <f t="shared" si="28"/>
        <v>2018</v>
      </c>
      <c r="H362" s="40">
        <f t="shared" si="29"/>
        <v>82800</v>
      </c>
    </row>
    <row r="363" spans="2:8" x14ac:dyDescent="0.35">
      <c r="B363" s="31" t="s">
        <v>869</v>
      </c>
      <c r="C363" s="29">
        <v>18734.961599999999</v>
      </c>
      <c r="D363" s="46" t="str">
        <f t="shared" si="25"/>
        <v>Electronics Sales 201811</v>
      </c>
      <c r="E363" s="43" t="str">
        <f t="shared" si="26"/>
        <v>Electronics Sales</v>
      </c>
      <c r="F363" s="47" t="str">
        <f t="shared" si="27"/>
        <v>11</v>
      </c>
      <c r="G363" s="47" t="str">
        <f t="shared" si="28"/>
        <v>2018</v>
      </c>
      <c r="H363" s="40">
        <f t="shared" si="29"/>
        <v>18734.961599999999</v>
      </c>
    </row>
    <row r="364" spans="2:8" x14ac:dyDescent="0.35">
      <c r="B364" s="31" t="s">
        <v>870</v>
      </c>
      <c r="C364" s="29">
        <v>0</v>
      </c>
      <c r="D364" s="46" t="str">
        <f t="shared" si="25"/>
        <v>Electronics Sales Tooling 201811</v>
      </c>
      <c r="E364" s="43" t="str">
        <f t="shared" si="26"/>
        <v>Electronics Sales Tooling</v>
      </c>
      <c r="F364" s="47" t="str">
        <f t="shared" si="27"/>
        <v>11</v>
      </c>
      <c r="G364" s="47" t="str">
        <f t="shared" si="28"/>
        <v>2018</v>
      </c>
      <c r="H364" s="40">
        <f t="shared" si="29"/>
        <v>0</v>
      </c>
    </row>
    <row r="365" spans="2:8" x14ac:dyDescent="0.35">
      <c r="B365" s="31" t="s">
        <v>871</v>
      </c>
      <c r="C365" s="29">
        <v>0</v>
      </c>
      <c r="D365" s="46" t="str">
        <f t="shared" si="25"/>
        <v>Mechanic Sales 201811</v>
      </c>
      <c r="E365" s="43" t="str">
        <f t="shared" si="26"/>
        <v>Mechanic Sales</v>
      </c>
      <c r="F365" s="47" t="str">
        <f t="shared" si="27"/>
        <v>11</v>
      </c>
      <c r="G365" s="47" t="str">
        <f t="shared" si="28"/>
        <v>2018</v>
      </c>
      <c r="H365" s="40">
        <f t="shared" si="29"/>
        <v>0</v>
      </c>
    </row>
    <row r="366" spans="2:8" x14ac:dyDescent="0.35">
      <c r="B366" s="31" t="s">
        <v>872</v>
      </c>
      <c r="C366" s="29">
        <v>0</v>
      </c>
      <c r="D366" s="46" t="str">
        <f t="shared" si="25"/>
        <v>Mechanic Sales Tooling 201811</v>
      </c>
      <c r="E366" s="43" t="str">
        <f t="shared" si="26"/>
        <v>Mechanic Sales Tooling</v>
      </c>
      <c r="F366" s="47" t="str">
        <f t="shared" si="27"/>
        <v>11</v>
      </c>
      <c r="G366" s="47" t="str">
        <f t="shared" si="28"/>
        <v>2018</v>
      </c>
      <c r="H366" s="40">
        <f t="shared" si="29"/>
        <v>0</v>
      </c>
    </row>
    <row r="367" spans="2:8" x14ac:dyDescent="0.35">
      <c r="B367" s="31" t="s">
        <v>873</v>
      </c>
      <c r="C367" s="29">
        <v>0</v>
      </c>
      <c r="D367" s="46" t="str">
        <f t="shared" si="25"/>
        <v>Non Operating sales201811</v>
      </c>
      <c r="E367" s="43" t="str">
        <f t="shared" si="26"/>
        <v>Non Operating sale</v>
      </c>
      <c r="F367" s="47" t="str">
        <f t="shared" si="27"/>
        <v>11</v>
      </c>
      <c r="G367" s="47" t="str">
        <f t="shared" si="28"/>
        <v>2018</v>
      </c>
      <c r="H367" s="40">
        <f t="shared" si="29"/>
        <v>0</v>
      </c>
    </row>
    <row r="368" spans="2:8" x14ac:dyDescent="0.35">
      <c r="B368" s="31" t="s">
        <v>874</v>
      </c>
      <c r="C368" s="29">
        <v>16887.014999999999</v>
      </c>
      <c r="D368" s="46" t="str">
        <f t="shared" si="25"/>
        <v>Partner Sales 201811</v>
      </c>
      <c r="E368" s="43" t="str">
        <f t="shared" si="26"/>
        <v>Partner Sales</v>
      </c>
      <c r="F368" s="47" t="str">
        <f t="shared" si="27"/>
        <v>11</v>
      </c>
      <c r="G368" s="47" t="str">
        <f t="shared" si="28"/>
        <v>2018</v>
      </c>
      <c r="H368" s="40">
        <f t="shared" si="29"/>
        <v>16887.014999999999</v>
      </c>
    </row>
    <row r="369" spans="2:8" x14ac:dyDescent="0.35">
      <c r="B369" s="31" t="s">
        <v>875</v>
      </c>
      <c r="C369" s="29">
        <v>0</v>
      </c>
      <c r="D369" s="46" t="str">
        <f t="shared" si="25"/>
        <v>Partner Sales Tooling 201811</v>
      </c>
      <c r="E369" s="43" t="str">
        <f t="shared" si="26"/>
        <v>Partner Sales Tooling</v>
      </c>
      <c r="F369" s="47" t="str">
        <f t="shared" si="27"/>
        <v>11</v>
      </c>
      <c r="G369" s="47" t="str">
        <f t="shared" si="28"/>
        <v>2018</v>
      </c>
      <c r="H369" s="40">
        <f t="shared" si="29"/>
        <v>0</v>
      </c>
    </row>
    <row r="370" spans="2:8" x14ac:dyDescent="0.35">
      <c r="B370" s="31" t="s">
        <v>876</v>
      </c>
      <c r="C370" s="29">
        <v>-1793.0919999999999</v>
      </c>
      <c r="D370" s="46" t="str">
        <f t="shared" si="25"/>
        <v>Sales - Discounts 201811</v>
      </c>
      <c r="E370" s="43" t="str">
        <f t="shared" si="26"/>
        <v>Sales - Discounts</v>
      </c>
      <c r="F370" s="47" t="str">
        <f t="shared" si="27"/>
        <v>11</v>
      </c>
      <c r="G370" s="47" t="str">
        <f t="shared" si="28"/>
        <v>2018</v>
      </c>
      <c r="H370" s="40">
        <f t="shared" si="29"/>
        <v>-1793.0919999999999</v>
      </c>
    </row>
    <row r="371" spans="2:8" x14ac:dyDescent="0.35">
      <c r="B371" s="31" t="s">
        <v>877</v>
      </c>
      <c r="C371" s="29">
        <v>107.54430000000002</v>
      </c>
      <c r="D371" s="46" t="str">
        <f t="shared" si="25"/>
        <v>Sales - Freight Out 201811</v>
      </c>
      <c r="E371" s="43" t="str">
        <f t="shared" si="26"/>
        <v>Sales - Freight Out</v>
      </c>
      <c r="F371" s="47" t="str">
        <f t="shared" si="27"/>
        <v>11</v>
      </c>
      <c r="G371" s="47" t="str">
        <f t="shared" si="28"/>
        <v>2018</v>
      </c>
      <c r="H371" s="40">
        <f t="shared" si="29"/>
        <v>107.54430000000002</v>
      </c>
    </row>
    <row r="372" spans="2:8" x14ac:dyDescent="0.35">
      <c r="B372" s="31" t="s">
        <v>878</v>
      </c>
      <c r="C372" s="29">
        <v>-9672.3625000000011</v>
      </c>
      <c r="D372" s="46" t="str">
        <f t="shared" si="25"/>
        <v>Sales - Returns 201811</v>
      </c>
      <c r="E372" s="43" t="str">
        <f t="shared" si="26"/>
        <v>Sales - Returns</v>
      </c>
      <c r="F372" s="47" t="str">
        <f t="shared" si="27"/>
        <v>11</v>
      </c>
      <c r="G372" s="47" t="str">
        <f t="shared" si="28"/>
        <v>2018</v>
      </c>
      <c r="H372" s="40">
        <f t="shared" si="29"/>
        <v>-9672.3625000000011</v>
      </c>
    </row>
    <row r="373" spans="2:8" x14ac:dyDescent="0.35">
      <c r="B373" s="31" t="s">
        <v>879</v>
      </c>
      <c r="C373" s="29">
        <v>204786.11009999999</v>
      </c>
      <c r="D373" s="46" t="str">
        <f t="shared" si="25"/>
        <v>Automotive Sales 201812</v>
      </c>
      <c r="E373" s="43" t="str">
        <f t="shared" si="26"/>
        <v>Automotive Sales</v>
      </c>
      <c r="F373" s="47" t="str">
        <f t="shared" si="27"/>
        <v>12</v>
      </c>
      <c r="G373" s="47" t="str">
        <f t="shared" si="28"/>
        <v>2018</v>
      </c>
      <c r="H373" s="40">
        <f t="shared" si="29"/>
        <v>204786.11009999999</v>
      </c>
    </row>
    <row r="374" spans="2:8" x14ac:dyDescent="0.35">
      <c r="B374" s="31" t="s">
        <v>880</v>
      </c>
      <c r="C374" s="29">
        <v>0</v>
      </c>
      <c r="D374" s="46" t="str">
        <f t="shared" si="25"/>
        <v>Automotive Sales Tooling 201812</v>
      </c>
      <c r="E374" s="43" t="str">
        <f t="shared" si="26"/>
        <v>Automotive Sales Tooling</v>
      </c>
      <c r="F374" s="47" t="str">
        <f t="shared" si="27"/>
        <v>12</v>
      </c>
      <c r="G374" s="47" t="str">
        <f t="shared" si="28"/>
        <v>2018</v>
      </c>
      <c r="H374" s="40">
        <f t="shared" si="29"/>
        <v>0</v>
      </c>
    </row>
    <row r="375" spans="2:8" x14ac:dyDescent="0.35">
      <c r="B375" s="31" t="s">
        <v>881</v>
      </c>
      <c r="C375" s="29">
        <v>924832.49680000008</v>
      </c>
      <c r="D375" s="46" t="str">
        <f t="shared" si="25"/>
        <v>Bulk Sales 201812</v>
      </c>
      <c r="E375" s="43" t="str">
        <f t="shared" si="26"/>
        <v>Bulk Sales</v>
      </c>
      <c r="F375" s="47" t="str">
        <f t="shared" si="27"/>
        <v>12</v>
      </c>
      <c r="G375" s="47" t="str">
        <f t="shared" si="28"/>
        <v>2018</v>
      </c>
      <c r="H375" s="40">
        <f t="shared" si="29"/>
        <v>924832.49680000008</v>
      </c>
    </row>
    <row r="376" spans="2:8" x14ac:dyDescent="0.35">
      <c r="B376" s="31" t="s">
        <v>882</v>
      </c>
      <c r="C376" s="29">
        <v>168501.6</v>
      </c>
      <c r="D376" s="46" t="str">
        <f t="shared" si="25"/>
        <v>Bulk Sales Tooling 201812</v>
      </c>
      <c r="E376" s="43" t="str">
        <f t="shared" si="26"/>
        <v>Bulk Sales Tooling</v>
      </c>
      <c r="F376" s="47" t="str">
        <f t="shared" si="27"/>
        <v>12</v>
      </c>
      <c r="G376" s="47" t="str">
        <f t="shared" si="28"/>
        <v>2018</v>
      </c>
      <c r="H376" s="40">
        <f t="shared" si="29"/>
        <v>168501.6</v>
      </c>
    </row>
    <row r="377" spans="2:8" x14ac:dyDescent="0.35">
      <c r="B377" s="31" t="s">
        <v>883</v>
      </c>
      <c r="C377" s="29">
        <v>492990.54799999995</v>
      </c>
      <c r="D377" s="46" t="str">
        <f t="shared" si="25"/>
        <v>Consumer Sales 201812</v>
      </c>
      <c r="E377" s="43" t="str">
        <f t="shared" si="26"/>
        <v>Consumer Sales</v>
      </c>
      <c r="F377" s="47" t="str">
        <f t="shared" si="27"/>
        <v>12</v>
      </c>
      <c r="G377" s="47" t="str">
        <f t="shared" si="28"/>
        <v>2018</v>
      </c>
      <c r="H377" s="40">
        <f t="shared" si="29"/>
        <v>492990.54799999995</v>
      </c>
    </row>
    <row r="378" spans="2:8" x14ac:dyDescent="0.35">
      <c r="B378" s="31" t="s">
        <v>884</v>
      </c>
      <c r="C378" s="29">
        <v>0</v>
      </c>
      <c r="D378" s="46" t="str">
        <f t="shared" si="25"/>
        <v>Consumer Sales Tooling 201812</v>
      </c>
      <c r="E378" s="43" t="str">
        <f t="shared" si="26"/>
        <v>Consumer Sales Tooling</v>
      </c>
      <c r="F378" s="47" t="str">
        <f t="shared" si="27"/>
        <v>12</v>
      </c>
      <c r="G378" s="47" t="str">
        <f t="shared" si="28"/>
        <v>2018</v>
      </c>
      <c r="H378" s="40">
        <f t="shared" si="29"/>
        <v>0</v>
      </c>
    </row>
    <row r="379" spans="2:8" x14ac:dyDescent="0.35">
      <c r="B379" s="31" t="s">
        <v>885</v>
      </c>
      <c r="C379" s="29">
        <v>13147.199999999999</v>
      </c>
      <c r="D379" s="46" t="str">
        <f t="shared" si="25"/>
        <v>Electronics Sales 201812</v>
      </c>
      <c r="E379" s="43" t="str">
        <f t="shared" si="26"/>
        <v>Electronics Sales</v>
      </c>
      <c r="F379" s="47" t="str">
        <f t="shared" si="27"/>
        <v>12</v>
      </c>
      <c r="G379" s="47" t="str">
        <f t="shared" si="28"/>
        <v>2018</v>
      </c>
      <c r="H379" s="40">
        <f t="shared" si="29"/>
        <v>13147.199999999999</v>
      </c>
    </row>
    <row r="380" spans="2:8" x14ac:dyDescent="0.35">
      <c r="B380" s="31" t="s">
        <v>886</v>
      </c>
      <c r="C380" s="29">
        <v>0</v>
      </c>
      <c r="D380" s="46" t="str">
        <f t="shared" si="25"/>
        <v>Electronics Sales Tooling 201812</v>
      </c>
      <c r="E380" s="43" t="str">
        <f t="shared" si="26"/>
        <v>Electronics Sales Tooling</v>
      </c>
      <c r="F380" s="47" t="str">
        <f t="shared" si="27"/>
        <v>12</v>
      </c>
      <c r="G380" s="47" t="str">
        <f t="shared" si="28"/>
        <v>2018</v>
      </c>
      <c r="H380" s="40">
        <f t="shared" si="29"/>
        <v>0</v>
      </c>
    </row>
    <row r="381" spans="2:8" x14ac:dyDescent="0.35">
      <c r="B381" s="31" t="s">
        <v>887</v>
      </c>
      <c r="C381" s="29">
        <v>28875.149999999998</v>
      </c>
      <c r="D381" s="46" t="str">
        <f t="shared" si="25"/>
        <v>Mechanic Sales 201812</v>
      </c>
      <c r="E381" s="43" t="str">
        <f t="shared" si="26"/>
        <v>Mechanic Sales</v>
      </c>
      <c r="F381" s="47" t="str">
        <f t="shared" si="27"/>
        <v>12</v>
      </c>
      <c r="G381" s="47" t="str">
        <f t="shared" si="28"/>
        <v>2018</v>
      </c>
      <c r="H381" s="40">
        <f t="shared" si="29"/>
        <v>28875.149999999998</v>
      </c>
    </row>
    <row r="382" spans="2:8" x14ac:dyDescent="0.35">
      <c r="B382" s="31" t="s">
        <v>888</v>
      </c>
      <c r="C382" s="29">
        <v>11711.46</v>
      </c>
      <c r="D382" s="46" t="str">
        <f t="shared" si="25"/>
        <v>Mechanic Sales Tooling 201812</v>
      </c>
      <c r="E382" s="43" t="str">
        <f t="shared" si="26"/>
        <v>Mechanic Sales Tooling</v>
      </c>
      <c r="F382" s="47" t="str">
        <f t="shared" si="27"/>
        <v>12</v>
      </c>
      <c r="G382" s="47" t="str">
        <f t="shared" si="28"/>
        <v>2018</v>
      </c>
      <c r="H382" s="40">
        <f t="shared" si="29"/>
        <v>11711.46</v>
      </c>
    </row>
    <row r="383" spans="2:8" x14ac:dyDescent="0.35">
      <c r="B383" s="31" t="s">
        <v>889</v>
      </c>
      <c r="C383" s="29">
        <v>0</v>
      </c>
      <c r="D383" s="46" t="str">
        <f t="shared" si="25"/>
        <v>Non Operating sales201812</v>
      </c>
      <c r="E383" s="43" t="str">
        <f t="shared" si="26"/>
        <v>Non Operating sale</v>
      </c>
      <c r="F383" s="47" t="str">
        <f t="shared" si="27"/>
        <v>12</v>
      </c>
      <c r="G383" s="47" t="str">
        <f t="shared" si="28"/>
        <v>2018</v>
      </c>
      <c r="H383" s="40">
        <f t="shared" si="29"/>
        <v>0</v>
      </c>
    </row>
    <row r="384" spans="2:8" x14ac:dyDescent="0.35">
      <c r="B384" s="31" t="s">
        <v>890</v>
      </c>
      <c r="C384" s="29">
        <v>102819.74099999999</v>
      </c>
      <c r="D384" s="46" t="str">
        <f t="shared" si="25"/>
        <v>Partner Sales 201812</v>
      </c>
      <c r="E384" s="43" t="str">
        <f t="shared" si="26"/>
        <v>Partner Sales</v>
      </c>
      <c r="F384" s="47" t="str">
        <f t="shared" si="27"/>
        <v>12</v>
      </c>
      <c r="G384" s="47" t="str">
        <f t="shared" si="28"/>
        <v>2018</v>
      </c>
      <c r="H384" s="40">
        <f t="shared" si="29"/>
        <v>102819.74099999999</v>
      </c>
    </row>
    <row r="385" spans="2:8" x14ac:dyDescent="0.35">
      <c r="B385" s="31" t="s">
        <v>891</v>
      </c>
      <c r="C385" s="29">
        <v>89977.5</v>
      </c>
      <c r="D385" s="46" t="str">
        <f t="shared" si="25"/>
        <v>Partner Sales Tooling 201812</v>
      </c>
      <c r="E385" s="43" t="str">
        <f t="shared" si="26"/>
        <v>Partner Sales Tooling</v>
      </c>
      <c r="F385" s="47" t="str">
        <f t="shared" si="27"/>
        <v>12</v>
      </c>
      <c r="G385" s="47" t="str">
        <f t="shared" si="28"/>
        <v>2018</v>
      </c>
      <c r="H385" s="40">
        <f t="shared" si="29"/>
        <v>89977.5</v>
      </c>
    </row>
    <row r="386" spans="2:8" x14ac:dyDescent="0.35">
      <c r="B386" s="31" t="s">
        <v>892</v>
      </c>
      <c r="C386" s="29">
        <v>2440.6339999999996</v>
      </c>
      <c r="D386" s="46" t="str">
        <f t="shared" si="25"/>
        <v>Sales - Discounts 201812</v>
      </c>
      <c r="E386" s="43" t="str">
        <f t="shared" si="26"/>
        <v>Sales - Discounts</v>
      </c>
      <c r="F386" s="47" t="str">
        <f t="shared" si="27"/>
        <v>12</v>
      </c>
      <c r="G386" s="47" t="str">
        <f t="shared" si="28"/>
        <v>2018</v>
      </c>
      <c r="H386" s="40">
        <f t="shared" si="29"/>
        <v>2440.6339999999996</v>
      </c>
    </row>
    <row r="387" spans="2:8" x14ac:dyDescent="0.35">
      <c r="B387" s="31" t="s">
        <v>893</v>
      </c>
      <c r="C387" s="29">
        <v>137.92970000000003</v>
      </c>
      <c r="D387" s="46" t="str">
        <f t="shared" si="25"/>
        <v>Sales - Freight Out 201812</v>
      </c>
      <c r="E387" s="43" t="str">
        <f t="shared" si="26"/>
        <v>Sales - Freight Out</v>
      </c>
      <c r="F387" s="47" t="str">
        <f t="shared" si="27"/>
        <v>12</v>
      </c>
      <c r="G387" s="47" t="str">
        <f t="shared" si="28"/>
        <v>2018</v>
      </c>
      <c r="H387" s="40">
        <f t="shared" si="29"/>
        <v>137.92970000000003</v>
      </c>
    </row>
    <row r="388" spans="2:8" x14ac:dyDescent="0.35">
      <c r="B388" s="31" t="s">
        <v>894</v>
      </c>
      <c r="C388" s="29">
        <v>-12637.5</v>
      </c>
      <c r="D388" s="46" t="str">
        <f t="shared" si="25"/>
        <v>Sales - Returns 201812</v>
      </c>
      <c r="E388" s="43" t="str">
        <f t="shared" si="26"/>
        <v>Sales - Returns</v>
      </c>
      <c r="F388" s="47" t="str">
        <f t="shared" si="27"/>
        <v>12</v>
      </c>
      <c r="G388" s="47" t="str">
        <f t="shared" si="28"/>
        <v>2018</v>
      </c>
      <c r="H388" s="40">
        <f t="shared" si="29"/>
        <v>-12637.5</v>
      </c>
    </row>
    <row r="389" spans="2:8" x14ac:dyDescent="0.35">
      <c r="B389" s="31" t="s">
        <v>895</v>
      </c>
      <c r="C389" s="29">
        <v>639781.64249999996</v>
      </c>
      <c r="D389" s="46" t="str">
        <f t="shared" si="25"/>
        <v>Automotive Sales 201701</v>
      </c>
      <c r="E389" s="43" t="str">
        <f t="shared" si="26"/>
        <v>Automotive Sales</v>
      </c>
      <c r="F389" s="47" t="str">
        <f t="shared" si="27"/>
        <v>01</v>
      </c>
      <c r="G389" s="47" t="str">
        <f t="shared" si="28"/>
        <v>2017</v>
      </c>
      <c r="H389" s="40">
        <f t="shared" si="29"/>
        <v>639781.64249999996</v>
      </c>
    </row>
    <row r="390" spans="2:8" x14ac:dyDescent="0.35">
      <c r="B390" s="31" t="s">
        <v>896</v>
      </c>
      <c r="C390" s="29">
        <v>4662.6432000000004</v>
      </c>
      <c r="D390" s="46" t="str">
        <f t="shared" ref="D390:D453" si="30">TRIM(B390)</f>
        <v>Automotive Sales Tooling 201701</v>
      </c>
      <c r="E390" s="43" t="str">
        <f t="shared" ref="E390:E453" si="31">LEFT(D390,LEN(D390)-7)</f>
        <v>Automotive Sales Tooling</v>
      </c>
      <c r="F390" s="47" t="str">
        <f t="shared" ref="F390:F453" si="32">RIGHT(D390,2)</f>
        <v>01</v>
      </c>
      <c r="G390" s="47" t="str">
        <f t="shared" ref="G390:G453" si="33">RIGHT(LEFT(D390,LEN(D390)-2),4)</f>
        <v>2017</v>
      </c>
      <c r="H390" s="40">
        <f t="shared" ref="H390:H453" si="34">C390</f>
        <v>4662.6432000000004</v>
      </c>
    </row>
    <row r="391" spans="2:8" x14ac:dyDescent="0.35">
      <c r="B391" s="31" t="s">
        <v>897</v>
      </c>
      <c r="C391" s="29">
        <v>677494.70140000002</v>
      </c>
      <c r="D391" s="46" t="str">
        <f t="shared" si="30"/>
        <v>Bulk Sales 201701</v>
      </c>
      <c r="E391" s="43" t="str">
        <f t="shared" si="31"/>
        <v>Bulk Sales</v>
      </c>
      <c r="F391" s="47" t="str">
        <f t="shared" si="32"/>
        <v>01</v>
      </c>
      <c r="G391" s="47" t="str">
        <f t="shared" si="33"/>
        <v>2017</v>
      </c>
      <c r="H391" s="40">
        <f t="shared" si="34"/>
        <v>677494.70140000002</v>
      </c>
    </row>
    <row r="392" spans="2:8" x14ac:dyDescent="0.35">
      <c r="B392" s="31" t="s">
        <v>898</v>
      </c>
      <c r="C392" s="29">
        <v>7200</v>
      </c>
      <c r="D392" s="46" t="str">
        <f t="shared" si="30"/>
        <v>Bulk Sales Tooling 201701</v>
      </c>
      <c r="E392" s="43" t="str">
        <f t="shared" si="31"/>
        <v>Bulk Sales Tooling</v>
      </c>
      <c r="F392" s="47" t="str">
        <f t="shared" si="32"/>
        <v>01</v>
      </c>
      <c r="G392" s="47" t="str">
        <f t="shared" si="33"/>
        <v>2017</v>
      </c>
      <c r="H392" s="40">
        <f t="shared" si="34"/>
        <v>7200</v>
      </c>
    </row>
    <row r="393" spans="2:8" x14ac:dyDescent="0.35">
      <c r="B393" s="31" t="s">
        <v>899</v>
      </c>
      <c r="C393" s="29">
        <v>453225.39919999993</v>
      </c>
      <c r="D393" s="46" t="str">
        <f t="shared" si="30"/>
        <v>Consumer Sales 201701</v>
      </c>
      <c r="E393" s="43" t="str">
        <f t="shared" si="31"/>
        <v>Consumer Sales</v>
      </c>
      <c r="F393" s="47" t="str">
        <f t="shared" si="32"/>
        <v>01</v>
      </c>
      <c r="G393" s="47" t="str">
        <f t="shared" si="33"/>
        <v>2017</v>
      </c>
      <c r="H393" s="40">
        <f t="shared" si="34"/>
        <v>453225.39919999993</v>
      </c>
    </row>
    <row r="394" spans="2:8" x14ac:dyDescent="0.35">
      <c r="B394" s="31" t="s">
        <v>900</v>
      </c>
      <c r="C394" s="29">
        <v>96415.2</v>
      </c>
      <c r="D394" s="46" t="str">
        <f t="shared" si="30"/>
        <v>Consumer Sales Tooling 201701</v>
      </c>
      <c r="E394" s="43" t="str">
        <f t="shared" si="31"/>
        <v>Consumer Sales Tooling</v>
      </c>
      <c r="F394" s="47" t="str">
        <f t="shared" si="32"/>
        <v>01</v>
      </c>
      <c r="G394" s="47" t="str">
        <f t="shared" si="33"/>
        <v>2017</v>
      </c>
      <c r="H394" s="40">
        <f t="shared" si="34"/>
        <v>96415.2</v>
      </c>
    </row>
    <row r="395" spans="2:8" x14ac:dyDescent="0.35">
      <c r="B395" s="31" t="s">
        <v>901</v>
      </c>
      <c r="C395" s="29">
        <v>53991.705599999994</v>
      </c>
      <c r="D395" s="46" t="str">
        <f t="shared" si="30"/>
        <v>Electronics Sales 201701</v>
      </c>
      <c r="E395" s="43" t="str">
        <f t="shared" si="31"/>
        <v>Electronics Sales</v>
      </c>
      <c r="F395" s="47" t="str">
        <f t="shared" si="32"/>
        <v>01</v>
      </c>
      <c r="G395" s="47" t="str">
        <f t="shared" si="33"/>
        <v>2017</v>
      </c>
      <c r="H395" s="40">
        <f t="shared" si="34"/>
        <v>53991.705599999994</v>
      </c>
    </row>
    <row r="396" spans="2:8" x14ac:dyDescent="0.35">
      <c r="B396" s="31" t="s">
        <v>902</v>
      </c>
      <c r="C396" s="29">
        <v>14211.999999999998</v>
      </c>
      <c r="D396" s="46" t="str">
        <f t="shared" si="30"/>
        <v>Electronics Sales Tooling 201701</v>
      </c>
      <c r="E396" s="43" t="str">
        <f t="shared" si="31"/>
        <v>Electronics Sales Tooling</v>
      </c>
      <c r="F396" s="47" t="str">
        <f t="shared" si="32"/>
        <v>01</v>
      </c>
      <c r="G396" s="47" t="str">
        <f t="shared" si="33"/>
        <v>2017</v>
      </c>
      <c r="H396" s="40">
        <f t="shared" si="34"/>
        <v>14211.999999999998</v>
      </c>
    </row>
    <row r="397" spans="2:8" x14ac:dyDescent="0.35">
      <c r="B397" s="31" t="s">
        <v>903</v>
      </c>
      <c r="C397" s="29">
        <v>0</v>
      </c>
      <c r="D397" s="46" t="str">
        <f t="shared" si="30"/>
        <v>Mechanic Sales 201701</v>
      </c>
      <c r="E397" s="43" t="str">
        <f t="shared" si="31"/>
        <v>Mechanic Sales</v>
      </c>
      <c r="F397" s="47" t="str">
        <f t="shared" si="32"/>
        <v>01</v>
      </c>
      <c r="G397" s="47" t="str">
        <f t="shared" si="33"/>
        <v>2017</v>
      </c>
      <c r="H397" s="40">
        <f t="shared" si="34"/>
        <v>0</v>
      </c>
    </row>
    <row r="398" spans="2:8" x14ac:dyDescent="0.35">
      <c r="B398" s="31" t="s">
        <v>904</v>
      </c>
      <c r="C398" s="29">
        <v>4230</v>
      </c>
      <c r="D398" s="46" t="str">
        <f t="shared" si="30"/>
        <v>Mechanic Sales Tooling 201701</v>
      </c>
      <c r="E398" s="43" t="str">
        <f t="shared" si="31"/>
        <v>Mechanic Sales Tooling</v>
      </c>
      <c r="F398" s="47" t="str">
        <f t="shared" si="32"/>
        <v>01</v>
      </c>
      <c r="G398" s="47" t="str">
        <f t="shared" si="33"/>
        <v>2017</v>
      </c>
      <c r="H398" s="40">
        <f t="shared" si="34"/>
        <v>4230</v>
      </c>
    </row>
    <row r="399" spans="2:8" x14ac:dyDescent="0.35">
      <c r="B399" s="31" t="s">
        <v>905</v>
      </c>
      <c r="C399" s="29">
        <v>0</v>
      </c>
      <c r="D399" s="46" t="str">
        <f t="shared" si="30"/>
        <v>Non Operating sales201701</v>
      </c>
      <c r="E399" s="43" t="str">
        <f t="shared" si="31"/>
        <v>Non Operating sale</v>
      </c>
      <c r="F399" s="47" t="str">
        <f t="shared" si="32"/>
        <v>01</v>
      </c>
      <c r="G399" s="47" t="str">
        <f t="shared" si="33"/>
        <v>2017</v>
      </c>
      <c r="H399" s="40">
        <f t="shared" si="34"/>
        <v>0</v>
      </c>
    </row>
    <row r="400" spans="2:8" x14ac:dyDescent="0.35">
      <c r="B400" s="31" t="s">
        <v>906</v>
      </c>
      <c r="C400" s="29">
        <v>295933.4792</v>
      </c>
      <c r="D400" s="46" t="str">
        <f t="shared" si="30"/>
        <v>Partner Sales 201701</v>
      </c>
      <c r="E400" s="43" t="str">
        <f t="shared" si="31"/>
        <v>Partner Sales</v>
      </c>
      <c r="F400" s="47" t="str">
        <f t="shared" si="32"/>
        <v>01</v>
      </c>
      <c r="G400" s="47" t="str">
        <f t="shared" si="33"/>
        <v>2017</v>
      </c>
      <c r="H400" s="40">
        <f t="shared" si="34"/>
        <v>295933.4792</v>
      </c>
    </row>
    <row r="401" spans="2:8" x14ac:dyDescent="0.35">
      <c r="B401" s="31" t="s">
        <v>907</v>
      </c>
      <c r="C401" s="29">
        <v>9560.7533999999978</v>
      </c>
      <c r="D401" s="46" t="str">
        <f t="shared" si="30"/>
        <v>Partner Sales Tooling 201701</v>
      </c>
      <c r="E401" s="43" t="str">
        <f t="shared" si="31"/>
        <v>Partner Sales Tooling</v>
      </c>
      <c r="F401" s="47" t="str">
        <f t="shared" si="32"/>
        <v>01</v>
      </c>
      <c r="G401" s="47" t="str">
        <f t="shared" si="33"/>
        <v>2017</v>
      </c>
      <c r="H401" s="40">
        <f t="shared" si="34"/>
        <v>9560.7533999999978</v>
      </c>
    </row>
    <row r="402" spans="2:8" x14ac:dyDescent="0.35">
      <c r="B402" s="31" t="s">
        <v>908</v>
      </c>
      <c r="C402" s="29">
        <v>-3916.2059999999997</v>
      </c>
      <c r="D402" s="46" t="str">
        <f t="shared" si="30"/>
        <v>Sales - Discounts 201701</v>
      </c>
      <c r="E402" s="43" t="str">
        <f t="shared" si="31"/>
        <v>Sales - Discounts</v>
      </c>
      <c r="F402" s="47" t="str">
        <f t="shared" si="32"/>
        <v>01</v>
      </c>
      <c r="G402" s="47" t="str">
        <f t="shared" si="33"/>
        <v>2017</v>
      </c>
      <c r="H402" s="40">
        <f t="shared" si="34"/>
        <v>-3916.2059999999997</v>
      </c>
    </row>
    <row r="403" spans="2:8" x14ac:dyDescent="0.35">
      <c r="B403" s="31" t="s">
        <v>909</v>
      </c>
      <c r="C403" s="29">
        <v>446.81550000000004</v>
      </c>
      <c r="D403" s="46" t="str">
        <f t="shared" si="30"/>
        <v>Sales - Freight Out 201701</v>
      </c>
      <c r="E403" s="43" t="str">
        <f t="shared" si="31"/>
        <v>Sales - Freight Out</v>
      </c>
      <c r="F403" s="47" t="str">
        <f t="shared" si="32"/>
        <v>01</v>
      </c>
      <c r="G403" s="47" t="str">
        <f t="shared" si="33"/>
        <v>2017</v>
      </c>
      <c r="H403" s="40">
        <f t="shared" si="34"/>
        <v>446.81550000000004</v>
      </c>
    </row>
    <row r="404" spans="2:8" x14ac:dyDescent="0.35">
      <c r="B404" s="31" t="s">
        <v>910</v>
      </c>
      <c r="C404" s="29">
        <v>-18431.787499999999</v>
      </c>
      <c r="D404" s="46" t="str">
        <f t="shared" si="30"/>
        <v>Sales - Returns 201701</v>
      </c>
      <c r="E404" s="43" t="str">
        <f t="shared" si="31"/>
        <v>Sales - Returns</v>
      </c>
      <c r="F404" s="47" t="str">
        <f t="shared" si="32"/>
        <v>01</v>
      </c>
      <c r="G404" s="47" t="str">
        <f t="shared" si="33"/>
        <v>2017</v>
      </c>
      <c r="H404" s="40">
        <f t="shared" si="34"/>
        <v>-18431.787499999999</v>
      </c>
    </row>
    <row r="405" spans="2:8" x14ac:dyDescent="0.35">
      <c r="B405" s="31" t="s">
        <v>911</v>
      </c>
      <c r="C405" s="29">
        <v>461717.8566</v>
      </c>
      <c r="D405" s="46" t="str">
        <f t="shared" si="30"/>
        <v>Automotive Sales 201702</v>
      </c>
      <c r="E405" s="43" t="str">
        <f t="shared" si="31"/>
        <v>Automotive Sales</v>
      </c>
      <c r="F405" s="47" t="str">
        <f t="shared" si="32"/>
        <v>02</v>
      </c>
      <c r="G405" s="47" t="str">
        <f t="shared" si="33"/>
        <v>2017</v>
      </c>
      <c r="H405" s="40">
        <f t="shared" si="34"/>
        <v>461717.8566</v>
      </c>
    </row>
    <row r="406" spans="2:8" x14ac:dyDescent="0.35">
      <c r="B406" s="31" t="s">
        <v>912</v>
      </c>
      <c r="C406" s="29">
        <v>93216.251600000003</v>
      </c>
      <c r="D406" s="46" t="str">
        <f t="shared" si="30"/>
        <v>Automotive Sales Tooling 201702</v>
      </c>
      <c r="E406" s="43" t="str">
        <f t="shared" si="31"/>
        <v>Automotive Sales Tooling</v>
      </c>
      <c r="F406" s="47" t="str">
        <f t="shared" si="32"/>
        <v>02</v>
      </c>
      <c r="G406" s="47" t="str">
        <f t="shared" si="33"/>
        <v>2017</v>
      </c>
      <c r="H406" s="40">
        <f t="shared" si="34"/>
        <v>93216.251600000003</v>
      </c>
    </row>
    <row r="407" spans="2:8" x14ac:dyDescent="0.35">
      <c r="B407" s="31" t="s">
        <v>913</v>
      </c>
      <c r="C407" s="29">
        <v>591977.73140000005</v>
      </c>
      <c r="D407" s="46" t="str">
        <f t="shared" si="30"/>
        <v>Bulk Sales 201702</v>
      </c>
      <c r="E407" s="43" t="str">
        <f t="shared" si="31"/>
        <v>Bulk Sales</v>
      </c>
      <c r="F407" s="47" t="str">
        <f t="shared" si="32"/>
        <v>02</v>
      </c>
      <c r="G407" s="47" t="str">
        <f t="shared" si="33"/>
        <v>2017</v>
      </c>
      <c r="H407" s="40">
        <f t="shared" si="34"/>
        <v>591977.73140000005</v>
      </c>
    </row>
    <row r="408" spans="2:8" x14ac:dyDescent="0.35">
      <c r="B408" s="31" t="s">
        <v>914</v>
      </c>
      <c r="C408" s="29">
        <v>100749.59999999999</v>
      </c>
      <c r="D408" s="46" t="str">
        <f t="shared" si="30"/>
        <v>Bulk Sales Tooling 201702</v>
      </c>
      <c r="E408" s="43" t="str">
        <f t="shared" si="31"/>
        <v>Bulk Sales Tooling</v>
      </c>
      <c r="F408" s="47" t="str">
        <f t="shared" si="32"/>
        <v>02</v>
      </c>
      <c r="G408" s="47" t="str">
        <f t="shared" si="33"/>
        <v>2017</v>
      </c>
      <c r="H408" s="40">
        <f t="shared" si="34"/>
        <v>100749.59999999999</v>
      </c>
    </row>
    <row r="409" spans="2:8" x14ac:dyDescent="0.35">
      <c r="B409" s="31" t="s">
        <v>915</v>
      </c>
      <c r="C409" s="29">
        <v>318911.2144</v>
      </c>
      <c r="D409" s="46" t="str">
        <f t="shared" si="30"/>
        <v>Consumer Sales 201702</v>
      </c>
      <c r="E409" s="43" t="str">
        <f t="shared" si="31"/>
        <v>Consumer Sales</v>
      </c>
      <c r="F409" s="47" t="str">
        <f t="shared" si="32"/>
        <v>02</v>
      </c>
      <c r="G409" s="47" t="str">
        <f t="shared" si="33"/>
        <v>2017</v>
      </c>
      <c r="H409" s="40">
        <f t="shared" si="34"/>
        <v>318911.2144</v>
      </c>
    </row>
    <row r="410" spans="2:8" x14ac:dyDescent="0.35">
      <c r="B410" s="31" t="s">
        <v>916</v>
      </c>
      <c r="C410" s="29">
        <v>4726.2239999999993</v>
      </c>
      <c r="D410" s="46" t="str">
        <f t="shared" si="30"/>
        <v>Consumer Sales Tooling 201702</v>
      </c>
      <c r="E410" s="43" t="str">
        <f t="shared" si="31"/>
        <v>Consumer Sales Tooling</v>
      </c>
      <c r="F410" s="47" t="str">
        <f t="shared" si="32"/>
        <v>02</v>
      </c>
      <c r="G410" s="47" t="str">
        <f t="shared" si="33"/>
        <v>2017</v>
      </c>
      <c r="H410" s="40">
        <f t="shared" si="34"/>
        <v>4726.2239999999993</v>
      </c>
    </row>
    <row r="411" spans="2:8" x14ac:dyDescent="0.35">
      <c r="B411" s="31" t="s">
        <v>917</v>
      </c>
      <c r="C411" s="29">
        <v>5018.2560000000003</v>
      </c>
      <c r="D411" s="46" t="str">
        <f t="shared" si="30"/>
        <v>Electronics Sales 201702</v>
      </c>
      <c r="E411" s="43" t="str">
        <f t="shared" si="31"/>
        <v>Electronics Sales</v>
      </c>
      <c r="F411" s="47" t="str">
        <f t="shared" si="32"/>
        <v>02</v>
      </c>
      <c r="G411" s="47" t="str">
        <f t="shared" si="33"/>
        <v>2017</v>
      </c>
      <c r="H411" s="40">
        <f t="shared" si="34"/>
        <v>5018.2560000000003</v>
      </c>
    </row>
    <row r="412" spans="2:8" x14ac:dyDescent="0.35">
      <c r="B412" s="31" t="s">
        <v>918</v>
      </c>
      <c r="C412" s="29">
        <v>0</v>
      </c>
      <c r="D412" s="46" t="str">
        <f t="shared" si="30"/>
        <v>Electronics Sales Tooling 201702</v>
      </c>
      <c r="E412" s="43" t="str">
        <f t="shared" si="31"/>
        <v>Electronics Sales Tooling</v>
      </c>
      <c r="F412" s="47" t="str">
        <f t="shared" si="32"/>
        <v>02</v>
      </c>
      <c r="G412" s="47" t="str">
        <f t="shared" si="33"/>
        <v>2017</v>
      </c>
      <c r="H412" s="40">
        <f t="shared" si="34"/>
        <v>0</v>
      </c>
    </row>
    <row r="413" spans="2:8" x14ac:dyDescent="0.35">
      <c r="B413" s="31" t="s">
        <v>919</v>
      </c>
      <c r="C413" s="29">
        <v>18326.88</v>
      </c>
      <c r="D413" s="46" t="str">
        <f t="shared" si="30"/>
        <v>Mechanic Sales 201702</v>
      </c>
      <c r="E413" s="43" t="str">
        <f t="shared" si="31"/>
        <v>Mechanic Sales</v>
      </c>
      <c r="F413" s="47" t="str">
        <f t="shared" si="32"/>
        <v>02</v>
      </c>
      <c r="G413" s="47" t="str">
        <f t="shared" si="33"/>
        <v>2017</v>
      </c>
      <c r="H413" s="40">
        <f t="shared" si="34"/>
        <v>18326.88</v>
      </c>
    </row>
    <row r="414" spans="2:8" x14ac:dyDescent="0.35">
      <c r="B414" s="31" t="s">
        <v>920</v>
      </c>
      <c r="C414" s="29">
        <v>0</v>
      </c>
      <c r="D414" s="46" t="str">
        <f t="shared" si="30"/>
        <v>Mechanic Sales Tooling 201702</v>
      </c>
      <c r="E414" s="43" t="str">
        <f t="shared" si="31"/>
        <v>Mechanic Sales Tooling</v>
      </c>
      <c r="F414" s="47" t="str">
        <f t="shared" si="32"/>
        <v>02</v>
      </c>
      <c r="G414" s="47" t="str">
        <f t="shared" si="33"/>
        <v>2017</v>
      </c>
      <c r="H414" s="40">
        <f t="shared" si="34"/>
        <v>0</v>
      </c>
    </row>
    <row r="415" spans="2:8" x14ac:dyDescent="0.35">
      <c r="B415" s="31" t="s">
        <v>921</v>
      </c>
      <c r="C415" s="29">
        <v>0</v>
      </c>
      <c r="D415" s="46" t="str">
        <f t="shared" si="30"/>
        <v>Non Operating sales201702</v>
      </c>
      <c r="E415" s="43" t="str">
        <f t="shared" si="31"/>
        <v>Non Operating sale</v>
      </c>
      <c r="F415" s="47" t="str">
        <f t="shared" si="32"/>
        <v>02</v>
      </c>
      <c r="G415" s="47" t="str">
        <f t="shared" si="33"/>
        <v>2017</v>
      </c>
      <c r="H415" s="40">
        <f t="shared" si="34"/>
        <v>0</v>
      </c>
    </row>
    <row r="416" spans="2:8" x14ac:dyDescent="0.35">
      <c r="B416" s="31" t="s">
        <v>922</v>
      </c>
      <c r="C416" s="29">
        <v>185493.07780000003</v>
      </c>
      <c r="D416" s="46" t="str">
        <f t="shared" si="30"/>
        <v>Partner Sales 201702</v>
      </c>
      <c r="E416" s="43" t="str">
        <f t="shared" si="31"/>
        <v>Partner Sales</v>
      </c>
      <c r="F416" s="47" t="str">
        <f t="shared" si="32"/>
        <v>02</v>
      </c>
      <c r="G416" s="47" t="str">
        <f t="shared" si="33"/>
        <v>2017</v>
      </c>
      <c r="H416" s="40">
        <f t="shared" si="34"/>
        <v>185493.07780000003</v>
      </c>
    </row>
    <row r="417" spans="2:8" x14ac:dyDescent="0.35">
      <c r="B417" s="31" t="s">
        <v>923</v>
      </c>
      <c r="C417" s="29">
        <v>-766.82219999999995</v>
      </c>
      <c r="D417" s="46" t="str">
        <f t="shared" si="30"/>
        <v>Partner Sales Tooling 201702</v>
      </c>
      <c r="E417" s="43" t="str">
        <f t="shared" si="31"/>
        <v>Partner Sales Tooling</v>
      </c>
      <c r="F417" s="47" t="str">
        <f t="shared" si="32"/>
        <v>02</v>
      </c>
      <c r="G417" s="47" t="str">
        <f t="shared" si="33"/>
        <v>2017</v>
      </c>
      <c r="H417" s="40">
        <f t="shared" si="34"/>
        <v>-766.82219999999995</v>
      </c>
    </row>
    <row r="418" spans="2:8" x14ac:dyDescent="0.35">
      <c r="B418" s="31" t="s">
        <v>924</v>
      </c>
      <c r="C418" s="29">
        <v>-2057.902</v>
      </c>
      <c r="D418" s="46" t="str">
        <f t="shared" si="30"/>
        <v>Sales - Discounts 201702</v>
      </c>
      <c r="E418" s="43" t="str">
        <f t="shared" si="31"/>
        <v>Sales - Discounts</v>
      </c>
      <c r="F418" s="47" t="str">
        <f t="shared" si="32"/>
        <v>02</v>
      </c>
      <c r="G418" s="47" t="str">
        <f t="shared" si="33"/>
        <v>2017</v>
      </c>
      <c r="H418" s="40">
        <f t="shared" si="34"/>
        <v>-2057.902</v>
      </c>
    </row>
    <row r="419" spans="2:8" x14ac:dyDescent="0.35">
      <c r="B419" s="31" t="s">
        <v>925</v>
      </c>
      <c r="C419" s="29">
        <v>91.281300000000016</v>
      </c>
      <c r="D419" s="46" t="str">
        <f t="shared" si="30"/>
        <v>Sales - Freight Out 201702</v>
      </c>
      <c r="E419" s="43" t="str">
        <f t="shared" si="31"/>
        <v>Sales - Freight Out</v>
      </c>
      <c r="F419" s="47" t="str">
        <f t="shared" si="32"/>
        <v>02</v>
      </c>
      <c r="G419" s="47" t="str">
        <f t="shared" si="33"/>
        <v>2017</v>
      </c>
      <c r="H419" s="40">
        <f t="shared" si="34"/>
        <v>91.281300000000016</v>
      </c>
    </row>
    <row r="420" spans="2:8" x14ac:dyDescent="0.35">
      <c r="B420" s="31" t="s">
        <v>926</v>
      </c>
      <c r="C420" s="29">
        <v>-9963.7625000000007</v>
      </c>
      <c r="D420" s="46" t="str">
        <f t="shared" si="30"/>
        <v>Sales - Returns 201702</v>
      </c>
      <c r="E420" s="43" t="str">
        <f t="shared" si="31"/>
        <v>Sales - Returns</v>
      </c>
      <c r="F420" s="47" t="str">
        <f t="shared" si="32"/>
        <v>02</v>
      </c>
      <c r="G420" s="47" t="str">
        <f t="shared" si="33"/>
        <v>2017</v>
      </c>
      <c r="H420" s="40">
        <f t="shared" si="34"/>
        <v>-9963.7625000000007</v>
      </c>
    </row>
    <row r="421" spans="2:8" x14ac:dyDescent="0.35">
      <c r="B421" s="31" t="s">
        <v>927</v>
      </c>
      <c r="C421" s="29">
        <v>483159.07639999996</v>
      </c>
      <c r="D421" s="46" t="str">
        <f t="shared" si="30"/>
        <v>Automotive Sales 201703</v>
      </c>
      <c r="E421" s="43" t="str">
        <f t="shared" si="31"/>
        <v>Automotive Sales</v>
      </c>
      <c r="F421" s="47" t="str">
        <f t="shared" si="32"/>
        <v>03</v>
      </c>
      <c r="G421" s="47" t="str">
        <f t="shared" si="33"/>
        <v>2017</v>
      </c>
      <c r="H421" s="40">
        <f t="shared" si="34"/>
        <v>483159.07639999996</v>
      </c>
    </row>
    <row r="422" spans="2:8" x14ac:dyDescent="0.35">
      <c r="B422" s="31" t="s">
        <v>928</v>
      </c>
      <c r="C422" s="29">
        <v>2899.9268000000002</v>
      </c>
      <c r="D422" s="46" t="str">
        <f t="shared" si="30"/>
        <v>Automotive Sales Tooling 201703</v>
      </c>
      <c r="E422" s="43" t="str">
        <f t="shared" si="31"/>
        <v>Automotive Sales Tooling</v>
      </c>
      <c r="F422" s="47" t="str">
        <f t="shared" si="32"/>
        <v>03</v>
      </c>
      <c r="G422" s="47" t="str">
        <f t="shared" si="33"/>
        <v>2017</v>
      </c>
      <c r="H422" s="40">
        <f t="shared" si="34"/>
        <v>2899.9268000000002</v>
      </c>
    </row>
    <row r="423" spans="2:8" x14ac:dyDescent="0.35">
      <c r="B423" s="31" t="s">
        <v>929</v>
      </c>
      <c r="C423" s="29">
        <v>835060.34759999998</v>
      </c>
      <c r="D423" s="46" t="str">
        <f t="shared" si="30"/>
        <v>Bulk Sales 201703</v>
      </c>
      <c r="E423" s="43" t="str">
        <f t="shared" si="31"/>
        <v>Bulk Sales</v>
      </c>
      <c r="F423" s="47" t="str">
        <f t="shared" si="32"/>
        <v>03</v>
      </c>
      <c r="G423" s="47" t="str">
        <f t="shared" si="33"/>
        <v>2017</v>
      </c>
      <c r="H423" s="40">
        <f t="shared" si="34"/>
        <v>835060.34759999998</v>
      </c>
    </row>
    <row r="424" spans="2:8" x14ac:dyDescent="0.35">
      <c r="B424" s="31" t="s">
        <v>930</v>
      </c>
      <c r="C424" s="29">
        <v>58068</v>
      </c>
      <c r="D424" s="46" t="str">
        <f t="shared" si="30"/>
        <v>Bulk Sales Tooling 201703</v>
      </c>
      <c r="E424" s="43" t="str">
        <f t="shared" si="31"/>
        <v>Bulk Sales Tooling</v>
      </c>
      <c r="F424" s="47" t="str">
        <f t="shared" si="32"/>
        <v>03</v>
      </c>
      <c r="G424" s="47" t="str">
        <f t="shared" si="33"/>
        <v>2017</v>
      </c>
      <c r="H424" s="40">
        <f t="shared" si="34"/>
        <v>58068</v>
      </c>
    </row>
    <row r="425" spans="2:8" x14ac:dyDescent="0.35">
      <c r="B425" s="31" t="s">
        <v>931</v>
      </c>
      <c r="C425" s="29">
        <v>460269.35599999991</v>
      </c>
      <c r="D425" s="46" t="str">
        <f t="shared" si="30"/>
        <v>Consumer Sales 201703</v>
      </c>
      <c r="E425" s="43" t="str">
        <f t="shared" si="31"/>
        <v>Consumer Sales</v>
      </c>
      <c r="F425" s="47" t="str">
        <f t="shared" si="32"/>
        <v>03</v>
      </c>
      <c r="G425" s="47" t="str">
        <f t="shared" si="33"/>
        <v>2017</v>
      </c>
      <c r="H425" s="40">
        <f t="shared" si="34"/>
        <v>460269.35599999991</v>
      </c>
    </row>
    <row r="426" spans="2:8" x14ac:dyDescent="0.35">
      <c r="B426" s="31" t="s">
        <v>932</v>
      </c>
      <c r="C426" s="29">
        <v>109225.77119999999</v>
      </c>
      <c r="D426" s="46" t="str">
        <f t="shared" si="30"/>
        <v>Consumer Sales Tooling 201703</v>
      </c>
      <c r="E426" s="43" t="str">
        <f t="shared" si="31"/>
        <v>Consumer Sales Tooling</v>
      </c>
      <c r="F426" s="47" t="str">
        <f t="shared" si="32"/>
        <v>03</v>
      </c>
      <c r="G426" s="47" t="str">
        <f t="shared" si="33"/>
        <v>2017</v>
      </c>
      <c r="H426" s="40">
        <f t="shared" si="34"/>
        <v>109225.77119999999</v>
      </c>
    </row>
    <row r="427" spans="2:8" x14ac:dyDescent="0.35">
      <c r="B427" s="31" t="s">
        <v>933</v>
      </c>
      <c r="C427" s="29">
        <v>16173.215999999999</v>
      </c>
      <c r="D427" s="46" t="str">
        <f t="shared" si="30"/>
        <v>Electronics Sales 201703</v>
      </c>
      <c r="E427" s="43" t="str">
        <f t="shared" si="31"/>
        <v>Electronics Sales</v>
      </c>
      <c r="F427" s="47" t="str">
        <f t="shared" si="32"/>
        <v>03</v>
      </c>
      <c r="G427" s="47" t="str">
        <f t="shared" si="33"/>
        <v>2017</v>
      </c>
      <c r="H427" s="40">
        <f t="shared" si="34"/>
        <v>16173.215999999999</v>
      </c>
    </row>
    <row r="428" spans="2:8" x14ac:dyDescent="0.35">
      <c r="B428" s="31" t="s">
        <v>934</v>
      </c>
      <c r="C428" s="29">
        <v>0</v>
      </c>
      <c r="D428" s="46" t="str">
        <f t="shared" si="30"/>
        <v>Electronics Sales Tooling 201703</v>
      </c>
      <c r="E428" s="43" t="str">
        <f t="shared" si="31"/>
        <v>Electronics Sales Tooling</v>
      </c>
      <c r="F428" s="47" t="str">
        <f t="shared" si="32"/>
        <v>03</v>
      </c>
      <c r="G428" s="47" t="str">
        <f t="shared" si="33"/>
        <v>2017</v>
      </c>
      <c r="H428" s="40">
        <f t="shared" si="34"/>
        <v>0</v>
      </c>
    </row>
    <row r="429" spans="2:8" x14ac:dyDescent="0.35">
      <c r="B429" s="31" t="s">
        <v>935</v>
      </c>
      <c r="C429" s="29">
        <v>44589.93</v>
      </c>
      <c r="D429" s="46" t="str">
        <f t="shared" si="30"/>
        <v>Mechanic Sales 201703</v>
      </c>
      <c r="E429" s="43" t="str">
        <f t="shared" si="31"/>
        <v>Mechanic Sales</v>
      </c>
      <c r="F429" s="47" t="str">
        <f t="shared" si="32"/>
        <v>03</v>
      </c>
      <c r="G429" s="47" t="str">
        <f t="shared" si="33"/>
        <v>2017</v>
      </c>
      <c r="H429" s="40">
        <f t="shared" si="34"/>
        <v>44589.93</v>
      </c>
    </row>
    <row r="430" spans="2:8" x14ac:dyDescent="0.35">
      <c r="B430" s="31" t="s">
        <v>936</v>
      </c>
      <c r="C430" s="29">
        <v>0</v>
      </c>
      <c r="D430" s="46" t="str">
        <f t="shared" si="30"/>
        <v>Mechanic Sales Tooling 201703</v>
      </c>
      <c r="E430" s="43" t="str">
        <f t="shared" si="31"/>
        <v>Mechanic Sales Tooling</v>
      </c>
      <c r="F430" s="47" t="str">
        <f t="shared" si="32"/>
        <v>03</v>
      </c>
      <c r="G430" s="47" t="str">
        <f t="shared" si="33"/>
        <v>2017</v>
      </c>
      <c r="H430" s="40">
        <f t="shared" si="34"/>
        <v>0</v>
      </c>
    </row>
    <row r="431" spans="2:8" x14ac:dyDescent="0.35">
      <c r="B431" s="31" t="s">
        <v>937</v>
      </c>
      <c r="C431" s="29">
        <v>2681.136</v>
      </c>
      <c r="D431" s="46" t="str">
        <f t="shared" si="30"/>
        <v>Non Operating sales201703</v>
      </c>
      <c r="E431" s="43" t="str">
        <f t="shared" si="31"/>
        <v>Non Operating sale</v>
      </c>
      <c r="F431" s="47" t="str">
        <f t="shared" si="32"/>
        <v>03</v>
      </c>
      <c r="G431" s="47" t="str">
        <f t="shared" si="33"/>
        <v>2017</v>
      </c>
      <c r="H431" s="40">
        <f t="shared" si="34"/>
        <v>2681.136</v>
      </c>
    </row>
    <row r="432" spans="2:8" x14ac:dyDescent="0.35">
      <c r="B432" s="31" t="s">
        <v>938</v>
      </c>
      <c r="C432" s="29">
        <v>250726.10020000002</v>
      </c>
      <c r="D432" s="46" t="str">
        <f t="shared" si="30"/>
        <v>Partner Sales 201703</v>
      </c>
      <c r="E432" s="43" t="str">
        <f t="shared" si="31"/>
        <v>Partner Sales</v>
      </c>
      <c r="F432" s="47" t="str">
        <f t="shared" si="32"/>
        <v>03</v>
      </c>
      <c r="G432" s="47" t="str">
        <f t="shared" si="33"/>
        <v>2017</v>
      </c>
      <c r="H432" s="40">
        <f t="shared" si="34"/>
        <v>250726.10020000002</v>
      </c>
    </row>
    <row r="433" spans="2:8" x14ac:dyDescent="0.35">
      <c r="B433" s="31" t="s">
        <v>939</v>
      </c>
      <c r="C433" s="29">
        <v>0</v>
      </c>
      <c r="D433" s="46" t="str">
        <f t="shared" si="30"/>
        <v>Partner Sales Tooling 201703</v>
      </c>
      <c r="E433" s="43" t="str">
        <f t="shared" si="31"/>
        <v>Partner Sales Tooling</v>
      </c>
      <c r="F433" s="47" t="str">
        <f t="shared" si="32"/>
        <v>03</v>
      </c>
      <c r="G433" s="47" t="str">
        <f t="shared" si="33"/>
        <v>2017</v>
      </c>
      <c r="H433" s="40">
        <f t="shared" si="34"/>
        <v>0</v>
      </c>
    </row>
    <row r="434" spans="2:8" x14ac:dyDescent="0.35">
      <c r="B434" s="31" t="s">
        <v>940</v>
      </c>
      <c r="C434" s="29">
        <v>-2830.7719999999999</v>
      </c>
      <c r="D434" s="46" t="str">
        <f t="shared" si="30"/>
        <v>Sales - Discounts 201703</v>
      </c>
      <c r="E434" s="43" t="str">
        <f t="shared" si="31"/>
        <v>Sales - Discounts</v>
      </c>
      <c r="F434" s="47" t="str">
        <f t="shared" si="32"/>
        <v>03</v>
      </c>
      <c r="G434" s="47" t="str">
        <f t="shared" si="33"/>
        <v>2017</v>
      </c>
      <c r="H434" s="40">
        <f t="shared" si="34"/>
        <v>-2830.7719999999999</v>
      </c>
    </row>
    <row r="435" spans="2:8" x14ac:dyDescent="0.35">
      <c r="B435" s="31" t="s">
        <v>941</v>
      </c>
      <c r="C435" s="29">
        <v>-2463.4831000000004</v>
      </c>
      <c r="D435" s="46" t="str">
        <f t="shared" si="30"/>
        <v>Sales - Freight Out 201703</v>
      </c>
      <c r="E435" s="43" t="str">
        <f t="shared" si="31"/>
        <v>Sales - Freight Out</v>
      </c>
      <c r="F435" s="47" t="str">
        <f t="shared" si="32"/>
        <v>03</v>
      </c>
      <c r="G435" s="47" t="str">
        <f t="shared" si="33"/>
        <v>2017</v>
      </c>
      <c r="H435" s="40">
        <f t="shared" si="34"/>
        <v>-2463.4831000000004</v>
      </c>
    </row>
    <row r="436" spans="2:8" x14ac:dyDescent="0.35">
      <c r="B436" s="31" t="s">
        <v>942</v>
      </c>
      <c r="C436" s="29">
        <v>-20599.462500000001</v>
      </c>
      <c r="D436" s="46" t="str">
        <f t="shared" si="30"/>
        <v>Sales - Returns 201703</v>
      </c>
      <c r="E436" s="43" t="str">
        <f t="shared" si="31"/>
        <v>Sales - Returns</v>
      </c>
      <c r="F436" s="47" t="str">
        <f t="shared" si="32"/>
        <v>03</v>
      </c>
      <c r="G436" s="47" t="str">
        <f t="shared" si="33"/>
        <v>2017</v>
      </c>
      <c r="H436" s="40">
        <f t="shared" si="34"/>
        <v>-20599.462500000001</v>
      </c>
    </row>
    <row r="437" spans="2:8" x14ac:dyDescent="0.35">
      <c r="B437" s="31" t="s">
        <v>943</v>
      </c>
      <c r="C437" s="29">
        <v>229776.80439999996</v>
      </c>
      <c r="D437" s="46" t="str">
        <f t="shared" si="30"/>
        <v>Automotive Sales 201704</v>
      </c>
      <c r="E437" s="43" t="str">
        <f t="shared" si="31"/>
        <v>Automotive Sales</v>
      </c>
      <c r="F437" s="47" t="str">
        <f t="shared" si="32"/>
        <v>04</v>
      </c>
      <c r="G437" s="47" t="str">
        <f t="shared" si="33"/>
        <v>2017</v>
      </c>
      <c r="H437" s="40">
        <f t="shared" si="34"/>
        <v>229776.80439999996</v>
      </c>
    </row>
    <row r="438" spans="2:8" x14ac:dyDescent="0.35">
      <c r="B438" s="31" t="s">
        <v>944</v>
      </c>
      <c r="C438" s="29">
        <v>0</v>
      </c>
      <c r="D438" s="46" t="str">
        <f t="shared" si="30"/>
        <v>Automotive Sales Tooling 201704</v>
      </c>
      <c r="E438" s="43" t="str">
        <f t="shared" si="31"/>
        <v>Automotive Sales Tooling</v>
      </c>
      <c r="F438" s="47" t="str">
        <f t="shared" si="32"/>
        <v>04</v>
      </c>
      <c r="G438" s="47" t="str">
        <f t="shared" si="33"/>
        <v>2017</v>
      </c>
      <c r="H438" s="40">
        <f t="shared" si="34"/>
        <v>0</v>
      </c>
    </row>
    <row r="439" spans="2:8" x14ac:dyDescent="0.35">
      <c r="B439" s="31" t="s">
        <v>945</v>
      </c>
      <c r="C439" s="29">
        <v>547513.79980000004</v>
      </c>
      <c r="D439" s="46" t="str">
        <f t="shared" si="30"/>
        <v>Bulk Sales 201704</v>
      </c>
      <c r="E439" s="43" t="str">
        <f t="shared" si="31"/>
        <v>Bulk Sales</v>
      </c>
      <c r="F439" s="47" t="str">
        <f t="shared" si="32"/>
        <v>04</v>
      </c>
      <c r="G439" s="47" t="str">
        <f t="shared" si="33"/>
        <v>2017</v>
      </c>
      <c r="H439" s="40">
        <f t="shared" si="34"/>
        <v>547513.79980000004</v>
      </c>
    </row>
    <row r="440" spans="2:8" x14ac:dyDescent="0.35">
      <c r="B440" s="31" t="s">
        <v>946</v>
      </c>
      <c r="C440" s="29">
        <v>105645.59999999999</v>
      </c>
      <c r="D440" s="46" t="str">
        <f t="shared" si="30"/>
        <v>Bulk Sales Tooling 201704</v>
      </c>
      <c r="E440" s="43" t="str">
        <f t="shared" si="31"/>
        <v>Bulk Sales Tooling</v>
      </c>
      <c r="F440" s="47" t="str">
        <f t="shared" si="32"/>
        <v>04</v>
      </c>
      <c r="G440" s="47" t="str">
        <f t="shared" si="33"/>
        <v>2017</v>
      </c>
      <c r="H440" s="40">
        <f t="shared" si="34"/>
        <v>105645.59999999999</v>
      </c>
    </row>
    <row r="441" spans="2:8" x14ac:dyDescent="0.35">
      <c r="B441" s="31" t="s">
        <v>947</v>
      </c>
      <c r="C441" s="29">
        <v>587696.18799999997</v>
      </c>
      <c r="D441" s="46" t="str">
        <f t="shared" si="30"/>
        <v>Consumer Sales 201704</v>
      </c>
      <c r="E441" s="43" t="str">
        <f t="shared" si="31"/>
        <v>Consumer Sales</v>
      </c>
      <c r="F441" s="47" t="str">
        <f t="shared" si="32"/>
        <v>04</v>
      </c>
      <c r="G441" s="47" t="str">
        <f t="shared" si="33"/>
        <v>2017</v>
      </c>
      <c r="H441" s="40">
        <f t="shared" si="34"/>
        <v>587696.18799999997</v>
      </c>
    </row>
    <row r="442" spans="2:8" x14ac:dyDescent="0.35">
      <c r="B442" s="31" t="s">
        <v>948</v>
      </c>
      <c r="C442" s="29">
        <v>6470.971199999999</v>
      </c>
      <c r="D442" s="46" t="str">
        <f t="shared" si="30"/>
        <v>Consumer Sales Tooling 201704</v>
      </c>
      <c r="E442" s="43" t="str">
        <f t="shared" si="31"/>
        <v>Consumer Sales Tooling</v>
      </c>
      <c r="F442" s="47" t="str">
        <f t="shared" si="32"/>
        <v>04</v>
      </c>
      <c r="G442" s="47" t="str">
        <f t="shared" si="33"/>
        <v>2017</v>
      </c>
      <c r="H442" s="40">
        <f t="shared" si="34"/>
        <v>6470.971199999999</v>
      </c>
    </row>
    <row r="443" spans="2:8" x14ac:dyDescent="0.35">
      <c r="B443" s="31" t="s">
        <v>949</v>
      </c>
      <c r="C443" s="29">
        <v>30437.8272</v>
      </c>
      <c r="D443" s="46" t="str">
        <f t="shared" si="30"/>
        <v>Electronics Sales 201704</v>
      </c>
      <c r="E443" s="43" t="str">
        <f t="shared" si="31"/>
        <v>Electronics Sales</v>
      </c>
      <c r="F443" s="47" t="str">
        <f t="shared" si="32"/>
        <v>04</v>
      </c>
      <c r="G443" s="47" t="str">
        <f t="shared" si="33"/>
        <v>2017</v>
      </c>
      <c r="H443" s="40">
        <f t="shared" si="34"/>
        <v>30437.8272</v>
      </c>
    </row>
    <row r="444" spans="2:8" x14ac:dyDescent="0.35">
      <c r="B444" s="31" t="s">
        <v>950</v>
      </c>
      <c r="C444" s="29">
        <v>0</v>
      </c>
      <c r="D444" s="46" t="str">
        <f t="shared" si="30"/>
        <v>Electronics Sales Tooling 201704</v>
      </c>
      <c r="E444" s="43" t="str">
        <f t="shared" si="31"/>
        <v>Electronics Sales Tooling</v>
      </c>
      <c r="F444" s="47" t="str">
        <f t="shared" si="32"/>
        <v>04</v>
      </c>
      <c r="G444" s="47" t="str">
        <f t="shared" si="33"/>
        <v>2017</v>
      </c>
      <c r="H444" s="40">
        <f t="shared" si="34"/>
        <v>0</v>
      </c>
    </row>
    <row r="445" spans="2:8" x14ac:dyDescent="0.35">
      <c r="B445" s="31" t="s">
        <v>951</v>
      </c>
      <c r="C445" s="29">
        <v>26983.800000000003</v>
      </c>
      <c r="D445" s="46" t="str">
        <f t="shared" si="30"/>
        <v>Mechanic Sales 201704</v>
      </c>
      <c r="E445" s="43" t="str">
        <f t="shared" si="31"/>
        <v>Mechanic Sales</v>
      </c>
      <c r="F445" s="47" t="str">
        <f t="shared" si="32"/>
        <v>04</v>
      </c>
      <c r="G445" s="47" t="str">
        <f t="shared" si="33"/>
        <v>2017</v>
      </c>
      <c r="H445" s="40">
        <f t="shared" si="34"/>
        <v>26983.800000000003</v>
      </c>
    </row>
    <row r="446" spans="2:8" x14ac:dyDescent="0.35">
      <c r="B446" s="31" t="s">
        <v>952</v>
      </c>
      <c r="C446" s="29">
        <v>0</v>
      </c>
      <c r="D446" s="46" t="str">
        <f t="shared" si="30"/>
        <v>Mechanic Sales Tooling 201704</v>
      </c>
      <c r="E446" s="43" t="str">
        <f t="shared" si="31"/>
        <v>Mechanic Sales Tooling</v>
      </c>
      <c r="F446" s="47" t="str">
        <f t="shared" si="32"/>
        <v>04</v>
      </c>
      <c r="G446" s="47" t="str">
        <f t="shared" si="33"/>
        <v>2017</v>
      </c>
      <c r="H446" s="40">
        <f t="shared" si="34"/>
        <v>0</v>
      </c>
    </row>
    <row r="447" spans="2:8" x14ac:dyDescent="0.35">
      <c r="B447" s="31" t="s">
        <v>953</v>
      </c>
      <c r="C447" s="29">
        <v>1871.8158000000001</v>
      </c>
      <c r="D447" s="46" t="str">
        <f t="shared" si="30"/>
        <v>Non Operating sales201704</v>
      </c>
      <c r="E447" s="43" t="str">
        <f t="shared" si="31"/>
        <v>Non Operating sale</v>
      </c>
      <c r="F447" s="47" t="str">
        <f t="shared" si="32"/>
        <v>04</v>
      </c>
      <c r="G447" s="47" t="str">
        <f t="shared" si="33"/>
        <v>2017</v>
      </c>
      <c r="H447" s="40">
        <f t="shared" si="34"/>
        <v>1871.8158000000001</v>
      </c>
    </row>
    <row r="448" spans="2:8" x14ac:dyDescent="0.35">
      <c r="B448" s="31" t="s">
        <v>954</v>
      </c>
      <c r="C448" s="29">
        <v>162866.49440000003</v>
      </c>
      <c r="D448" s="46" t="str">
        <f t="shared" si="30"/>
        <v>Partner Sales 201704</v>
      </c>
      <c r="E448" s="43" t="str">
        <f t="shared" si="31"/>
        <v>Partner Sales</v>
      </c>
      <c r="F448" s="47" t="str">
        <f t="shared" si="32"/>
        <v>04</v>
      </c>
      <c r="G448" s="47" t="str">
        <f t="shared" si="33"/>
        <v>2017</v>
      </c>
      <c r="H448" s="40">
        <f t="shared" si="34"/>
        <v>162866.49440000003</v>
      </c>
    </row>
    <row r="449" spans="2:8" x14ac:dyDescent="0.35">
      <c r="B449" s="31" t="s">
        <v>955</v>
      </c>
      <c r="C449" s="29">
        <v>48708.75</v>
      </c>
      <c r="D449" s="46" t="str">
        <f t="shared" si="30"/>
        <v>Partner Sales Tooling 201704</v>
      </c>
      <c r="E449" s="43" t="str">
        <f t="shared" si="31"/>
        <v>Partner Sales Tooling</v>
      </c>
      <c r="F449" s="47" t="str">
        <f t="shared" si="32"/>
        <v>04</v>
      </c>
      <c r="G449" s="47" t="str">
        <f t="shared" si="33"/>
        <v>2017</v>
      </c>
      <c r="H449" s="40">
        <f t="shared" si="34"/>
        <v>48708.75</v>
      </c>
    </row>
    <row r="450" spans="2:8" x14ac:dyDescent="0.35">
      <c r="B450" s="31" t="s">
        <v>956</v>
      </c>
      <c r="C450" s="29">
        <v>-4237.1279999999997</v>
      </c>
      <c r="D450" s="46" t="str">
        <f t="shared" si="30"/>
        <v>Sales - Discounts 201704</v>
      </c>
      <c r="E450" s="43" t="str">
        <f t="shared" si="31"/>
        <v>Sales - Discounts</v>
      </c>
      <c r="F450" s="47" t="str">
        <f t="shared" si="32"/>
        <v>04</v>
      </c>
      <c r="G450" s="47" t="str">
        <f t="shared" si="33"/>
        <v>2017</v>
      </c>
      <c r="H450" s="40">
        <f t="shared" si="34"/>
        <v>-4237.1279999999997</v>
      </c>
    </row>
    <row r="451" spans="2:8" x14ac:dyDescent="0.35">
      <c r="B451" s="31" t="s">
        <v>957</v>
      </c>
      <c r="C451" s="29">
        <v>1393.2387000000001</v>
      </c>
      <c r="D451" s="46" t="str">
        <f t="shared" si="30"/>
        <v>Sales - Freight Out 201704</v>
      </c>
      <c r="E451" s="43" t="str">
        <f t="shared" si="31"/>
        <v>Sales - Freight Out</v>
      </c>
      <c r="F451" s="47" t="str">
        <f t="shared" si="32"/>
        <v>04</v>
      </c>
      <c r="G451" s="47" t="str">
        <f t="shared" si="33"/>
        <v>2017</v>
      </c>
      <c r="H451" s="40">
        <f t="shared" si="34"/>
        <v>1393.2387000000001</v>
      </c>
    </row>
    <row r="452" spans="2:8" x14ac:dyDescent="0.35">
      <c r="B452" s="31" t="s">
        <v>958</v>
      </c>
      <c r="C452" s="29">
        <v>-9313.3250000000007</v>
      </c>
      <c r="D452" s="46" t="str">
        <f t="shared" si="30"/>
        <v>Sales - Returns 201704</v>
      </c>
      <c r="E452" s="43" t="str">
        <f t="shared" si="31"/>
        <v>Sales - Returns</v>
      </c>
      <c r="F452" s="47" t="str">
        <f t="shared" si="32"/>
        <v>04</v>
      </c>
      <c r="G452" s="47" t="str">
        <f t="shared" si="33"/>
        <v>2017</v>
      </c>
      <c r="H452" s="40">
        <f t="shared" si="34"/>
        <v>-9313.3250000000007</v>
      </c>
    </row>
    <row r="453" spans="2:8" x14ac:dyDescent="0.35">
      <c r="B453" s="31" t="s">
        <v>959</v>
      </c>
      <c r="C453" s="29">
        <v>305738.97639999999</v>
      </c>
      <c r="D453" s="46" t="str">
        <f t="shared" si="30"/>
        <v>Automotive Sales 201705</v>
      </c>
      <c r="E453" s="43" t="str">
        <f t="shared" si="31"/>
        <v>Automotive Sales</v>
      </c>
      <c r="F453" s="47" t="str">
        <f t="shared" si="32"/>
        <v>05</v>
      </c>
      <c r="G453" s="47" t="str">
        <f t="shared" si="33"/>
        <v>2017</v>
      </c>
      <c r="H453" s="40">
        <f t="shared" si="34"/>
        <v>305738.97639999999</v>
      </c>
    </row>
    <row r="454" spans="2:8" x14ac:dyDescent="0.35">
      <c r="B454" s="31" t="s">
        <v>960</v>
      </c>
      <c r="C454" s="29">
        <v>0</v>
      </c>
      <c r="D454" s="46" t="str">
        <f t="shared" ref="D454:D517" si="35">TRIM(B454)</f>
        <v>Automotive Sales Tooling 201705</v>
      </c>
      <c r="E454" s="43" t="str">
        <f t="shared" ref="E454:E517" si="36">LEFT(D454,LEN(D454)-7)</f>
        <v>Automotive Sales Tooling</v>
      </c>
      <c r="F454" s="47" t="str">
        <f t="shared" ref="F454:F517" si="37">RIGHT(D454,2)</f>
        <v>05</v>
      </c>
      <c r="G454" s="47" t="str">
        <f t="shared" ref="G454:G517" si="38">RIGHT(LEFT(D454,LEN(D454)-2),4)</f>
        <v>2017</v>
      </c>
      <c r="H454" s="40">
        <f t="shared" ref="H454:H517" si="39">C454</f>
        <v>0</v>
      </c>
    </row>
    <row r="455" spans="2:8" x14ac:dyDescent="0.35">
      <c r="B455" s="31" t="s">
        <v>961</v>
      </c>
      <c r="C455" s="29">
        <v>679021.14380000008</v>
      </c>
      <c r="D455" s="46" t="str">
        <f t="shared" si="35"/>
        <v>Bulk Sales 201705</v>
      </c>
      <c r="E455" s="43" t="str">
        <f t="shared" si="36"/>
        <v>Bulk Sales</v>
      </c>
      <c r="F455" s="47" t="str">
        <f t="shared" si="37"/>
        <v>05</v>
      </c>
      <c r="G455" s="47" t="str">
        <f t="shared" si="38"/>
        <v>2017</v>
      </c>
      <c r="H455" s="40">
        <f t="shared" si="39"/>
        <v>679021.14380000008</v>
      </c>
    </row>
    <row r="456" spans="2:8" x14ac:dyDescent="0.35">
      <c r="B456" s="31" t="s">
        <v>962</v>
      </c>
      <c r="C456" s="29">
        <v>119403.36</v>
      </c>
      <c r="D456" s="46" t="str">
        <f t="shared" si="35"/>
        <v>Bulk Sales Tooling 201705</v>
      </c>
      <c r="E456" s="43" t="str">
        <f t="shared" si="36"/>
        <v>Bulk Sales Tooling</v>
      </c>
      <c r="F456" s="47" t="str">
        <f t="shared" si="37"/>
        <v>05</v>
      </c>
      <c r="G456" s="47" t="str">
        <f t="shared" si="38"/>
        <v>2017</v>
      </c>
      <c r="H456" s="40">
        <f t="shared" si="39"/>
        <v>119403.36</v>
      </c>
    </row>
    <row r="457" spans="2:8" x14ac:dyDescent="0.35">
      <c r="B457" s="31" t="s">
        <v>963</v>
      </c>
      <c r="C457" s="29">
        <v>439148.39279999991</v>
      </c>
      <c r="D457" s="46" t="str">
        <f t="shared" si="35"/>
        <v>Consumer Sales 201705</v>
      </c>
      <c r="E457" s="43" t="str">
        <f t="shared" si="36"/>
        <v>Consumer Sales</v>
      </c>
      <c r="F457" s="47" t="str">
        <f t="shared" si="37"/>
        <v>05</v>
      </c>
      <c r="G457" s="47" t="str">
        <f t="shared" si="38"/>
        <v>2017</v>
      </c>
      <c r="H457" s="40">
        <f t="shared" si="39"/>
        <v>439148.39279999991</v>
      </c>
    </row>
    <row r="458" spans="2:8" x14ac:dyDescent="0.35">
      <c r="B458" s="31" t="s">
        <v>964</v>
      </c>
      <c r="C458" s="29">
        <v>72659.851200000005</v>
      </c>
      <c r="D458" s="46" t="str">
        <f t="shared" si="35"/>
        <v>Consumer Sales Tooling 201705</v>
      </c>
      <c r="E458" s="43" t="str">
        <f t="shared" si="36"/>
        <v>Consumer Sales Tooling</v>
      </c>
      <c r="F458" s="47" t="str">
        <f t="shared" si="37"/>
        <v>05</v>
      </c>
      <c r="G458" s="47" t="str">
        <f t="shared" si="38"/>
        <v>2017</v>
      </c>
      <c r="H458" s="40">
        <f t="shared" si="39"/>
        <v>72659.851200000005</v>
      </c>
    </row>
    <row r="459" spans="2:8" x14ac:dyDescent="0.35">
      <c r="B459" s="31" t="s">
        <v>965</v>
      </c>
      <c r="C459" s="29">
        <v>10182.585599999999</v>
      </c>
      <c r="D459" s="46" t="str">
        <f t="shared" si="35"/>
        <v>Electronics Sales 201705</v>
      </c>
      <c r="E459" s="43" t="str">
        <f t="shared" si="36"/>
        <v>Electronics Sales</v>
      </c>
      <c r="F459" s="47" t="str">
        <f t="shared" si="37"/>
        <v>05</v>
      </c>
      <c r="G459" s="47" t="str">
        <f t="shared" si="38"/>
        <v>2017</v>
      </c>
      <c r="H459" s="40">
        <f t="shared" si="39"/>
        <v>10182.585599999999</v>
      </c>
    </row>
    <row r="460" spans="2:8" x14ac:dyDescent="0.35">
      <c r="B460" s="31" t="s">
        <v>966</v>
      </c>
      <c r="C460" s="29">
        <v>0</v>
      </c>
      <c r="D460" s="46" t="str">
        <f t="shared" si="35"/>
        <v>Electronics Sales Tooling 201705</v>
      </c>
      <c r="E460" s="43" t="str">
        <f t="shared" si="36"/>
        <v>Electronics Sales Tooling</v>
      </c>
      <c r="F460" s="47" t="str">
        <f t="shared" si="37"/>
        <v>05</v>
      </c>
      <c r="G460" s="47" t="str">
        <f t="shared" si="38"/>
        <v>2017</v>
      </c>
      <c r="H460" s="40">
        <f t="shared" si="39"/>
        <v>0</v>
      </c>
    </row>
    <row r="461" spans="2:8" x14ac:dyDescent="0.35">
      <c r="B461" s="31" t="s">
        <v>967</v>
      </c>
      <c r="C461" s="29">
        <v>27781.245000000003</v>
      </c>
      <c r="D461" s="46" t="str">
        <f t="shared" si="35"/>
        <v>Mechanic Sales 201705</v>
      </c>
      <c r="E461" s="43" t="str">
        <f t="shared" si="36"/>
        <v>Mechanic Sales</v>
      </c>
      <c r="F461" s="47" t="str">
        <f t="shared" si="37"/>
        <v>05</v>
      </c>
      <c r="G461" s="47" t="str">
        <f t="shared" si="38"/>
        <v>2017</v>
      </c>
      <c r="H461" s="40">
        <f t="shared" si="39"/>
        <v>27781.245000000003</v>
      </c>
    </row>
    <row r="462" spans="2:8" x14ac:dyDescent="0.35">
      <c r="B462" s="31" t="s">
        <v>968</v>
      </c>
      <c r="C462" s="29">
        <v>117382.5</v>
      </c>
      <c r="D462" s="46" t="str">
        <f t="shared" si="35"/>
        <v>Mechanic Sales Tooling 201705</v>
      </c>
      <c r="E462" s="43" t="str">
        <f t="shared" si="36"/>
        <v>Mechanic Sales Tooling</v>
      </c>
      <c r="F462" s="47" t="str">
        <f t="shared" si="37"/>
        <v>05</v>
      </c>
      <c r="G462" s="47" t="str">
        <f t="shared" si="38"/>
        <v>2017</v>
      </c>
      <c r="H462" s="40">
        <f t="shared" si="39"/>
        <v>117382.5</v>
      </c>
    </row>
    <row r="463" spans="2:8" x14ac:dyDescent="0.35">
      <c r="B463" s="31" t="s">
        <v>969</v>
      </c>
      <c r="C463" s="29">
        <v>0</v>
      </c>
      <c r="D463" s="46" t="str">
        <f t="shared" si="35"/>
        <v>Non Operating sales201705</v>
      </c>
      <c r="E463" s="43" t="str">
        <f t="shared" si="36"/>
        <v>Non Operating sale</v>
      </c>
      <c r="F463" s="47" t="str">
        <f t="shared" si="37"/>
        <v>05</v>
      </c>
      <c r="G463" s="47" t="str">
        <f t="shared" si="38"/>
        <v>2017</v>
      </c>
      <c r="H463" s="40">
        <f t="shared" si="39"/>
        <v>0</v>
      </c>
    </row>
    <row r="464" spans="2:8" x14ac:dyDescent="0.35">
      <c r="B464" s="31" t="s">
        <v>970</v>
      </c>
      <c r="C464" s="29">
        <v>145175.76079999999</v>
      </c>
      <c r="D464" s="46" t="str">
        <f t="shared" si="35"/>
        <v>Partner Sales 201705</v>
      </c>
      <c r="E464" s="43" t="str">
        <f t="shared" si="36"/>
        <v>Partner Sales</v>
      </c>
      <c r="F464" s="47" t="str">
        <f t="shared" si="37"/>
        <v>05</v>
      </c>
      <c r="G464" s="47" t="str">
        <f t="shared" si="38"/>
        <v>2017</v>
      </c>
      <c r="H464" s="40">
        <f t="shared" si="39"/>
        <v>145175.76079999999</v>
      </c>
    </row>
    <row r="465" spans="2:8" x14ac:dyDescent="0.35">
      <c r="B465" s="31" t="s">
        <v>971</v>
      </c>
      <c r="C465" s="29">
        <v>10604.789999999999</v>
      </c>
      <c r="D465" s="46" t="str">
        <f t="shared" si="35"/>
        <v>Partner Sales Tooling 201705</v>
      </c>
      <c r="E465" s="43" t="str">
        <f t="shared" si="36"/>
        <v>Partner Sales Tooling</v>
      </c>
      <c r="F465" s="47" t="str">
        <f t="shared" si="37"/>
        <v>05</v>
      </c>
      <c r="G465" s="47" t="str">
        <f t="shared" si="38"/>
        <v>2017</v>
      </c>
      <c r="H465" s="40">
        <f t="shared" si="39"/>
        <v>10604.789999999999</v>
      </c>
    </row>
    <row r="466" spans="2:8" x14ac:dyDescent="0.35">
      <c r="B466" s="31" t="s">
        <v>972</v>
      </c>
      <c r="C466" s="29">
        <v>-6495.985999999999</v>
      </c>
      <c r="D466" s="46" t="str">
        <f t="shared" si="35"/>
        <v>Sales - Discounts 201705</v>
      </c>
      <c r="E466" s="43" t="str">
        <f t="shared" si="36"/>
        <v>Sales - Discounts</v>
      </c>
      <c r="F466" s="47" t="str">
        <f t="shared" si="37"/>
        <v>05</v>
      </c>
      <c r="G466" s="47" t="str">
        <f t="shared" si="38"/>
        <v>2017</v>
      </c>
      <c r="H466" s="40">
        <f t="shared" si="39"/>
        <v>-6495.985999999999</v>
      </c>
    </row>
    <row r="467" spans="2:8" x14ac:dyDescent="0.35">
      <c r="B467" s="31" t="s">
        <v>973</v>
      </c>
      <c r="C467" s="29">
        <v>4302.0778</v>
      </c>
      <c r="D467" s="46" t="str">
        <f t="shared" si="35"/>
        <v>Sales - Freight Out 201705</v>
      </c>
      <c r="E467" s="43" t="str">
        <f t="shared" si="36"/>
        <v>Sales - Freight Out</v>
      </c>
      <c r="F467" s="47" t="str">
        <f t="shared" si="37"/>
        <v>05</v>
      </c>
      <c r="G467" s="47" t="str">
        <f t="shared" si="38"/>
        <v>2017</v>
      </c>
      <c r="H467" s="40">
        <f t="shared" si="39"/>
        <v>4302.0778</v>
      </c>
    </row>
    <row r="468" spans="2:8" x14ac:dyDescent="0.35">
      <c r="B468" s="31" t="s">
        <v>974</v>
      </c>
      <c r="C468" s="29">
        <v>-36913.800000000003</v>
      </c>
      <c r="D468" s="46" t="str">
        <f t="shared" si="35"/>
        <v>Sales - Returns 201705</v>
      </c>
      <c r="E468" s="43" t="str">
        <f t="shared" si="36"/>
        <v>Sales - Returns</v>
      </c>
      <c r="F468" s="47" t="str">
        <f t="shared" si="37"/>
        <v>05</v>
      </c>
      <c r="G468" s="47" t="str">
        <f t="shared" si="38"/>
        <v>2017</v>
      </c>
      <c r="H468" s="40">
        <f t="shared" si="39"/>
        <v>-36913.800000000003</v>
      </c>
    </row>
    <row r="469" spans="2:8" x14ac:dyDescent="0.35">
      <c r="B469" s="31" t="s">
        <v>975</v>
      </c>
      <c r="C469" s="29">
        <v>435477.19929999998</v>
      </c>
      <c r="D469" s="46" t="str">
        <f t="shared" si="35"/>
        <v>Automotive Sales 201706</v>
      </c>
      <c r="E469" s="43" t="str">
        <f t="shared" si="36"/>
        <v>Automotive Sales</v>
      </c>
      <c r="F469" s="47" t="str">
        <f t="shared" si="37"/>
        <v>06</v>
      </c>
      <c r="G469" s="47" t="str">
        <f t="shared" si="38"/>
        <v>2017</v>
      </c>
      <c r="H469" s="40">
        <f t="shared" si="39"/>
        <v>435477.19929999998</v>
      </c>
    </row>
    <row r="470" spans="2:8" x14ac:dyDescent="0.35">
      <c r="B470" s="31" t="s">
        <v>976</v>
      </c>
      <c r="C470" s="29">
        <v>0</v>
      </c>
      <c r="D470" s="46" t="str">
        <f t="shared" si="35"/>
        <v>Automotive Sales Tooling 201706</v>
      </c>
      <c r="E470" s="43" t="str">
        <f t="shared" si="36"/>
        <v>Automotive Sales Tooling</v>
      </c>
      <c r="F470" s="47" t="str">
        <f t="shared" si="37"/>
        <v>06</v>
      </c>
      <c r="G470" s="47" t="str">
        <f t="shared" si="38"/>
        <v>2017</v>
      </c>
      <c r="H470" s="40">
        <f t="shared" si="39"/>
        <v>0</v>
      </c>
    </row>
    <row r="471" spans="2:8" x14ac:dyDescent="0.35">
      <c r="B471" s="31" t="s">
        <v>977</v>
      </c>
      <c r="C471" s="29">
        <v>873603.26840000018</v>
      </c>
      <c r="D471" s="46" t="str">
        <f t="shared" si="35"/>
        <v>Bulk Sales 201706</v>
      </c>
      <c r="E471" s="43" t="str">
        <f t="shared" si="36"/>
        <v>Bulk Sales</v>
      </c>
      <c r="F471" s="47" t="str">
        <f t="shared" si="37"/>
        <v>06</v>
      </c>
      <c r="G471" s="47" t="str">
        <f t="shared" si="38"/>
        <v>2017</v>
      </c>
      <c r="H471" s="40">
        <f t="shared" si="39"/>
        <v>873603.26840000018</v>
      </c>
    </row>
    <row r="472" spans="2:8" x14ac:dyDescent="0.35">
      <c r="B472" s="31" t="s">
        <v>978</v>
      </c>
      <c r="C472" s="29">
        <v>70208.639999999999</v>
      </c>
      <c r="D472" s="46" t="str">
        <f t="shared" si="35"/>
        <v>Bulk Sales Tooling 201706</v>
      </c>
      <c r="E472" s="43" t="str">
        <f t="shared" si="36"/>
        <v>Bulk Sales Tooling</v>
      </c>
      <c r="F472" s="47" t="str">
        <f t="shared" si="37"/>
        <v>06</v>
      </c>
      <c r="G472" s="47" t="str">
        <f t="shared" si="38"/>
        <v>2017</v>
      </c>
      <c r="H472" s="40">
        <f t="shared" si="39"/>
        <v>70208.639999999999</v>
      </c>
    </row>
    <row r="473" spans="2:8" x14ac:dyDescent="0.35">
      <c r="B473" s="31" t="s">
        <v>979</v>
      </c>
      <c r="C473" s="29">
        <v>436859.19999999995</v>
      </c>
      <c r="D473" s="46" t="str">
        <f t="shared" si="35"/>
        <v>Consumer Sales 201706</v>
      </c>
      <c r="E473" s="43" t="str">
        <f t="shared" si="36"/>
        <v>Consumer Sales</v>
      </c>
      <c r="F473" s="47" t="str">
        <f t="shared" si="37"/>
        <v>06</v>
      </c>
      <c r="G473" s="47" t="str">
        <f t="shared" si="38"/>
        <v>2017</v>
      </c>
      <c r="H473" s="40">
        <f t="shared" si="39"/>
        <v>436859.19999999995</v>
      </c>
    </row>
    <row r="474" spans="2:8" x14ac:dyDescent="0.35">
      <c r="B474" s="31" t="s">
        <v>980</v>
      </c>
      <c r="C474" s="29">
        <v>93888</v>
      </c>
      <c r="D474" s="46" t="str">
        <f t="shared" si="35"/>
        <v>Consumer Sales Tooling 201706</v>
      </c>
      <c r="E474" s="43" t="str">
        <f t="shared" si="36"/>
        <v>Consumer Sales Tooling</v>
      </c>
      <c r="F474" s="47" t="str">
        <f t="shared" si="37"/>
        <v>06</v>
      </c>
      <c r="G474" s="47" t="str">
        <f t="shared" si="38"/>
        <v>2017</v>
      </c>
      <c r="H474" s="40">
        <f t="shared" si="39"/>
        <v>93888</v>
      </c>
    </row>
    <row r="475" spans="2:8" x14ac:dyDescent="0.35">
      <c r="B475" s="31" t="s">
        <v>981</v>
      </c>
      <c r="C475" s="29">
        <v>10689.6096</v>
      </c>
      <c r="D475" s="46" t="str">
        <f t="shared" si="35"/>
        <v>Electronics Sales 201706</v>
      </c>
      <c r="E475" s="43" t="str">
        <f t="shared" si="36"/>
        <v>Electronics Sales</v>
      </c>
      <c r="F475" s="47" t="str">
        <f t="shared" si="37"/>
        <v>06</v>
      </c>
      <c r="G475" s="47" t="str">
        <f t="shared" si="38"/>
        <v>2017</v>
      </c>
      <c r="H475" s="40">
        <f t="shared" si="39"/>
        <v>10689.6096</v>
      </c>
    </row>
    <row r="476" spans="2:8" x14ac:dyDescent="0.35">
      <c r="B476" s="31" t="s">
        <v>982</v>
      </c>
      <c r="C476" s="29">
        <v>5711.9999999999991</v>
      </c>
      <c r="D476" s="46" t="str">
        <f t="shared" si="35"/>
        <v>Electronics Sales Tooling 201706</v>
      </c>
      <c r="E476" s="43" t="str">
        <f t="shared" si="36"/>
        <v>Electronics Sales Tooling</v>
      </c>
      <c r="F476" s="47" t="str">
        <f t="shared" si="37"/>
        <v>06</v>
      </c>
      <c r="G476" s="47" t="str">
        <f t="shared" si="38"/>
        <v>2017</v>
      </c>
      <c r="H476" s="40">
        <f t="shared" si="39"/>
        <v>5711.9999999999991</v>
      </c>
    </row>
    <row r="477" spans="2:8" x14ac:dyDescent="0.35">
      <c r="B477" s="31" t="s">
        <v>983</v>
      </c>
      <c r="C477" s="29">
        <v>0</v>
      </c>
      <c r="D477" s="46" t="str">
        <f t="shared" si="35"/>
        <v>Mechanic Sales 201706</v>
      </c>
      <c r="E477" s="43" t="str">
        <f t="shared" si="36"/>
        <v>Mechanic Sales</v>
      </c>
      <c r="F477" s="47" t="str">
        <f t="shared" si="37"/>
        <v>06</v>
      </c>
      <c r="G477" s="47" t="str">
        <f t="shared" si="38"/>
        <v>2017</v>
      </c>
      <c r="H477" s="40">
        <f t="shared" si="39"/>
        <v>0</v>
      </c>
    </row>
    <row r="478" spans="2:8" x14ac:dyDescent="0.35">
      <c r="B478" s="31" t="s">
        <v>984</v>
      </c>
      <c r="C478" s="29">
        <v>63303.359999999993</v>
      </c>
      <c r="D478" s="46" t="str">
        <f t="shared" si="35"/>
        <v>Mechanic Sales Tooling 201706</v>
      </c>
      <c r="E478" s="43" t="str">
        <f t="shared" si="36"/>
        <v>Mechanic Sales Tooling</v>
      </c>
      <c r="F478" s="47" t="str">
        <f t="shared" si="37"/>
        <v>06</v>
      </c>
      <c r="G478" s="47" t="str">
        <f t="shared" si="38"/>
        <v>2017</v>
      </c>
      <c r="H478" s="40">
        <f t="shared" si="39"/>
        <v>63303.359999999993</v>
      </c>
    </row>
    <row r="479" spans="2:8" x14ac:dyDescent="0.35">
      <c r="B479" s="31" t="s">
        <v>985</v>
      </c>
      <c r="C479" s="29">
        <v>0</v>
      </c>
      <c r="D479" s="46" t="str">
        <f t="shared" si="35"/>
        <v>Non Operating sales201706</v>
      </c>
      <c r="E479" s="43" t="str">
        <f t="shared" si="36"/>
        <v>Non Operating sale</v>
      </c>
      <c r="F479" s="47" t="str">
        <f t="shared" si="37"/>
        <v>06</v>
      </c>
      <c r="G479" s="47" t="str">
        <f t="shared" si="38"/>
        <v>2017</v>
      </c>
      <c r="H479" s="40">
        <f t="shared" si="39"/>
        <v>0</v>
      </c>
    </row>
    <row r="480" spans="2:8" x14ac:dyDescent="0.35">
      <c r="B480" s="31" t="s">
        <v>986</v>
      </c>
      <c r="C480" s="29">
        <v>208160.5312</v>
      </c>
      <c r="D480" s="46" t="str">
        <f t="shared" si="35"/>
        <v>Partner Sales 201706</v>
      </c>
      <c r="E480" s="43" t="str">
        <f t="shared" si="36"/>
        <v>Partner Sales</v>
      </c>
      <c r="F480" s="47" t="str">
        <f t="shared" si="37"/>
        <v>06</v>
      </c>
      <c r="G480" s="47" t="str">
        <f t="shared" si="38"/>
        <v>2017</v>
      </c>
      <c r="H480" s="40">
        <f t="shared" si="39"/>
        <v>208160.5312</v>
      </c>
    </row>
    <row r="481" spans="2:8" x14ac:dyDescent="0.35">
      <c r="B481" s="31" t="s">
        <v>987</v>
      </c>
      <c r="C481" s="29">
        <v>18688.2012</v>
      </c>
      <c r="D481" s="46" t="str">
        <f t="shared" si="35"/>
        <v>Partner Sales Tooling 201706</v>
      </c>
      <c r="E481" s="43" t="str">
        <f t="shared" si="36"/>
        <v>Partner Sales Tooling</v>
      </c>
      <c r="F481" s="47" t="str">
        <f t="shared" si="37"/>
        <v>06</v>
      </c>
      <c r="G481" s="47" t="str">
        <f t="shared" si="38"/>
        <v>2017</v>
      </c>
      <c r="H481" s="40">
        <f t="shared" si="39"/>
        <v>18688.2012</v>
      </c>
    </row>
    <row r="482" spans="2:8" x14ac:dyDescent="0.35">
      <c r="B482" s="31" t="s">
        <v>988</v>
      </c>
      <c r="C482" s="29">
        <v>-2385.0819999999999</v>
      </c>
      <c r="D482" s="46" t="str">
        <f t="shared" si="35"/>
        <v>Sales - Discounts 201706</v>
      </c>
      <c r="E482" s="43" t="str">
        <f t="shared" si="36"/>
        <v>Sales - Discounts</v>
      </c>
      <c r="F482" s="47" t="str">
        <f t="shared" si="37"/>
        <v>06</v>
      </c>
      <c r="G482" s="47" t="str">
        <f t="shared" si="38"/>
        <v>2017</v>
      </c>
      <c r="H482" s="40">
        <f t="shared" si="39"/>
        <v>-2385.0819999999999</v>
      </c>
    </row>
    <row r="483" spans="2:8" x14ac:dyDescent="0.35">
      <c r="B483" s="31" t="s">
        <v>989</v>
      </c>
      <c r="C483" s="29">
        <v>683.97730000000001</v>
      </c>
      <c r="D483" s="46" t="str">
        <f t="shared" si="35"/>
        <v>Sales - Freight Out 201706</v>
      </c>
      <c r="E483" s="43" t="str">
        <f t="shared" si="36"/>
        <v>Sales - Freight Out</v>
      </c>
      <c r="F483" s="47" t="str">
        <f t="shared" si="37"/>
        <v>06</v>
      </c>
      <c r="G483" s="47" t="str">
        <f t="shared" si="38"/>
        <v>2017</v>
      </c>
      <c r="H483" s="40">
        <f t="shared" si="39"/>
        <v>683.97730000000001</v>
      </c>
    </row>
    <row r="484" spans="2:8" x14ac:dyDescent="0.35">
      <c r="B484" s="31" t="s">
        <v>990</v>
      </c>
      <c r="C484" s="29">
        <v>-7960.0374999999995</v>
      </c>
      <c r="D484" s="46" t="str">
        <f t="shared" si="35"/>
        <v>Sales - Returns 201706</v>
      </c>
      <c r="E484" s="43" t="str">
        <f t="shared" si="36"/>
        <v>Sales - Returns</v>
      </c>
      <c r="F484" s="47" t="str">
        <f t="shared" si="37"/>
        <v>06</v>
      </c>
      <c r="G484" s="47" t="str">
        <f t="shared" si="38"/>
        <v>2017</v>
      </c>
      <c r="H484" s="40">
        <f t="shared" si="39"/>
        <v>-7960.0374999999995</v>
      </c>
    </row>
    <row r="485" spans="2:8" x14ac:dyDescent="0.35">
      <c r="B485" s="31" t="s">
        <v>991</v>
      </c>
      <c r="C485" s="29">
        <v>-190677.93029999998</v>
      </c>
      <c r="D485" s="46" t="str">
        <f t="shared" si="35"/>
        <v>Automotive Sales 201707</v>
      </c>
      <c r="E485" s="43" t="str">
        <f t="shared" si="36"/>
        <v>Automotive Sales</v>
      </c>
      <c r="F485" s="47" t="str">
        <f t="shared" si="37"/>
        <v>07</v>
      </c>
      <c r="G485" s="47" t="str">
        <f t="shared" si="38"/>
        <v>2017</v>
      </c>
      <c r="H485" s="40">
        <f t="shared" si="39"/>
        <v>-190677.93029999998</v>
      </c>
    </row>
    <row r="486" spans="2:8" x14ac:dyDescent="0.35">
      <c r="B486" s="31" t="s">
        <v>992</v>
      </c>
      <c r="C486" s="29">
        <v>0</v>
      </c>
      <c r="D486" s="46" t="str">
        <f t="shared" si="35"/>
        <v>Automotive Sales Tooling 201707</v>
      </c>
      <c r="E486" s="43" t="str">
        <f t="shared" si="36"/>
        <v>Automotive Sales Tooling</v>
      </c>
      <c r="F486" s="47" t="str">
        <f t="shared" si="37"/>
        <v>07</v>
      </c>
      <c r="G486" s="47" t="str">
        <f t="shared" si="38"/>
        <v>2017</v>
      </c>
      <c r="H486" s="40">
        <f t="shared" si="39"/>
        <v>0</v>
      </c>
    </row>
    <row r="487" spans="2:8" x14ac:dyDescent="0.35">
      <c r="B487" s="31" t="s">
        <v>993</v>
      </c>
      <c r="C487" s="29">
        <v>-852202.32799999998</v>
      </c>
      <c r="D487" s="46" t="str">
        <f t="shared" si="35"/>
        <v>Bulk Sales 201707</v>
      </c>
      <c r="E487" s="43" t="str">
        <f t="shared" si="36"/>
        <v>Bulk Sales</v>
      </c>
      <c r="F487" s="47" t="str">
        <f t="shared" si="37"/>
        <v>07</v>
      </c>
      <c r="G487" s="47" t="str">
        <f t="shared" si="38"/>
        <v>2017</v>
      </c>
      <c r="H487" s="40">
        <f t="shared" si="39"/>
        <v>-852202.32799999998</v>
      </c>
    </row>
    <row r="488" spans="2:8" x14ac:dyDescent="0.35">
      <c r="B488" s="31" t="s">
        <v>994</v>
      </c>
      <c r="C488" s="29">
        <v>-85320</v>
      </c>
      <c r="D488" s="46" t="str">
        <f t="shared" si="35"/>
        <v>Bulk Sales Tooling 201707</v>
      </c>
      <c r="E488" s="43" t="str">
        <f t="shared" si="36"/>
        <v>Bulk Sales Tooling</v>
      </c>
      <c r="F488" s="47" t="str">
        <f t="shared" si="37"/>
        <v>07</v>
      </c>
      <c r="G488" s="47" t="str">
        <f t="shared" si="38"/>
        <v>2017</v>
      </c>
      <c r="H488" s="40">
        <f t="shared" si="39"/>
        <v>-85320</v>
      </c>
    </row>
    <row r="489" spans="2:8" x14ac:dyDescent="0.35">
      <c r="B489" s="31" t="s">
        <v>995</v>
      </c>
      <c r="C489" s="29">
        <v>-547063.68559999997</v>
      </c>
      <c r="D489" s="46" t="str">
        <f t="shared" si="35"/>
        <v>Consumer Sales 201707</v>
      </c>
      <c r="E489" s="43" t="str">
        <f t="shared" si="36"/>
        <v>Consumer Sales</v>
      </c>
      <c r="F489" s="47" t="str">
        <f t="shared" si="37"/>
        <v>07</v>
      </c>
      <c r="G489" s="47" t="str">
        <f t="shared" si="38"/>
        <v>2017</v>
      </c>
      <c r="H489" s="40">
        <f t="shared" si="39"/>
        <v>-547063.68559999997</v>
      </c>
    </row>
    <row r="490" spans="2:8" x14ac:dyDescent="0.35">
      <c r="B490" s="31" t="s">
        <v>996</v>
      </c>
      <c r="C490" s="29">
        <v>-95525.28</v>
      </c>
      <c r="D490" s="46" t="str">
        <f t="shared" si="35"/>
        <v>Consumer Sales Tooling 201707</v>
      </c>
      <c r="E490" s="43" t="str">
        <f t="shared" si="36"/>
        <v>Consumer Sales Tooling</v>
      </c>
      <c r="F490" s="47" t="str">
        <f t="shared" si="37"/>
        <v>07</v>
      </c>
      <c r="G490" s="47" t="str">
        <f t="shared" si="38"/>
        <v>2017</v>
      </c>
      <c r="H490" s="40">
        <f t="shared" si="39"/>
        <v>-95525.28</v>
      </c>
    </row>
    <row r="491" spans="2:8" x14ac:dyDescent="0.35">
      <c r="B491" s="31" t="s">
        <v>997</v>
      </c>
      <c r="C491" s="29">
        <v>-36923.760000000002</v>
      </c>
      <c r="D491" s="46" t="str">
        <f t="shared" si="35"/>
        <v>Electronics Sales 201707</v>
      </c>
      <c r="E491" s="43" t="str">
        <f t="shared" si="36"/>
        <v>Electronics Sales</v>
      </c>
      <c r="F491" s="47" t="str">
        <f t="shared" si="37"/>
        <v>07</v>
      </c>
      <c r="G491" s="47" t="str">
        <f t="shared" si="38"/>
        <v>2017</v>
      </c>
      <c r="H491" s="40">
        <f t="shared" si="39"/>
        <v>-36923.760000000002</v>
      </c>
    </row>
    <row r="492" spans="2:8" x14ac:dyDescent="0.35">
      <c r="B492" s="31" t="s">
        <v>998</v>
      </c>
      <c r="C492" s="29">
        <v>0</v>
      </c>
      <c r="D492" s="46" t="str">
        <f t="shared" si="35"/>
        <v>Electronics Sales Tooling 201707</v>
      </c>
      <c r="E492" s="43" t="str">
        <f t="shared" si="36"/>
        <v>Electronics Sales Tooling</v>
      </c>
      <c r="F492" s="47" t="str">
        <f t="shared" si="37"/>
        <v>07</v>
      </c>
      <c r="G492" s="47" t="str">
        <f t="shared" si="38"/>
        <v>2017</v>
      </c>
      <c r="H492" s="40">
        <f t="shared" si="39"/>
        <v>0</v>
      </c>
    </row>
    <row r="493" spans="2:8" x14ac:dyDescent="0.35">
      <c r="B493" s="31" t="s">
        <v>999</v>
      </c>
      <c r="C493" s="29">
        <v>-114968.43</v>
      </c>
      <c r="D493" s="46" t="str">
        <f t="shared" si="35"/>
        <v>Mechanic Sales 201707</v>
      </c>
      <c r="E493" s="43" t="str">
        <f t="shared" si="36"/>
        <v>Mechanic Sales</v>
      </c>
      <c r="F493" s="47" t="str">
        <f t="shared" si="37"/>
        <v>07</v>
      </c>
      <c r="G493" s="47" t="str">
        <f t="shared" si="38"/>
        <v>2017</v>
      </c>
      <c r="H493" s="40">
        <f t="shared" si="39"/>
        <v>-114968.43</v>
      </c>
    </row>
    <row r="494" spans="2:8" x14ac:dyDescent="0.35">
      <c r="B494" s="31" t="s">
        <v>1000</v>
      </c>
      <c r="C494" s="29">
        <v>-14494.8</v>
      </c>
      <c r="D494" s="46" t="str">
        <f t="shared" si="35"/>
        <v>Mechanic Sales Tooling 201707</v>
      </c>
      <c r="E494" s="43" t="str">
        <f t="shared" si="36"/>
        <v>Mechanic Sales Tooling</v>
      </c>
      <c r="F494" s="47" t="str">
        <f t="shared" si="37"/>
        <v>07</v>
      </c>
      <c r="G494" s="47" t="str">
        <f t="shared" si="38"/>
        <v>2017</v>
      </c>
      <c r="H494" s="40">
        <f t="shared" si="39"/>
        <v>-14494.8</v>
      </c>
    </row>
    <row r="495" spans="2:8" x14ac:dyDescent="0.35">
      <c r="B495" s="31" t="s">
        <v>1001</v>
      </c>
      <c r="C495" s="29">
        <v>0</v>
      </c>
      <c r="D495" s="46" t="str">
        <f t="shared" si="35"/>
        <v>Non Operating sales201707</v>
      </c>
      <c r="E495" s="43" t="str">
        <f t="shared" si="36"/>
        <v>Non Operating sale</v>
      </c>
      <c r="F495" s="47" t="str">
        <f t="shared" si="37"/>
        <v>07</v>
      </c>
      <c r="G495" s="47" t="str">
        <f t="shared" si="38"/>
        <v>2017</v>
      </c>
      <c r="H495" s="40">
        <f t="shared" si="39"/>
        <v>0</v>
      </c>
    </row>
    <row r="496" spans="2:8" x14ac:dyDescent="0.35">
      <c r="B496" s="31" t="s">
        <v>1002</v>
      </c>
      <c r="C496" s="29">
        <v>-199371.2702</v>
      </c>
      <c r="D496" s="46" t="str">
        <f t="shared" si="35"/>
        <v>Partner Sales 201707</v>
      </c>
      <c r="E496" s="43" t="str">
        <f t="shared" si="36"/>
        <v>Partner Sales</v>
      </c>
      <c r="F496" s="47" t="str">
        <f t="shared" si="37"/>
        <v>07</v>
      </c>
      <c r="G496" s="47" t="str">
        <f t="shared" si="38"/>
        <v>2017</v>
      </c>
      <c r="H496" s="40">
        <f t="shared" si="39"/>
        <v>-199371.2702</v>
      </c>
    </row>
    <row r="497" spans="2:8" x14ac:dyDescent="0.35">
      <c r="B497" s="31" t="s">
        <v>1003</v>
      </c>
      <c r="C497" s="29">
        <v>-22011.4074</v>
      </c>
      <c r="D497" s="46" t="str">
        <f t="shared" si="35"/>
        <v>Partner Sales Tooling 201707</v>
      </c>
      <c r="E497" s="43" t="str">
        <f t="shared" si="36"/>
        <v>Partner Sales Tooling</v>
      </c>
      <c r="F497" s="47" t="str">
        <f t="shared" si="37"/>
        <v>07</v>
      </c>
      <c r="G497" s="47" t="str">
        <f t="shared" si="38"/>
        <v>2017</v>
      </c>
      <c r="H497" s="40">
        <f t="shared" si="39"/>
        <v>-22011.4074</v>
      </c>
    </row>
    <row r="498" spans="2:8" x14ac:dyDescent="0.35">
      <c r="B498" s="31" t="s">
        <v>1004</v>
      </c>
      <c r="C498" s="29">
        <v>-2922.0799999999995</v>
      </c>
      <c r="D498" s="46" t="str">
        <f t="shared" si="35"/>
        <v>Sales - Discounts 201707</v>
      </c>
      <c r="E498" s="43" t="str">
        <f t="shared" si="36"/>
        <v>Sales - Discounts</v>
      </c>
      <c r="F498" s="47" t="str">
        <f t="shared" si="37"/>
        <v>07</v>
      </c>
      <c r="G498" s="47" t="str">
        <f t="shared" si="38"/>
        <v>2017</v>
      </c>
      <c r="H498" s="40">
        <f t="shared" si="39"/>
        <v>-2922.0799999999995</v>
      </c>
    </row>
    <row r="499" spans="2:8" x14ac:dyDescent="0.35">
      <c r="B499" s="31" t="s">
        <v>1005</v>
      </c>
      <c r="C499" s="29">
        <v>892.19929999999999</v>
      </c>
      <c r="D499" s="46" t="str">
        <f t="shared" si="35"/>
        <v>Sales - Freight Out 201707</v>
      </c>
      <c r="E499" s="43" t="str">
        <f t="shared" si="36"/>
        <v>Sales - Freight Out</v>
      </c>
      <c r="F499" s="47" t="str">
        <f t="shared" si="37"/>
        <v>07</v>
      </c>
      <c r="G499" s="47" t="str">
        <f t="shared" si="38"/>
        <v>2017</v>
      </c>
      <c r="H499" s="40">
        <f t="shared" si="39"/>
        <v>892.19929999999999</v>
      </c>
    </row>
    <row r="500" spans="2:8" x14ac:dyDescent="0.35">
      <c r="B500" s="31" t="s">
        <v>1006</v>
      </c>
      <c r="C500" s="29">
        <v>-10158.275</v>
      </c>
      <c r="D500" s="46" t="str">
        <f t="shared" si="35"/>
        <v>Sales - Returns 201707</v>
      </c>
      <c r="E500" s="43" t="str">
        <f t="shared" si="36"/>
        <v>Sales - Returns</v>
      </c>
      <c r="F500" s="47" t="str">
        <f t="shared" si="37"/>
        <v>07</v>
      </c>
      <c r="G500" s="47" t="str">
        <f t="shared" si="38"/>
        <v>2017</v>
      </c>
      <c r="H500" s="40">
        <f t="shared" si="39"/>
        <v>-10158.275</v>
      </c>
    </row>
    <row r="501" spans="2:8" x14ac:dyDescent="0.35">
      <c r="B501" s="31" t="s">
        <v>1007</v>
      </c>
      <c r="C501" s="29">
        <v>150479.78659999999</v>
      </c>
      <c r="D501" s="46" t="str">
        <f t="shared" si="35"/>
        <v>Automotive Sales 201708</v>
      </c>
      <c r="E501" s="43" t="str">
        <f t="shared" si="36"/>
        <v>Automotive Sales</v>
      </c>
      <c r="F501" s="47" t="str">
        <f t="shared" si="37"/>
        <v>08</v>
      </c>
      <c r="G501" s="47" t="str">
        <f t="shared" si="38"/>
        <v>2017</v>
      </c>
      <c r="H501" s="40">
        <f t="shared" si="39"/>
        <v>150479.78659999999</v>
      </c>
    </row>
    <row r="502" spans="2:8" x14ac:dyDescent="0.35">
      <c r="B502" s="31" t="s">
        <v>1008</v>
      </c>
      <c r="C502" s="29">
        <v>4876</v>
      </c>
      <c r="D502" s="46" t="str">
        <f t="shared" si="35"/>
        <v>Automotive Sales Tooling 201708</v>
      </c>
      <c r="E502" s="43" t="str">
        <f t="shared" si="36"/>
        <v>Automotive Sales Tooling</v>
      </c>
      <c r="F502" s="47" t="str">
        <f t="shared" si="37"/>
        <v>08</v>
      </c>
      <c r="G502" s="47" t="str">
        <f t="shared" si="38"/>
        <v>2017</v>
      </c>
      <c r="H502" s="40">
        <f t="shared" si="39"/>
        <v>4876</v>
      </c>
    </row>
    <row r="503" spans="2:8" x14ac:dyDescent="0.35">
      <c r="B503" s="31" t="s">
        <v>1009</v>
      </c>
      <c r="C503" s="29">
        <v>528608.74340000004</v>
      </c>
      <c r="D503" s="46" t="str">
        <f t="shared" si="35"/>
        <v>Bulk Sales 201708</v>
      </c>
      <c r="E503" s="43" t="str">
        <f t="shared" si="36"/>
        <v>Bulk Sales</v>
      </c>
      <c r="F503" s="47" t="str">
        <f t="shared" si="37"/>
        <v>08</v>
      </c>
      <c r="G503" s="47" t="str">
        <f t="shared" si="38"/>
        <v>2017</v>
      </c>
      <c r="H503" s="40">
        <f t="shared" si="39"/>
        <v>528608.74340000004</v>
      </c>
    </row>
    <row r="504" spans="2:8" x14ac:dyDescent="0.35">
      <c r="B504" s="31" t="s">
        <v>1010</v>
      </c>
      <c r="C504" s="29">
        <v>0</v>
      </c>
      <c r="D504" s="46" t="str">
        <f t="shared" si="35"/>
        <v>Bulk Sales Tooling 201708</v>
      </c>
      <c r="E504" s="43" t="str">
        <f t="shared" si="36"/>
        <v>Bulk Sales Tooling</v>
      </c>
      <c r="F504" s="47" t="str">
        <f t="shared" si="37"/>
        <v>08</v>
      </c>
      <c r="G504" s="47" t="str">
        <f t="shared" si="38"/>
        <v>2017</v>
      </c>
      <c r="H504" s="40">
        <f t="shared" si="39"/>
        <v>0</v>
      </c>
    </row>
    <row r="505" spans="2:8" x14ac:dyDescent="0.35">
      <c r="B505" s="31" t="s">
        <v>1011</v>
      </c>
      <c r="C505" s="29">
        <v>385924.42560000002</v>
      </c>
      <c r="D505" s="46" t="str">
        <f t="shared" si="35"/>
        <v>Consumer Sales 201708</v>
      </c>
      <c r="E505" s="43" t="str">
        <f t="shared" si="36"/>
        <v>Consumer Sales</v>
      </c>
      <c r="F505" s="47" t="str">
        <f t="shared" si="37"/>
        <v>08</v>
      </c>
      <c r="G505" s="47" t="str">
        <f t="shared" si="38"/>
        <v>2017</v>
      </c>
      <c r="H505" s="40">
        <f t="shared" si="39"/>
        <v>385924.42560000002</v>
      </c>
    </row>
    <row r="506" spans="2:8" x14ac:dyDescent="0.35">
      <c r="B506" s="31" t="s">
        <v>1012</v>
      </c>
      <c r="C506" s="29">
        <v>23760</v>
      </c>
      <c r="D506" s="46" t="str">
        <f t="shared" si="35"/>
        <v>Consumer Sales Tooling 201708</v>
      </c>
      <c r="E506" s="43" t="str">
        <f t="shared" si="36"/>
        <v>Consumer Sales Tooling</v>
      </c>
      <c r="F506" s="47" t="str">
        <f t="shared" si="37"/>
        <v>08</v>
      </c>
      <c r="G506" s="47" t="str">
        <f t="shared" si="38"/>
        <v>2017</v>
      </c>
      <c r="H506" s="40">
        <f t="shared" si="39"/>
        <v>23760</v>
      </c>
    </row>
    <row r="507" spans="2:8" x14ac:dyDescent="0.35">
      <c r="B507" s="31" t="s">
        <v>1013</v>
      </c>
      <c r="C507" s="29">
        <v>0</v>
      </c>
      <c r="D507" s="46" t="str">
        <f t="shared" si="35"/>
        <v>Electronics Sales 201708</v>
      </c>
      <c r="E507" s="43" t="str">
        <f t="shared" si="36"/>
        <v>Electronics Sales</v>
      </c>
      <c r="F507" s="47" t="str">
        <f t="shared" si="37"/>
        <v>08</v>
      </c>
      <c r="G507" s="47" t="str">
        <f t="shared" si="38"/>
        <v>2017</v>
      </c>
      <c r="H507" s="40">
        <f t="shared" si="39"/>
        <v>0</v>
      </c>
    </row>
    <row r="508" spans="2:8" x14ac:dyDescent="0.35">
      <c r="B508" s="31" t="s">
        <v>1014</v>
      </c>
      <c r="C508" s="29">
        <v>-5711.9999999999991</v>
      </c>
      <c r="D508" s="46" t="str">
        <f t="shared" si="35"/>
        <v>Electronics Sales Tooling 201708</v>
      </c>
      <c r="E508" s="43" t="str">
        <f t="shared" si="36"/>
        <v>Electronics Sales Tooling</v>
      </c>
      <c r="F508" s="47" t="str">
        <f t="shared" si="37"/>
        <v>08</v>
      </c>
      <c r="G508" s="47" t="str">
        <f t="shared" si="38"/>
        <v>2017</v>
      </c>
      <c r="H508" s="40">
        <f t="shared" si="39"/>
        <v>-5711.9999999999991</v>
      </c>
    </row>
    <row r="509" spans="2:8" x14ac:dyDescent="0.35">
      <c r="B509" s="31" t="s">
        <v>1015</v>
      </c>
      <c r="C509" s="29">
        <v>55877.850000000006</v>
      </c>
      <c r="D509" s="46" t="str">
        <f t="shared" si="35"/>
        <v>Mechanic Sales 201708</v>
      </c>
      <c r="E509" s="43" t="str">
        <f t="shared" si="36"/>
        <v>Mechanic Sales</v>
      </c>
      <c r="F509" s="47" t="str">
        <f t="shared" si="37"/>
        <v>08</v>
      </c>
      <c r="G509" s="47" t="str">
        <f t="shared" si="38"/>
        <v>2017</v>
      </c>
      <c r="H509" s="40">
        <f t="shared" si="39"/>
        <v>55877.850000000006</v>
      </c>
    </row>
    <row r="510" spans="2:8" x14ac:dyDescent="0.35">
      <c r="B510" s="31" t="s">
        <v>1016</v>
      </c>
      <c r="C510" s="29">
        <v>0</v>
      </c>
      <c r="D510" s="46" t="str">
        <f t="shared" si="35"/>
        <v>Mechanic Sales Tooling 201708</v>
      </c>
      <c r="E510" s="43" t="str">
        <f t="shared" si="36"/>
        <v>Mechanic Sales Tooling</v>
      </c>
      <c r="F510" s="47" t="str">
        <f t="shared" si="37"/>
        <v>08</v>
      </c>
      <c r="G510" s="47" t="str">
        <f t="shared" si="38"/>
        <v>2017</v>
      </c>
      <c r="H510" s="40">
        <f t="shared" si="39"/>
        <v>0</v>
      </c>
    </row>
    <row r="511" spans="2:8" x14ac:dyDescent="0.35">
      <c r="B511" s="31" t="s">
        <v>1017</v>
      </c>
      <c r="C511" s="29">
        <v>0</v>
      </c>
      <c r="D511" s="46" t="str">
        <f t="shared" si="35"/>
        <v>Non Operating sales201708</v>
      </c>
      <c r="E511" s="43" t="str">
        <f t="shared" si="36"/>
        <v>Non Operating sale</v>
      </c>
      <c r="F511" s="47" t="str">
        <f t="shared" si="37"/>
        <v>08</v>
      </c>
      <c r="G511" s="47" t="str">
        <f t="shared" si="38"/>
        <v>2017</v>
      </c>
      <c r="H511" s="40">
        <f t="shared" si="39"/>
        <v>0</v>
      </c>
    </row>
    <row r="512" spans="2:8" x14ac:dyDescent="0.35">
      <c r="B512" s="31" t="s">
        <v>1018</v>
      </c>
      <c r="C512" s="29">
        <v>203951.6716</v>
      </c>
      <c r="D512" s="46" t="str">
        <f t="shared" si="35"/>
        <v>Partner Sales 201708</v>
      </c>
      <c r="E512" s="43" t="str">
        <f t="shared" si="36"/>
        <v>Partner Sales</v>
      </c>
      <c r="F512" s="47" t="str">
        <f t="shared" si="37"/>
        <v>08</v>
      </c>
      <c r="G512" s="47" t="str">
        <f t="shared" si="38"/>
        <v>2017</v>
      </c>
      <c r="H512" s="40">
        <f t="shared" si="39"/>
        <v>203951.6716</v>
      </c>
    </row>
    <row r="513" spans="2:8" x14ac:dyDescent="0.35">
      <c r="B513" s="31" t="s">
        <v>1019</v>
      </c>
      <c r="C513" s="29">
        <v>0</v>
      </c>
      <c r="D513" s="46" t="str">
        <f t="shared" si="35"/>
        <v>Partner Sales Tooling 201708</v>
      </c>
      <c r="E513" s="43" t="str">
        <f t="shared" si="36"/>
        <v>Partner Sales Tooling</v>
      </c>
      <c r="F513" s="47" t="str">
        <f t="shared" si="37"/>
        <v>08</v>
      </c>
      <c r="G513" s="47" t="str">
        <f t="shared" si="38"/>
        <v>2017</v>
      </c>
      <c r="H513" s="40">
        <f t="shared" si="39"/>
        <v>0</v>
      </c>
    </row>
    <row r="514" spans="2:8" x14ac:dyDescent="0.35">
      <c r="B514" s="31" t="s">
        <v>1020</v>
      </c>
      <c r="C514" s="29">
        <v>-5055.9179999999997</v>
      </c>
      <c r="D514" s="46" t="str">
        <f t="shared" si="35"/>
        <v>Sales - Discounts 201708</v>
      </c>
      <c r="E514" s="43" t="str">
        <f t="shared" si="36"/>
        <v>Sales - Discounts</v>
      </c>
      <c r="F514" s="47" t="str">
        <f t="shared" si="37"/>
        <v>08</v>
      </c>
      <c r="G514" s="47" t="str">
        <f t="shared" si="38"/>
        <v>2017</v>
      </c>
      <c r="H514" s="40">
        <f t="shared" si="39"/>
        <v>-5055.9179999999997</v>
      </c>
    </row>
    <row r="515" spans="2:8" x14ac:dyDescent="0.35">
      <c r="B515" s="31" t="s">
        <v>1021</v>
      </c>
      <c r="C515" s="29">
        <v>7123.2913000000008</v>
      </c>
      <c r="D515" s="46" t="str">
        <f t="shared" si="35"/>
        <v>Sales - Freight Out 201708</v>
      </c>
      <c r="E515" s="43" t="str">
        <f t="shared" si="36"/>
        <v>Sales - Freight Out</v>
      </c>
      <c r="F515" s="47" t="str">
        <f t="shared" si="37"/>
        <v>08</v>
      </c>
      <c r="G515" s="47" t="str">
        <f t="shared" si="38"/>
        <v>2017</v>
      </c>
      <c r="H515" s="40">
        <f t="shared" si="39"/>
        <v>7123.2913000000008</v>
      </c>
    </row>
    <row r="516" spans="2:8" x14ac:dyDescent="0.35">
      <c r="B516" s="31" t="s">
        <v>1022</v>
      </c>
      <c r="C516" s="29">
        <v>-9846.6625000000004</v>
      </c>
      <c r="D516" s="46" t="str">
        <f t="shared" si="35"/>
        <v>Sales - Returns 201708</v>
      </c>
      <c r="E516" s="43" t="str">
        <f t="shared" si="36"/>
        <v>Sales - Returns</v>
      </c>
      <c r="F516" s="47" t="str">
        <f t="shared" si="37"/>
        <v>08</v>
      </c>
      <c r="G516" s="47" t="str">
        <f t="shared" si="38"/>
        <v>2017</v>
      </c>
      <c r="H516" s="40">
        <f t="shared" si="39"/>
        <v>-9846.6625000000004</v>
      </c>
    </row>
    <row r="517" spans="2:8" x14ac:dyDescent="0.35">
      <c r="B517" s="31" t="s">
        <v>1023</v>
      </c>
      <c r="C517" s="29">
        <v>122355.21869999998</v>
      </c>
      <c r="D517" s="46" t="str">
        <f t="shared" si="35"/>
        <v>Automotive Sales 201709</v>
      </c>
      <c r="E517" s="43" t="str">
        <f t="shared" si="36"/>
        <v>Automotive Sales</v>
      </c>
      <c r="F517" s="47" t="str">
        <f t="shared" si="37"/>
        <v>09</v>
      </c>
      <c r="G517" s="47" t="str">
        <f t="shared" si="38"/>
        <v>2017</v>
      </c>
      <c r="H517" s="40">
        <f t="shared" si="39"/>
        <v>122355.21869999998</v>
      </c>
    </row>
    <row r="518" spans="2:8" x14ac:dyDescent="0.35">
      <c r="B518" s="31" t="s">
        <v>1024</v>
      </c>
      <c r="C518" s="29">
        <v>11183</v>
      </c>
      <c r="D518" s="46" t="str">
        <f t="shared" ref="D518:D580" si="40">TRIM(B518)</f>
        <v>Automotive Sales Tooling 201709</v>
      </c>
      <c r="E518" s="43" t="str">
        <f t="shared" ref="E518:E580" si="41">LEFT(D518,LEN(D518)-7)</f>
        <v>Automotive Sales Tooling</v>
      </c>
      <c r="F518" s="47" t="str">
        <f t="shared" ref="F518:F580" si="42">RIGHT(D518,2)</f>
        <v>09</v>
      </c>
      <c r="G518" s="47" t="str">
        <f t="shared" ref="G518:G580" si="43">RIGHT(LEFT(D518,LEN(D518)-2),4)</f>
        <v>2017</v>
      </c>
      <c r="H518" s="40">
        <f t="shared" ref="H518:H580" si="44">C518</f>
        <v>11183</v>
      </c>
    </row>
    <row r="519" spans="2:8" x14ac:dyDescent="0.35">
      <c r="B519" s="31" t="s">
        <v>1025</v>
      </c>
      <c r="C519" s="29">
        <v>575681.09340000001</v>
      </c>
      <c r="D519" s="46" t="str">
        <f t="shared" si="40"/>
        <v>Bulk Sales 201709</v>
      </c>
      <c r="E519" s="43" t="str">
        <f t="shared" si="41"/>
        <v>Bulk Sales</v>
      </c>
      <c r="F519" s="47" t="str">
        <f t="shared" si="42"/>
        <v>09</v>
      </c>
      <c r="G519" s="47" t="str">
        <f t="shared" si="43"/>
        <v>2017</v>
      </c>
      <c r="H519" s="40">
        <f t="shared" si="44"/>
        <v>575681.09340000001</v>
      </c>
    </row>
    <row r="520" spans="2:8" x14ac:dyDescent="0.35">
      <c r="B520" s="31" t="s">
        <v>1026</v>
      </c>
      <c r="C520" s="29">
        <v>4860</v>
      </c>
      <c r="D520" s="46" t="str">
        <f t="shared" si="40"/>
        <v>Bulk Sales Tooling 201709</v>
      </c>
      <c r="E520" s="43" t="str">
        <f t="shared" si="41"/>
        <v>Bulk Sales Tooling</v>
      </c>
      <c r="F520" s="47" t="str">
        <f t="shared" si="42"/>
        <v>09</v>
      </c>
      <c r="G520" s="47" t="str">
        <f t="shared" si="43"/>
        <v>2017</v>
      </c>
      <c r="H520" s="40">
        <f t="shared" si="44"/>
        <v>4860</v>
      </c>
    </row>
    <row r="521" spans="2:8" x14ac:dyDescent="0.35">
      <c r="B521" s="31" t="s">
        <v>1027</v>
      </c>
      <c r="C521" s="29">
        <v>293466.22639999999</v>
      </c>
      <c r="D521" s="46" t="str">
        <f t="shared" si="40"/>
        <v>Consumer Sales 201709</v>
      </c>
      <c r="E521" s="43" t="str">
        <f t="shared" si="41"/>
        <v>Consumer Sales</v>
      </c>
      <c r="F521" s="47" t="str">
        <f t="shared" si="42"/>
        <v>09</v>
      </c>
      <c r="G521" s="47" t="str">
        <f t="shared" si="43"/>
        <v>2017</v>
      </c>
      <c r="H521" s="40">
        <f t="shared" si="44"/>
        <v>293466.22639999999</v>
      </c>
    </row>
    <row r="522" spans="2:8" x14ac:dyDescent="0.35">
      <c r="B522" s="31" t="s">
        <v>1028</v>
      </c>
      <c r="C522" s="29">
        <v>61020</v>
      </c>
      <c r="D522" s="46" t="str">
        <f t="shared" si="40"/>
        <v>Consumer Sales Tooling 201709</v>
      </c>
      <c r="E522" s="43" t="str">
        <f t="shared" si="41"/>
        <v>Consumer Sales Tooling</v>
      </c>
      <c r="F522" s="47" t="str">
        <f t="shared" si="42"/>
        <v>09</v>
      </c>
      <c r="G522" s="47" t="str">
        <f t="shared" si="43"/>
        <v>2017</v>
      </c>
      <c r="H522" s="40">
        <f t="shared" si="44"/>
        <v>61020</v>
      </c>
    </row>
    <row r="523" spans="2:8" x14ac:dyDescent="0.35">
      <c r="B523" s="31" t="s">
        <v>1029</v>
      </c>
      <c r="C523" s="29">
        <v>3830.3999999999996</v>
      </c>
      <c r="D523" s="46" t="str">
        <f t="shared" si="40"/>
        <v>Electronics Sales 201709</v>
      </c>
      <c r="E523" s="43" t="str">
        <f t="shared" si="41"/>
        <v>Electronics Sales</v>
      </c>
      <c r="F523" s="47" t="str">
        <f t="shared" si="42"/>
        <v>09</v>
      </c>
      <c r="G523" s="47" t="str">
        <f t="shared" si="43"/>
        <v>2017</v>
      </c>
      <c r="H523" s="40">
        <f t="shared" si="44"/>
        <v>3830.3999999999996</v>
      </c>
    </row>
    <row r="524" spans="2:8" x14ac:dyDescent="0.35">
      <c r="B524" s="31" t="s">
        <v>1030</v>
      </c>
      <c r="C524" s="29">
        <v>5711.9999999999991</v>
      </c>
      <c r="D524" s="46" t="str">
        <f t="shared" si="40"/>
        <v>Electronics Sales Tooling 201709</v>
      </c>
      <c r="E524" s="43" t="str">
        <f t="shared" si="41"/>
        <v>Electronics Sales Tooling</v>
      </c>
      <c r="F524" s="47" t="str">
        <f t="shared" si="42"/>
        <v>09</v>
      </c>
      <c r="G524" s="47" t="str">
        <f t="shared" si="43"/>
        <v>2017</v>
      </c>
      <c r="H524" s="40">
        <f t="shared" si="44"/>
        <v>5711.9999999999991</v>
      </c>
    </row>
    <row r="525" spans="2:8" x14ac:dyDescent="0.35">
      <c r="B525" s="31" t="s">
        <v>1031</v>
      </c>
      <c r="C525" s="29">
        <v>0</v>
      </c>
      <c r="D525" s="46" t="str">
        <f t="shared" si="40"/>
        <v>Mechanic Sales 201709</v>
      </c>
      <c r="E525" s="43" t="str">
        <f t="shared" si="41"/>
        <v>Mechanic Sales</v>
      </c>
      <c r="F525" s="47" t="str">
        <f t="shared" si="42"/>
        <v>09</v>
      </c>
      <c r="G525" s="47" t="str">
        <f t="shared" si="43"/>
        <v>2017</v>
      </c>
      <c r="H525" s="40">
        <f t="shared" si="44"/>
        <v>0</v>
      </c>
    </row>
    <row r="526" spans="2:8" x14ac:dyDescent="0.35">
      <c r="B526" s="31" t="s">
        <v>1032</v>
      </c>
      <c r="C526" s="29">
        <v>40842.06</v>
      </c>
      <c r="D526" s="46" t="str">
        <f t="shared" si="40"/>
        <v>Mechanic Sales Tooling 201709</v>
      </c>
      <c r="E526" s="43" t="str">
        <f t="shared" si="41"/>
        <v>Mechanic Sales Tooling</v>
      </c>
      <c r="F526" s="47" t="str">
        <f t="shared" si="42"/>
        <v>09</v>
      </c>
      <c r="G526" s="47" t="str">
        <f t="shared" si="43"/>
        <v>2017</v>
      </c>
      <c r="H526" s="40">
        <f t="shared" si="44"/>
        <v>40842.06</v>
      </c>
    </row>
    <row r="527" spans="2:8" x14ac:dyDescent="0.35">
      <c r="B527" s="31" t="s">
        <v>1033</v>
      </c>
      <c r="C527" s="29">
        <v>0</v>
      </c>
      <c r="D527" s="46" t="str">
        <f t="shared" si="40"/>
        <v>Non Operating sales201709</v>
      </c>
      <c r="E527" s="43" t="str">
        <f t="shared" si="41"/>
        <v>Non Operating sale</v>
      </c>
      <c r="F527" s="47" t="str">
        <f t="shared" si="42"/>
        <v>09</v>
      </c>
      <c r="G527" s="47" t="str">
        <f t="shared" si="43"/>
        <v>2017</v>
      </c>
      <c r="H527" s="40">
        <f t="shared" si="44"/>
        <v>0</v>
      </c>
    </row>
    <row r="528" spans="2:8" x14ac:dyDescent="0.35">
      <c r="B528" s="31" t="s">
        <v>1034</v>
      </c>
      <c r="C528" s="29">
        <v>103841.74559999999</v>
      </c>
      <c r="D528" s="46" t="str">
        <f t="shared" si="40"/>
        <v>Partner Sales 201709</v>
      </c>
      <c r="E528" s="43" t="str">
        <f t="shared" si="41"/>
        <v>Partner Sales</v>
      </c>
      <c r="F528" s="47" t="str">
        <f t="shared" si="42"/>
        <v>09</v>
      </c>
      <c r="G528" s="47" t="str">
        <f t="shared" si="43"/>
        <v>2017</v>
      </c>
      <c r="H528" s="40">
        <f t="shared" si="44"/>
        <v>103841.74559999999</v>
      </c>
    </row>
    <row r="529" spans="2:8" x14ac:dyDescent="0.35">
      <c r="B529" s="31" t="s">
        <v>1035</v>
      </c>
      <c r="C529" s="29">
        <v>15382.199999999999</v>
      </c>
      <c r="D529" s="46" t="str">
        <f t="shared" si="40"/>
        <v>Partner Sales Tooling 201709</v>
      </c>
      <c r="E529" s="43" t="str">
        <f t="shared" si="41"/>
        <v>Partner Sales Tooling</v>
      </c>
      <c r="F529" s="47" t="str">
        <f t="shared" si="42"/>
        <v>09</v>
      </c>
      <c r="G529" s="47" t="str">
        <f t="shared" si="43"/>
        <v>2017</v>
      </c>
      <c r="H529" s="40">
        <f t="shared" si="44"/>
        <v>15382.199999999999</v>
      </c>
    </row>
    <row r="530" spans="2:8" x14ac:dyDescent="0.35">
      <c r="B530" s="31" t="s">
        <v>1036</v>
      </c>
      <c r="C530" s="29">
        <v>-943.69799999999998</v>
      </c>
      <c r="D530" s="46" t="str">
        <f t="shared" si="40"/>
        <v>Sales - Discounts 201709</v>
      </c>
      <c r="E530" s="43" t="str">
        <f t="shared" si="41"/>
        <v>Sales - Discounts</v>
      </c>
      <c r="F530" s="47" t="str">
        <f t="shared" si="42"/>
        <v>09</v>
      </c>
      <c r="G530" s="47" t="str">
        <f t="shared" si="43"/>
        <v>2017</v>
      </c>
      <c r="H530" s="40">
        <f t="shared" si="44"/>
        <v>-943.69799999999998</v>
      </c>
    </row>
    <row r="531" spans="2:8" x14ac:dyDescent="0.35">
      <c r="B531" s="31" t="s">
        <v>1037</v>
      </c>
      <c r="C531" s="29">
        <v>177.0582</v>
      </c>
      <c r="D531" s="46" t="str">
        <f t="shared" si="40"/>
        <v>Sales - Freight Out 201709</v>
      </c>
      <c r="E531" s="43" t="str">
        <f t="shared" si="41"/>
        <v>Sales - Freight Out</v>
      </c>
      <c r="F531" s="47" t="str">
        <f t="shared" si="42"/>
        <v>09</v>
      </c>
      <c r="G531" s="47" t="str">
        <f t="shared" si="43"/>
        <v>2017</v>
      </c>
      <c r="H531" s="40">
        <f t="shared" si="44"/>
        <v>177.0582</v>
      </c>
    </row>
    <row r="532" spans="2:8" x14ac:dyDescent="0.35">
      <c r="B532" s="31" t="s">
        <v>1038</v>
      </c>
      <c r="C532" s="29">
        <v>-23151.45</v>
      </c>
      <c r="D532" s="46" t="str">
        <f t="shared" si="40"/>
        <v>Sales - Returns 201709</v>
      </c>
      <c r="E532" s="43" t="str">
        <f t="shared" si="41"/>
        <v>Sales - Returns</v>
      </c>
      <c r="F532" s="47" t="str">
        <f t="shared" si="42"/>
        <v>09</v>
      </c>
      <c r="G532" s="47" t="str">
        <f t="shared" si="43"/>
        <v>2017</v>
      </c>
      <c r="H532" s="40">
        <f t="shared" si="44"/>
        <v>-23151.45</v>
      </c>
    </row>
    <row r="533" spans="2:8" x14ac:dyDescent="0.35">
      <c r="B533" s="31" t="s">
        <v>1039</v>
      </c>
      <c r="C533" s="29">
        <v>345223.06390000001</v>
      </c>
      <c r="D533" s="46" t="str">
        <f t="shared" si="40"/>
        <v>Automotive Sales 201710</v>
      </c>
      <c r="E533" s="43" t="str">
        <f t="shared" si="41"/>
        <v>Automotive Sales</v>
      </c>
      <c r="F533" s="47" t="str">
        <f t="shared" si="42"/>
        <v>10</v>
      </c>
      <c r="G533" s="47" t="str">
        <f t="shared" si="43"/>
        <v>2017</v>
      </c>
      <c r="H533" s="40">
        <f t="shared" si="44"/>
        <v>345223.06390000001</v>
      </c>
    </row>
    <row r="534" spans="2:8" x14ac:dyDescent="0.35">
      <c r="B534" s="31" t="s">
        <v>1040</v>
      </c>
      <c r="C534" s="29">
        <v>0</v>
      </c>
      <c r="D534" s="46" t="str">
        <f t="shared" si="40"/>
        <v>Automotive Sales Tooling 201710</v>
      </c>
      <c r="E534" s="43" t="str">
        <f t="shared" si="41"/>
        <v>Automotive Sales Tooling</v>
      </c>
      <c r="F534" s="47" t="str">
        <f t="shared" si="42"/>
        <v>10</v>
      </c>
      <c r="G534" s="47" t="str">
        <f t="shared" si="43"/>
        <v>2017</v>
      </c>
      <c r="H534" s="40">
        <f t="shared" si="44"/>
        <v>0</v>
      </c>
    </row>
    <row r="535" spans="2:8" x14ac:dyDescent="0.35">
      <c r="B535" s="31" t="s">
        <v>1041</v>
      </c>
      <c r="C535" s="29">
        <v>791885.96070000005</v>
      </c>
      <c r="D535" s="46" t="str">
        <f t="shared" si="40"/>
        <v>Bulk Sales 201710</v>
      </c>
      <c r="E535" s="43" t="str">
        <f t="shared" si="41"/>
        <v>Bulk Sales</v>
      </c>
      <c r="F535" s="47" t="str">
        <f t="shared" si="42"/>
        <v>10</v>
      </c>
      <c r="G535" s="47" t="str">
        <f t="shared" si="43"/>
        <v>2017</v>
      </c>
      <c r="H535" s="40">
        <f t="shared" si="44"/>
        <v>791885.96070000005</v>
      </c>
    </row>
    <row r="536" spans="2:8" x14ac:dyDescent="0.35">
      <c r="B536" s="31" t="s">
        <v>1042</v>
      </c>
      <c r="C536" s="29">
        <v>70740</v>
      </c>
      <c r="D536" s="46" t="str">
        <f t="shared" si="40"/>
        <v>Bulk Sales Tooling 201710</v>
      </c>
      <c r="E536" s="43" t="str">
        <f t="shared" si="41"/>
        <v>Bulk Sales Tooling</v>
      </c>
      <c r="F536" s="47" t="str">
        <f t="shared" si="42"/>
        <v>10</v>
      </c>
      <c r="G536" s="47" t="str">
        <f t="shared" si="43"/>
        <v>2017</v>
      </c>
      <c r="H536" s="40">
        <f t="shared" si="44"/>
        <v>70740</v>
      </c>
    </row>
    <row r="537" spans="2:8" x14ac:dyDescent="0.35">
      <c r="B537" s="31" t="s">
        <v>1043</v>
      </c>
      <c r="C537" s="29">
        <v>494472.13199999998</v>
      </c>
      <c r="D537" s="46" t="str">
        <f t="shared" si="40"/>
        <v>Consumer Sales 201710</v>
      </c>
      <c r="E537" s="43" t="str">
        <f t="shared" si="41"/>
        <v>Consumer Sales</v>
      </c>
      <c r="F537" s="47" t="str">
        <f t="shared" si="42"/>
        <v>10</v>
      </c>
      <c r="G537" s="47" t="str">
        <f t="shared" si="43"/>
        <v>2017</v>
      </c>
      <c r="H537" s="40">
        <f t="shared" si="44"/>
        <v>494472.13199999998</v>
      </c>
    </row>
    <row r="538" spans="2:8" x14ac:dyDescent="0.35">
      <c r="B538" s="31" t="s">
        <v>1044</v>
      </c>
      <c r="C538" s="29">
        <v>14112</v>
      </c>
      <c r="D538" s="46" t="str">
        <f t="shared" si="40"/>
        <v>Consumer Sales Tooling 201710</v>
      </c>
      <c r="E538" s="43" t="str">
        <f t="shared" si="41"/>
        <v>Consumer Sales Tooling</v>
      </c>
      <c r="F538" s="47" t="str">
        <f t="shared" si="42"/>
        <v>10</v>
      </c>
      <c r="G538" s="47" t="str">
        <f t="shared" si="43"/>
        <v>2017</v>
      </c>
      <c r="H538" s="40">
        <f t="shared" si="44"/>
        <v>14112</v>
      </c>
    </row>
    <row r="539" spans="2:8" x14ac:dyDescent="0.35">
      <c r="B539" s="31" t="s">
        <v>1045</v>
      </c>
      <c r="C539" s="29">
        <v>22089.599999999999</v>
      </c>
      <c r="D539" s="46" t="str">
        <f t="shared" si="40"/>
        <v>Electronics Sales 201710</v>
      </c>
      <c r="E539" s="43" t="str">
        <f t="shared" si="41"/>
        <v>Electronics Sales</v>
      </c>
      <c r="F539" s="47" t="str">
        <f t="shared" si="42"/>
        <v>10</v>
      </c>
      <c r="G539" s="47" t="str">
        <f t="shared" si="43"/>
        <v>2017</v>
      </c>
      <c r="H539" s="40">
        <f t="shared" si="44"/>
        <v>22089.599999999999</v>
      </c>
    </row>
    <row r="540" spans="2:8" x14ac:dyDescent="0.35">
      <c r="B540" s="31" t="s">
        <v>1046</v>
      </c>
      <c r="C540" s="29">
        <v>0</v>
      </c>
      <c r="D540" s="46" t="str">
        <f t="shared" si="40"/>
        <v>Electronics Sales Tooling 201710</v>
      </c>
      <c r="E540" s="43" t="str">
        <f t="shared" si="41"/>
        <v>Electronics Sales Tooling</v>
      </c>
      <c r="F540" s="47" t="str">
        <f t="shared" si="42"/>
        <v>10</v>
      </c>
      <c r="G540" s="47" t="str">
        <f t="shared" si="43"/>
        <v>2017</v>
      </c>
      <c r="H540" s="40">
        <f t="shared" si="44"/>
        <v>0</v>
      </c>
    </row>
    <row r="541" spans="2:8" x14ac:dyDescent="0.35">
      <c r="B541" s="31" t="s">
        <v>1047</v>
      </c>
      <c r="C541" s="29">
        <v>23504.175000000003</v>
      </c>
      <c r="D541" s="46" t="str">
        <f t="shared" si="40"/>
        <v>Mechanic Sales 201710</v>
      </c>
      <c r="E541" s="43" t="str">
        <f t="shared" si="41"/>
        <v>Mechanic Sales</v>
      </c>
      <c r="F541" s="47" t="str">
        <f t="shared" si="42"/>
        <v>10</v>
      </c>
      <c r="G541" s="47" t="str">
        <f t="shared" si="43"/>
        <v>2017</v>
      </c>
      <c r="H541" s="40">
        <f t="shared" si="44"/>
        <v>23504.175000000003</v>
      </c>
    </row>
    <row r="542" spans="2:8" x14ac:dyDescent="0.35">
      <c r="B542" s="31" t="s">
        <v>1048</v>
      </c>
      <c r="C542" s="29">
        <v>50971.5</v>
      </c>
      <c r="D542" s="46" t="str">
        <f t="shared" si="40"/>
        <v>Mechanic Sales Tooling 201710</v>
      </c>
      <c r="E542" s="43" t="str">
        <f t="shared" si="41"/>
        <v>Mechanic Sales Tooling</v>
      </c>
      <c r="F542" s="47" t="str">
        <f t="shared" si="42"/>
        <v>10</v>
      </c>
      <c r="G542" s="47" t="str">
        <f t="shared" si="43"/>
        <v>2017</v>
      </c>
      <c r="H542" s="40">
        <f t="shared" si="44"/>
        <v>50971.5</v>
      </c>
    </row>
    <row r="543" spans="2:8" x14ac:dyDescent="0.35">
      <c r="B543" s="31" t="s">
        <v>1049</v>
      </c>
      <c r="C543" s="29">
        <v>0</v>
      </c>
      <c r="D543" s="46" t="str">
        <f t="shared" si="40"/>
        <v>Non Operating sales201710</v>
      </c>
      <c r="E543" s="43" t="str">
        <f t="shared" si="41"/>
        <v>Non Operating sale</v>
      </c>
      <c r="F543" s="47" t="str">
        <f t="shared" si="42"/>
        <v>10</v>
      </c>
      <c r="G543" s="47" t="str">
        <f t="shared" si="43"/>
        <v>2017</v>
      </c>
      <c r="H543" s="40">
        <f t="shared" si="44"/>
        <v>0</v>
      </c>
    </row>
    <row r="544" spans="2:8" x14ac:dyDescent="0.35">
      <c r="B544" s="31" t="s">
        <v>1050</v>
      </c>
      <c r="C544" s="29">
        <v>193660.36440000002</v>
      </c>
      <c r="D544" s="46" t="str">
        <f t="shared" si="40"/>
        <v>Partner Sales 201710</v>
      </c>
      <c r="E544" s="43" t="str">
        <f t="shared" si="41"/>
        <v>Partner Sales</v>
      </c>
      <c r="F544" s="47" t="str">
        <f t="shared" si="42"/>
        <v>10</v>
      </c>
      <c r="G544" s="47" t="str">
        <f t="shared" si="43"/>
        <v>2017</v>
      </c>
      <c r="H544" s="40">
        <f t="shared" si="44"/>
        <v>193660.36440000002</v>
      </c>
    </row>
    <row r="545" spans="2:8" x14ac:dyDescent="0.35">
      <c r="B545" s="31" t="s">
        <v>1051</v>
      </c>
      <c r="C545" s="29">
        <v>0</v>
      </c>
      <c r="D545" s="46" t="str">
        <f t="shared" si="40"/>
        <v>Partner Sales Tooling 201710</v>
      </c>
      <c r="E545" s="43" t="str">
        <f t="shared" si="41"/>
        <v>Partner Sales Tooling</v>
      </c>
      <c r="F545" s="47" t="str">
        <f t="shared" si="42"/>
        <v>10</v>
      </c>
      <c r="G545" s="47" t="str">
        <f t="shared" si="43"/>
        <v>2017</v>
      </c>
      <c r="H545" s="40">
        <f t="shared" si="44"/>
        <v>0</v>
      </c>
    </row>
    <row r="546" spans="2:8" x14ac:dyDescent="0.35">
      <c r="B546" s="31" t="s">
        <v>1052</v>
      </c>
      <c r="C546" s="29">
        <v>-1542.4079999999999</v>
      </c>
      <c r="D546" s="46" t="str">
        <f t="shared" si="40"/>
        <v>Sales - Discounts 201710</v>
      </c>
      <c r="E546" s="43" t="str">
        <f t="shared" si="41"/>
        <v>Sales - Discounts</v>
      </c>
      <c r="F546" s="47" t="str">
        <f t="shared" si="42"/>
        <v>10</v>
      </c>
      <c r="G546" s="47" t="str">
        <f t="shared" si="43"/>
        <v>2017</v>
      </c>
      <c r="H546" s="40">
        <f t="shared" si="44"/>
        <v>-1542.4079999999999</v>
      </c>
    </row>
    <row r="547" spans="2:8" x14ac:dyDescent="0.35">
      <c r="B547" s="31" t="s">
        <v>1053</v>
      </c>
      <c r="C547" s="29">
        <v>217.4238</v>
      </c>
      <c r="D547" s="46" t="str">
        <f t="shared" si="40"/>
        <v>Sales - Freight Out 201710</v>
      </c>
      <c r="E547" s="43" t="str">
        <f t="shared" si="41"/>
        <v>Sales - Freight Out</v>
      </c>
      <c r="F547" s="47" t="str">
        <f t="shared" si="42"/>
        <v>10</v>
      </c>
      <c r="G547" s="47" t="str">
        <f t="shared" si="43"/>
        <v>2017</v>
      </c>
      <c r="H547" s="40">
        <f t="shared" si="44"/>
        <v>217.4238</v>
      </c>
    </row>
    <row r="548" spans="2:8" x14ac:dyDescent="0.35">
      <c r="B548" s="31" t="s">
        <v>1054</v>
      </c>
      <c r="C548" s="29">
        <v>-14966.1625</v>
      </c>
      <c r="D548" s="46" t="str">
        <f t="shared" si="40"/>
        <v>Sales - Returns 201710</v>
      </c>
      <c r="E548" s="43" t="str">
        <f t="shared" si="41"/>
        <v>Sales - Returns</v>
      </c>
      <c r="F548" s="47" t="str">
        <f t="shared" si="42"/>
        <v>10</v>
      </c>
      <c r="G548" s="47" t="str">
        <f t="shared" si="43"/>
        <v>2017</v>
      </c>
      <c r="H548" s="40">
        <f t="shared" si="44"/>
        <v>-14966.1625</v>
      </c>
    </row>
    <row r="549" spans="2:8" x14ac:dyDescent="0.35">
      <c r="B549" s="31" t="s">
        <v>1055</v>
      </c>
      <c r="C549" s="29">
        <v>264691.97039999999</v>
      </c>
      <c r="D549" s="46" t="str">
        <f t="shared" si="40"/>
        <v>Automotive Sales 201711</v>
      </c>
      <c r="E549" s="43" t="str">
        <f t="shared" si="41"/>
        <v>Automotive Sales</v>
      </c>
      <c r="F549" s="47" t="str">
        <f t="shared" si="42"/>
        <v>11</v>
      </c>
      <c r="G549" s="47" t="str">
        <f t="shared" si="43"/>
        <v>2017</v>
      </c>
      <c r="H549" s="40">
        <f t="shared" si="44"/>
        <v>264691.97039999999</v>
      </c>
    </row>
    <row r="550" spans="2:8" x14ac:dyDescent="0.35">
      <c r="B550" s="31" t="s">
        <v>1056</v>
      </c>
      <c r="C550" s="29">
        <v>0</v>
      </c>
      <c r="D550" s="46" t="str">
        <f t="shared" si="40"/>
        <v>Automotive Sales Tooling 201711</v>
      </c>
      <c r="E550" s="43" t="str">
        <f t="shared" si="41"/>
        <v>Automotive Sales Tooling</v>
      </c>
      <c r="F550" s="47" t="str">
        <f t="shared" si="42"/>
        <v>11</v>
      </c>
      <c r="G550" s="47" t="str">
        <f t="shared" si="43"/>
        <v>2017</v>
      </c>
      <c r="H550" s="40">
        <f t="shared" si="44"/>
        <v>0</v>
      </c>
    </row>
    <row r="551" spans="2:8" x14ac:dyDescent="0.35">
      <c r="B551" s="31" t="s">
        <v>1057</v>
      </c>
      <c r="C551" s="29">
        <v>689834.74610000011</v>
      </c>
      <c r="D551" s="46" t="str">
        <f t="shared" si="40"/>
        <v>Bulk Sales 201711</v>
      </c>
      <c r="E551" s="43" t="str">
        <f t="shared" si="41"/>
        <v>Bulk Sales</v>
      </c>
      <c r="F551" s="47" t="str">
        <f t="shared" si="42"/>
        <v>11</v>
      </c>
      <c r="G551" s="47" t="str">
        <f t="shared" si="43"/>
        <v>2017</v>
      </c>
      <c r="H551" s="40">
        <f t="shared" si="44"/>
        <v>689834.74610000011</v>
      </c>
    </row>
    <row r="552" spans="2:8" x14ac:dyDescent="0.35">
      <c r="B552" s="31" t="s">
        <v>1058</v>
      </c>
      <c r="C552" s="29">
        <v>0</v>
      </c>
      <c r="D552" s="46" t="str">
        <f t="shared" si="40"/>
        <v>Bulk Sales Tooling 201711</v>
      </c>
      <c r="E552" s="43" t="str">
        <f t="shared" si="41"/>
        <v>Bulk Sales Tooling</v>
      </c>
      <c r="F552" s="47" t="str">
        <f t="shared" si="42"/>
        <v>11</v>
      </c>
      <c r="G552" s="47" t="str">
        <f t="shared" si="43"/>
        <v>2017</v>
      </c>
      <c r="H552" s="40">
        <f t="shared" si="44"/>
        <v>0</v>
      </c>
    </row>
    <row r="553" spans="2:8" x14ac:dyDescent="0.35">
      <c r="B553" s="31" t="s">
        <v>1059</v>
      </c>
      <c r="C553" s="29">
        <v>604308.99599999993</v>
      </c>
      <c r="D553" s="46" t="str">
        <f t="shared" si="40"/>
        <v>Consumer Sales 201711</v>
      </c>
      <c r="E553" s="43" t="str">
        <f t="shared" si="41"/>
        <v>Consumer Sales</v>
      </c>
      <c r="F553" s="47" t="str">
        <f t="shared" si="42"/>
        <v>11</v>
      </c>
      <c r="G553" s="47" t="str">
        <f t="shared" si="43"/>
        <v>2017</v>
      </c>
      <c r="H553" s="40">
        <f t="shared" si="44"/>
        <v>604308.99599999993</v>
      </c>
    </row>
    <row r="554" spans="2:8" x14ac:dyDescent="0.35">
      <c r="B554" s="31" t="s">
        <v>1060</v>
      </c>
      <c r="C554" s="29">
        <v>0</v>
      </c>
      <c r="D554" s="46" t="str">
        <f t="shared" si="40"/>
        <v>Consumer Sales Tooling 201711</v>
      </c>
      <c r="E554" s="43" t="str">
        <f t="shared" si="41"/>
        <v>Consumer Sales Tooling</v>
      </c>
      <c r="F554" s="47" t="str">
        <f t="shared" si="42"/>
        <v>11</v>
      </c>
      <c r="G554" s="47" t="str">
        <f t="shared" si="43"/>
        <v>2017</v>
      </c>
      <c r="H554" s="40">
        <f t="shared" si="44"/>
        <v>0</v>
      </c>
    </row>
    <row r="555" spans="2:8" x14ac:dyDescent="0.35">
      <c r="B555" s="31" t="s">
        <v>1061</v>
      </c>
      <c r="C555" s="29">
        <v>9129.6</v>
      </c>
      <c r="D555" s="46" t="str">
        <f t="shared" si="40"/>
        <v>Electronics Sales 201711</v>
      </c>
      <c r="E555" s="43" t="str">
        <f t="shared" si="41"/>
        <v>Electronics Sales</v>
      </c>
      <c r="F555" s="47" t="str">
        <f t="shared" si="42"/>
        <v>11</v>
      </c>
      <c r="G555" s="47" t="str">
        <f t="shared" si="43"/>
        <v>2017</v>
      </c>
      <c r="H555" s="40">
        <f t="shared" si="44"/>
        <v>9129.6</v>
      </c>
    </row>
    <row r="556" spans="2:8" x14ac:dyDescent="0.35">
      <c r="B556" s="31" t="s">
        <v>1062</v>
      </c>
      <c r="C556" s="29">
        <v>0</v>
      </c>
      <c r="D556" s="46" t="str">
        <f t="shared" si="40"/>
        <v>Electronics Sales Tooling 201711</v>
      </c>
      <c r="E556" s="43" t="str">
        <f t="shared" si="41"/>
        <v>Electronics Sales Tooling</v>
      </c>
      <c r="F556" s="47" t="str">
        <f t="shared" si="42"/>
        <v>11</v>
      </c>
      <c r="G556" s="47" t="str">
        <f t="shared" si="43"/>
        <v>2017</v>
      </c>
      <c r="H556" s="40">
        <f t="shared" si="44"/>
        <v>0</v>
      </c>
    </row>
    <row r="557" spans="2:8" x14ac:dyDescent="0.35">
      <c r="B557" s="31" t="s">
        <v>1063</v>
      </c>
      <c r="C557" s="29">
        <v>79588.98</v>
      </c>
      <c r="D557" s="46" t="str">
        <f t="shared" si="40"/>
        <v>Mechanic Sales 201711</v>
      </c>
      <c r="E557" s="43" t="str">
        <f t="shared" si="41"/>
        <v>Mechanic Sales</v>
      </c>
      <c r="F557" s="47" t="str">
        <f t="shared" si="42"/>
        <v>11</v>
      </c>
      <c r="G557" s="47" t="str">
        <f t="shared" si="43"/>
        <v>2017</v>
      </c>
      <c r="H557" s="40">
        <f t="shared" si="44"/>
        <v>79588.98</v>
      </c>
    </row>
    <row r="558" spans="2:8" x14ac:dyDescent="0.35">
      <c r="B558" s="31" t="s">
        <v>1064</v>
      </c>
      <c r="C558" s="29">
        <v>0</v>
      </c>
      <c r="D558" s="46" t="str">
        <f t="shared" si="40"/>
        <v>Mechanic Sales Tooling 201711</v>
      </c>
      <c r="E558" s="43" t="str">
        <f t="shared" si="41"/>
        <v>Mechanic Sales Tooling</v>
      </c>
      <c r="F558" s="47" t="str">
        <f t="shared" si="42"/>
        <v>11</v>
      </c>
      <c r="G558" s="47" t="str">
        <f t="shared" si="43"/>
        <v>2017</v>
      </c>
      <c r="H558" s="40">
        <f t="shared" si="44"/>
        <v>0</v>
      </c>
    </row>
    <row r="559" spans="2:8" x14ac:dyDescent="0.35">
      <c r="B559" s="31" t="s">
        <v>1065</v>
      </c>
      <c r="C559" s="29">
        <v>0</v>
      </c>
      <c r="D559" s="46" t="str">
        <f t="shared" si="40"/>
        <v>Non Operating sales201711</v>
      </c>
      <c r="E559" s="43" t="str">
        <f t="shared" si="41"/>
        <v>Non Operating sale</v>
      </c>
      <c r="F559" s="47" t="str">
        <f t="shared" si="42"/>
        <v>11</v>
      </c>
      <c r="G559" s="47" t="str">
        <f t="shared" si="43"/>
        <v>2017</v>
      </c>
      <c r="H559" s="40">
        <f t="shared" si="44"/>
        <v>0</v>
      </c>
    </row>
    <row r="560" spans="2:8" x14ac:dyDescent="0.35">
      <c r="B560" s="31" t="s">
        <v>1066</v>
      </c>
      <c r="C560" s="29">
        <v>183306.21119999999</v>
      </c>
      <c r="D560" s="46" t="str">
        <f t="shared" si="40"/>
        <v>Partner Sales 201711</v>
      </c>
      <c r="E560" s="43" t="str">
        <f t="shared" si="41"/>
        <v>Partner Sales</v>
      </c>
      <c r="F560" s="47" t="str">
        <f t="shared" si="42"/>
        <v>11</v>
      </c>
      <c r="G560" s="47" t="str">
        <f t="shared" si="43"/>
        <v>2017</v>
      </c>
      <c r="H560" s="40">
        <f t="shared" si="44"/>
        <v>183306.21119999999</v>
      </c>
    </row>
    <row r="561" spans="2:8" x14ac:dyDescent="0.35">
      <c r="B561" s="31" t="s">
        <v>1067</v>
      </c>
      <c r="C561" s="29">
        <v>929.99999999999989</v>
      </c>
      <c r="D561" s="46" t="str">
        <f t="shared" si="40"/>
        <v>Partner Sales Tooling 201711</v>
      </c>
      <c r="E561" s="43" t="str">
        <f t="shared" si="41"/>
        <v>Partner Sales Tooling</v>
      </c>
      <c r="F561" s="47" t="str">
        <f t="shared" si="42"/>
        <v>11</v>
      </c>
      <c r="G561" s="47" t="str">
        <f t="shared" si="43"/>
        <v>2017</v>
      </c>
      <c r="H561" s="40">
        <f t="shared" si="44"/>
        <v>929.99999999999989</v>
      </c>
    </row>
    <row r="562" spans="2:8" x14ac:dyDescent="0.35">
      <c r="B562" s="31" t="s">
        <v>1068</v>
      </c>
      <c r="C562" s="29">
        <v>-3073.35</v>
      </c>
      <c r="D562" s="46" t="str">
        <f t="shared" si="40"/>
        <v>Sales - Discounts 201711</v>
      </c>
      <c r="E562" s="43" t="str">
        <f t="shared" si="41"/>
        <v>Sales - Discounts</v>
      </c>
      <c r="F562" s="47" t="str">
        <f t="shared" si="42"/>
        <v>11</v>
      </c>
      <c r="G562" s="47" t="str">
        <f t="shared" si="43"/>
        <v>2017</v>
      </c>
      <c r="H562" s="40">
        <f t="shared" si="44"/>
        <v>-3073.35</v>
      </c>
    </row>
    <row r="563" spans="2:8" x14ac:dyDescent="0.35">
      <c r="B563" s="31" t="s">
        <v>1069</v>
      </c>
      <c r="C563" s="29">
        <v>342.71840000000003</v>
      </c>
      <c r="D563" s="46" t="str">
        <f t="shared" si="40"/>
        <v>Sales - Freight Out 201711</v>
      </c>
      <c r="E563" s="43" t="str">
        <f t="shared" si="41"/>
        <v>Sales - Freight Out</v>
      </c>
      <c r="F563" s="47" t="str">
        <f t="shared" si="42"/>
        <v>11</v>
      </c>
      <c r="G563" s="47" t="str">
        <f t="shared" si="43"/>
        <v>2017</v>
      </c>
      <c r="H563" s="40">
        <f t="shared" si="44"/>
        <v>342.71840000000003</v>
      </c>
    </row>
    <row r="564" spans="2:8" x14ac:dyDescent="0.35">
      <c r="B564" s="31" t="s">
        <v>1070</v>
      </c>
      <c r="C564" s="29">
        <v>-45124.237500000003</v>
      </c>
      <c r="D564" s="46" t="str">
        <f t="shared" si="40"/>
        <v>Sales - Returns 201711</v>
      </c>
      <c r="E564" s="43" t="str">
        <f t="shared" si="41"/>
        <v>Sales - Returns</v>
      </c>
      <c r="F564" s="47" t="str">
        <f t="shared" si="42"/>
        <v>11</v>
      </c>
      <c r="G564" s="47" t="str">
        <f t="shared" si="43"/>
        <v>2017</v>
      </c>
      <c r="H564" s="40">
        <f t="shared" si="44"/>
        <v>-45124.237500000003</v>
      </c>
    </row>
    <row r="565" spans="2:8" x14ac:dyDescent="0.35">
      <c r="B565" s="31" t="s">
        <v>1071</v>
      </c>
      <c r="C565" s="29">
        <v>123970.31789999999</v>
      </c>
      <c r="D565" s="46" t="str">
        <f t="shared" si="40"/>
        <v>Automotive Sales 201712</v>
      </c>
      <c r="E565" s="43" t="str">
        <f t="shared" si="41"/>
        <v>Automotive Sales</v>
      </c>
      <c r="F565" s="47" t="str">
        <f t="shared" si="42"/>
        <v>12</v>
      </c>
      <c r="G565" s="47" t="str">
        <f t="shared" si="43"/>
        <v>2017</v>
      </c>
      <c r="H565" s="40">
        <f t="shared" si="44"/>
        <v>123970.31789999999</v>
      </c>
    </row>
    <row r="566" spans="2:8" x14ac:dyDescent="0.35">
      <c r="B566" s="31" t="s">
        <v>1072</v>
      </c>
      <c r="C566" s="29">
        <v>56155.832000000002</v>
      </c>
      <c r="D566" s="46" t="str">
        <f t="shared" si="40"/>
        <v>Automotive Sales Tooling 201712</v>
      </c>
      <c r="E566" s="43" t="str">
        <f t="shared" si="41"/>
        <v>Automotive Sales Tooling</v>
      </c>
      <c r="F566" s="47" t="str">
        <f t="shared" si="42"/>
        <v>12</v>
      </c>
      <c r="G566" s="47" t="str">
        <f t="shared" si="43"/>
        <v>2017</v>
      </c>
      <c r="H566" s="40">
        <f t="shared" si="44"/>
        <v>56155.832000000002</v>
      </c>
    </row>
    <row r="567" spans="2:8" x14ac:dyDescent="0.35">
      <c r="B567" s="31" t="s">
        <v>1073</v>
      </c>
      <c r="C567" s="29">
        <v>883712.97470000002</v>
      </c>
      <c r="D567" s="46" t="str">
        <f t="shared" si="40"/>
        <v>Bulk Sales 201712</v>
      </c>
      <c r="E567" s="43" t="str">
        <f t="shared" si="41"/>
        <v>Bulk Sales</v>
      </c>
      <c r="F567" s="47" t="str">
        <f t="shared" si="42"/>
        <v>12</v>
      </c>
      <c r="G567" s="47" t="str">
        <f t="shared" si="43"/>
        <v>2017</v>
      </c>
      <c r="H567" s="40">
        <f t="shared" si="44"/>
        <v>883712.97470000002</v>
      </c>
    </row>
    <row r="568" spans="2:8" x14ac:dyDescent="0.35">
      <c r="B568" s="31" t="s">
        <v>1074</v>
      </c>
      <c r="C568" s="29">
        <v>79128</v>
      </c>
      <c r="D568" s="46" t="str">
        <f t="shared" si="40"/>
        <v>Bulk Sales Tooling 201712</v>
      </c>
      <c r="E568" s="43" t="str">
        <f t="shared" si="41"/>
        <v>Bulk Sales Tooling</v>
      </c>
      <c r="F568" s="47" t="str">
        <f t="shared" si="42"/>
        <v>12</v>
      </c>
      <c r="G568" s="47" t="str">
        <f t="shared" si="43"/>
        <v>2017</v>
      </c>
      <c r="H568" s="40">
        <f t="shared" si="44"/>
        <v>79128</v>
      </c>
    </row>
    <row r="569" spans="2:8" x14ac:dyDescent="0.35">
      <c r="B569" s="31" t="s">
        <v>1075</v>
      </c>
      <c r="C569" s="29">
        <v>768382.64639999997</v>
      </c>
      <c r="D569" s="46" t="str">
        <f t="shared" si="40"/>
        <v>Consumer Sales 201712</v>
      </c>
      <c r="E569" s="43" t="str">
        <f t="shared" si="41"/>
        <v>Consumer Sales</v>
      </c>
      <c r="F569" s="47" t="str">
        <f t="shared" si="42"/>
        <v>12</v>
      </c>
      <c r="G569" s="47" t="str">
        <f t="shared" si="43"/>
        <v>2017</v>
      </c>
      <c r="H569" s="40">
        <f t="shared" si="44"/>
        <v>768382.64639999997</v>
      </c>
    </row>
    <row r="570" spans="2:8" x14ac:dyDescent="0.35">
      <c r="B570" s="31" t="s">
        <v>1076</v>
      </c>
      <c r="C570" s="29">
        <v>80136</v>
      </c>
      <c r="D570" s="46" t="str">
        <f t="shared" si="40"/>
        <v>Consumer Sales Tooling 201712</v>
      </c>
      <c r="E570" s="43" t="str">
        <f t="shared" si="41"/>
        <v>Consumer Sales Tooling</v>
      </c>
      <c r="F570" s="47" t="str">
        <f t="shared" si="42"/>
        <v>12</v>
      </c>
      <c r="G570" s="47" t="str">
        <f t="shared" si="43"/>
        <v>2017</v>
      </c>
      <c r="H570" s="40">
        <f t="shared" si="44"/>
        <v>80136</v>
      </c>
    </row>
    <row r="571" spans="2:8" x14ac:dyDescent="0.35">
      <c r="B571" s="31" t="s">
        <v>1077</v>
      </c>
      <c r="C571" s="29">
        <v>18634.7376</v>
      </c>
      <c r="D571" s="46" t="str">
        <f t="shared" si="40"/>
        <v>Electronics Sales 201712</v>
      </c>
      <c r="E571" s="43" t="str">
        <f t="shared" si="41"/>
        <v>Electronics Sales</v>
      </c>
      <c r="F571" s="47" t="str">
        <f t="shared" si="42"/>
        <v>12</v>
      </c>
      <c r="G571" s="47" t="str">
        <f t="shared" si="43"/>
        <v>2017</v>
      </c>
      <c r="H571" s="40">
        <f t="shared" si="44"/>
        <v>18634.7376</v>
      </c>
    </row>
    <row r="572" spans="2:8" x14ac:dyDescent="0.35">
      <c r="B572" s="31" t="s">
        <v>1078</v>
      </c>
      <c r="C572" s="29">
        <v>0</v>
      </c>
      <c r="D572" s="46" t="str">
        <f t="shared" si="40"/>
        <v>Electronics Sales Tooling 201712</v>
      </c>
      <c r="E572" s="43" t="str">
        <f t="shared" si="41"/>
        <v>Electronics Sales Tooling</v>
      </c>
      <c r="F572" s="47" t="str">
        <f t="shared" si="42"/>
        <v>12</v>
      </c>
      <c r="G572" s="47" t="str">
        <f t="shared" si="43"/>
        <v>2017</v>
      </c>
      <c r="H572" s="40">
        <f t="shared" si="44"/>
        <v>0</v>
      </c>
    </row>
    <row r="573" spans="2:8" x14ac:dyDescent="0.35">
      <c r="B573" s="31" t="s">
        <v>1079</v>
      </c>
      <c r="C573" s="29">
        <v>126114.435</v>
      </c>
      <c r="D573" s="46" t="str">
        <f t="shared" si="40"/>
        <v>Mechanic Sales 201712</v>
      </c>
      <c r="E573" s="43" t="str">
        <f t="shared" si="41"/>
        <v>Mechanic Sales</v>
      </c>
      <c r="F573" s="47" t="str">
        <f t="shared" si="42"/>
        <v>12</v>
      </c>
      <c r="G573" s="47" t="str">
        <f t="shared" si="43"/>
        <v>2017</v>
      </c>
      <c r="H573" s="40">
        <f t="shared" si="44"/>
        <v>126114.435</v>
      </c>
    </row>
    <row r="574" spans="2:8" x14ac:dyDescent="0.35">
      <c r="B574" s="31" t="s">
        <v>1080</v>
      </c>
      <c r="C574" s="29">
        <v>14035.14</v>
      </c>
      <c r="D574" s="46" t="str">
        <f t="shared" si="40"/>
        <v>Mechanic Sales Tooling 201712</v>
      </c>
      <c r="E574" s="43" t="str">
        <f t="shared" si="41"/>
        <v>Mechanic Sales Tooling</v>
      </c>
      <c r="F574" s="47" t="str">
        <f t="shared" si="42"/>
        <v>12</v>
      </c>
      <c r="G574" s="47" t="str">
        <f t="shared" si="43"/>
        <v>2017</v>
      </c>
      <c r="H574" s="40">
        <f t="shared" si="44"/>
        <v>14035.14</v>
      </c>
    </row>
    <row r="575" spans="2:8" x14ac:dyDescent="0.35">
      <c r="B575" s="31" t="s">
        <v>1081</v>
      </c>
      <c r="C575" s="29">
        <v>11224.376</v>
      </c>
      <c r="D575" s="46" t="str">
        <f t="shared" si="40"/>
        <v>Non Operating sales201712</v>
      </c>
      <c r="E575" s="43" t="str">
        <f t="shared" si="41"/>
        <v>Non Operating sale</v>
      </c>
      <c r="F575" s="47" t="str">
        <f t="shared" si="42"/>
        <v>12</v>
      </c>
      <c r="G575" s="47" t="str">
        <f t="shared" si="43"/>
        <v>2017</v>
      </c>
      <c r="H575" s="40">
        <f t="shared" si="44"/>
        <v>11224.376</v>
      </c>
    </row>
    <row r="576" spans="2:8" x14ac:dyDescent="0.35">
      <c r="B576" s="31" t="s">
        <v>1082</v>
      </c>
      <c r="C576" s="29">
        <v>253316.54800000004</v>
      </c>
      <c r="D576" s="46" t="str">
        <f t="shared" si="40"/>
        <v>Partner Sales 201712</v>
      </c>
      <c r="E576" s="43" t="str">
        <f t="shared" si="41"/>
        <v>Partner Sales</v>
      </c>
      <c r="F576" s="47" t="str">
        <f t="shared" si="42"/>
        <v>12</v>
      </c>
      <c r="G576" s="47" t="str">
        <f t="shared" si="43"/>
        <v>2017</v>
      </c>
      <c r="H576" s="40">
        <f t="shared" si="44"/>
        <v>253316.54800000004</v>
      </c>
    </row>
    <row r="577" spans="2:8" x14ac:dyDescent="0.35">
      <c r="B577" s="1" t="s">
        <v>1083</v>
      </c>
      <c r="C577" s="45">
        <v>23157</v>
      </c>
      <c r="D577" s="46" t="str">
        <f t="shared" si="40"/>
        <v>Partner Sales Tooling 201712</v>
      </c>
      <c r="E577" s="43" t="str">
        <f t="shared" si="41"/>
        <v>Partner Sales Tooling</v>
      </c>
      <c r="F577" s="47" t="str">
        <f t="shared" si="42"/>
        <v>12</v>
      </c>
      <c r="G577" s="47" t="str">
        <f t="shared" si="43"/>
        <v>2017</v>
      </c>
      <c r="H577" s="40">
        <f t="shared" si="44"/>
        <v>23157</v>
      </c>
    </row>
    <row r="578" spans="2:8" x14ac:dyDescent="0.35">
      <c r="B578" s="1" t="s">
        <v>1084</v>
      </c>
      <c r="C578" s="45">
        <v>-2075.71</v>
      </c>
      <c r="D578" s="46" t="str">
        <f t="shared" si="40"/>
        <v>Sales - Discounts 201712</v>
      </c>
      <c r="E578" s="43" t="str">
        <f t="shared" si="41"/>
        <v>Sales - Discounts</v>
      </c>
      <c r="F578" s="47" t="str">
        <f t="shared" si="42"/>
        <v>12</v>
      </c>
      <c r="G578" s="47" t="str">
        <f t="shared" si="43"/>
        <v>2017</v>
      </c>
      <c r="H578" s="40">
        <f t="shared" si="44"/>
        <v>-2075.71</v>
      </c>
    </row>
    <row r="579" spans="2:8" x14ac:dyDescent="0.35">
      <c r="B579" s="1" t="s">
        <v>1085</v>
      </c>
      <c r="C579" s="45">
        <v>788.14390000000003</v>
      </c>
      <c r="D579" s="46" t="str">
        <f t="shared" si="40"/>
        <v>Sales - Freight Out 201712</v>
      </c>
      <c r="E579" s="43" t="str">
        <f t="shared" si="41"/>
        <v>Sales - Freight Out</v>
      </c>
      <c r="F579" s="47" t="str">
        <f t="shared" si="42"/>
        <v>12</v>
      </c>
      <c r="G579" s="47" t="str">
        <f t="shared" si="43"/>
        <v>2017</v>
      </c>
      <c r="H579" s="40">
        <f t="shared" si="44"/>
        <v>788.14390000000003</v>
      </c>
    </row>
    <row r="580" spans="2:8" x14ac:dyDescent="0.35">
      <c r="B580" s="1" t="s">
        <v>1086</v>
      </c>
      <c r="C580" s="45">
        <v>-46050.55</v>
      </c>
      <c r="D580" s="46" t="str">
        <f t="shared" si="40"/>
        <v>Sales - Returns 201712</v>
      </c>
      <c r="E580" s="43" t="str">
        <f t="shared" si="41"/>
        <v>Sales - Returns</v>
      </c>
      <c r="F580" s="47" t="str">
        <f t="shared" si="42"/>
        <v>12</v>
      </c>
      <c r="G580" s="47" t="str">
        <f t="shared" si="43"/>
        <v>2017</v>
      </c>
      <c r="H580" s="40">
        <f t="shared" si="44"/>
        <v>-46050.55</v>
      </c>
    </row>
    <row r="582" spans="2:8" x14ac:dyDescent="0.35">
      <c r="F582" s="48"/>
      <c r="G582" s="2" t="s">
        <v>509</v>
      </c>
      <c r="H582" s="11">
        <f>SUMIFS($H$5:$H$580,$F$5:$F$580,2,$G$5:$G$580,2018)</f>
        <v>1495505.7050999999</v>
      </c>
    </row>
    <row r="583" spans="2:8" x14ac:dyDescent="0.35">
      <c r="F583" s="48"/>
      <c r="G583" s="2" t="s">
        <v>1091</v>
      </c>
      <c r="H583" s="11">
        <f>SUMIF($E$5:$E$580,"Mechanic Sales Tooling",$H$5:$H$580)</f>
        <v>887104.68659999978</v>
      </c>
    </row>
    <row r="584" spans="2:8" x14ac:dyDescent="0.35">
      <c r="F584" s="48"/>
      <c r="G584" s="2" t="s">
        <v>1092</v>
      </c>
      <c r="H584" s="11">
        <f>COUNTIF(H5:H580,"&lt;0")</f>
        <v>98</v>
      </c>
    </row>
    <row r="585" spans="2:8" x14ac:dyDescent="0.35">
      <c r="F585" s="48"/>
      <c r="H585" s="4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900781-07FD-4BED-AFF2-2E3633C257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Q 1-5</vt:lpstr>
      <vt:lpstr>Q 1-5_Ans</vt:lpstr>
      <vt:lpstr>Q 6-15</vt:lpstr>
      <vt:lpstr>Q 6-15_Ans</vt:lpstr>
      <vt:lpstr>Q 38-40</vt:lpstr>
      <vt:lpstr>Q 38-40_Ans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Lai</dc:creator>
  <cp:lastModifiedBy>Kathy Lai</cp:lastModifiedBy>
  <dcterms:created xsi:type="dcterms:W3CDTF">2015-06-05T18:17:20Z</dcterms:created>
  <dcterms:modified xsi:type="dcterms:W3CDTF">2024-01-23T22:50:52Z</dcterms:modified>
</cp:coreProperties>
</file>