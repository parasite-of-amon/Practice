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ance COurses\Excel Masterclass\Chapter 3\"/>
    </mc:Choice>
  </mc:AlternateContent>
  <xr:revisionPtr revIDLastSave="0" documentId="13_ncr:1_{482CB99C-B10C-4E6E-86CA-A3747A7DEBEB}" xr6:coauthVersionLast="47" xr6:coauthVersionMax="47" xr10:uidLastSave="{00000000-0000-0000-0000-000000000000}"/>
  <bookViews>
    <workbookView xWindow="-108" yWindow="-108" windowWidth="23256" windowHeight="12456" xr2:uid="{F905FB62-0E7D-4043-9116-DD31195FB72C}"/>
  </bookViews>
  <sheets>
    <sheet name="Sheet1" sheetId="1" r:id="rId1"/>
    <sheet name="Sheet2" sheetId="2" r:id="rId2"/>
    <sheet name="Sheet3" sheetId="3" r:id="rId3"/>
  </sheets>
  <definedNames>
    <definedName name="COGS2004" localSheetId="0">Sheet1!$C$6</definedName>
    <definedName name="Revenues2004" localSheetId="0">Sheet1!$C$5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" l="1"/>
  <c r="H5" i="1" s="1"/>
  <c r="E4" i="1"/>
  <c r="F4" i="1" s="1"/>
  <c r="G4" i="1" s="1"/>
  <c r="D4" i="1"/>
  <c r="D17" i="1"/>
  <c r="E11" i="1"/>
  <c r="E12" i="1" s="1"/>
  <c r="F10" i="1"/>
  <c r="E10" i="1"/>
  <c r="G7" i="1"/>
  <c r="G10" i="1" s="1"/>
  <c r="F7" i="1"/>
  <c r="E7" i="1"/>
  <c r="D7" i="1"/>
  <c r="D10" i="1" s="1"/>
  <c r="C7" i="1"/>
  <c r="C10" i="1" s="1"/>
  <c r="B3" i="1"/>
  <c r="D11" i="1" l="1"/>
  <c r="D12" i="1" s="1"/>
  <c r="C11" i="1"/>
  <c r="C12" i="1"/>
  <c r="G11" i="1"/>
  <c r="G12" i="1"/>
  <c r="F11" i="1"/>
  <c r="F12" i="1" s="1"/>
</calcChain>
</file>

<file path=xl/sharedStrings.xml><?xml version="1.0" encoding="utf-8"?>
<sst xmlns="http://schemas.openxmlformats.org/spreadsheetml/2006/main" count="13" uniqueCount="13">
  <si>
    <t>Enter company name:</t>
  </si>
  <si>
    <t>Lemonade Co.</t>
  </si>
  <si>
    <t>Revenues</t>
  </si>
  <si>
    <t>Cost of Goods Sold</t>
  </si>
  <si>
    <t>Gross Profit</t>
  </si>
  <si>
    <t>Operating costs</t>
  </si>
  <si>
    <t>Non-operating costs</t>
  </si>
  <si>
    <t>Pretax profit</t>
  </si>
  <si>
    <t>Tax</t>
  </si>
  <si>
    <t>Net income</t>
  </si>
  <si>
    <t>Tax rate</t>
  </si>
  <si>
    <t>Override</t>
  </si>
  <si>
    <t>Model-derived value (5x pretax profit):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</si>
</sst>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);\(#,##0.0\);@_)"/>
    <numFmt numFmtId="165" formatCode="#,##0.0_);\(#,##0.0\)"/>
  </numFmts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0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B6CE-CDAB-4698-80B7-91199F27DE55}">
  <dimension ref="A1:H17"/>
  <sheetViews>
    <sheetView tabSelected="1" zoomScale="145" workbookViewId="0">
      <selection activeCell="H3" sqref="H3"/>
    </sheetView>
  </sheetViews>
  <sheetFormatPr defaultColWidth="9.109375" defaultRowHeight="14.4" outlineLevelRow="1" outlineLevelCol="1" x14ac:dyDescent="0.3"/>
  <cols>
    <col min="2" max="2" width="40.6640625" bestFit="1" customWidth="1"/>
    <col min="3" max="3" width="13.6640625" bestFit="1" customWidth="1" outlineLevel="1"/>
    <col min="4" max="7" width="11" bestFit="1" customWidth="1"/>
    <col min="8" max="8" width="10" bestFit="1" customWidth="1"/>
  </cols>
  <sheetData>
    <row r="1" spans="1:8" x14ac:dyDescent="0.3">
      <c r="B1" t="s">
        <v>0</v>
      </c>
      <c r="C1" s="1" t="s">
        <v>1</v>
      </c>
    </row>
    <row r="3" spans="1:8" x14ac:dyDescent="0.3">
      <c r="B3" t="str">
        <f>"Income Statement for "&amp;C1</f>
        <v>Income Statement for Lemonade Co.</v>
      </c>
      <c r="H3" s="2">
        <v>47376</v>
      </c>
    </row>
    <row r="4" spans="1:8" x14ac:dyDescent="0.3">
      <c r="A4" s="3"/>
      <c r="C4" s="2">
        <v>45657</v>
      </c>
      <c r="D4" s="2">
        <f>DATE(YEAR(C4)+1,MONTH(C4),DAY(C4))</f>
        <v>46022</v>
      </c>
      <c r="E4" s="2">
        <f t="shared" ref="E4:G4" si="0">DATE(YEAR(D4)+1,MONTH(D4),DAY(D4))</f>
        <v>46387</v>
      </c>
      <c r="F4" s="2">
        <f t="shared" si="0"/>
        <v>46752</v>
      </c>
      <c r="G4" s="2">
        <f t="shared" si="0"/>
        <v>47118</v>
      </c>
      <c r="H4" s="4">
        <f>YEARFRAC(G4,H3)</f>
        <v>0.70833333333333337</v>
      </c>
    </row>
    <row r="5" spans="1:8" x14ac:dyDescent="0.3">
      <c r="B5" t="s">
        <v>2</v>
      </c>
      <c r="C5" s="5">
        <v>800</v>
      </c>
      <c r="D5" s="5">
        <v>1000</v>
      </c>
      <c r="E5" s="5">
        <v>1500</v>
      </c>
      <c r="F5" s="5">
        <v>2500</v>
      </c>
      <c r="G5" s="5">
        <v>4500</v>
      </c>
      <c r="H5">
        <f>G5*H4</f>
        <v>3187.5</v>
      </c>
    </row>
    <row r="6" spans="1:8" outlineLevel="1" x14ac:dyDescent="0.3">
      <c r="B6" t="s">
        <v>3</v>
      </c>
      <c r="C6" s="5">
        <v>300</v>
      </c>
      <c r="D6" s="5">
        <v>500</v>
      </c>
      <c r="E6" s="5">
        <v>1200</v>
      </c>
      <c r="F6" s="5">
        <v>3400</v>
      </c>
      <c r="G6" s="5">
        <v>4000</v>
      </c>
    </row>
    <row r="7" spans="1:8" outlineLevel="1" x14ac:dyDescent="0.3">
      <c r="B7" t="s">
        <v>4</v>
      </c>
      <c r="C7" s="6">
        <f>Revenues2004-COGS2004</f>
        <v>500</v>
      </c>
      <c r="D7" s="6">
        <f>D5-D6</f>
        <v>500</v>
      </c>
      <c r="E7" s="6">
        <f t="shared" ref="E7:G7" si="1">E5-E6</f>
        <v>300</v>
      </c>
      <c r="F7" s="6">
        <f t="shared" si="1"/>
        <v>-900</v>
      </c>
      <c r="G7" s="6">
        <f t="shared" si="1"/>
        <v>500</v>
      </c>
    </row>
    <row r="8" spans="1:8" outlineLevel="1" x14ac:dyDescent="0.3">
      <c r="B8" t="s">
        <v>5</v>
      </c>
      <c r="C8" s="5">
        <v>35</v>
      </c>
      <c r="D8" s="5">
        <v>45</v>
      </c>
      <c r="E8" s="5">
        <v>55</v>
      </c>
      <c r="F8" s="5">
        <v>65</v>
      </c>
      <c r="G8" s="5">
        <v>78</v>
      </c>
    </row>
    <row r="9" spans="1:8" outlineLevel="1" x14ac:dyDescent="0.3">
      <c r="B9" t="s">
        <v>6</v>
      </c>
      <c r="C9" s="5">
        <v>15</v>
      </c>
      <c r="D9" s="5">
        <v>15</v>
      </c>
      <c r="E9" s="5">
        <v>15</v>
      </c>
      <c r="F9" s="5">
        <v>15</v>
      </c>
      <c r="G9" s="5">
        <v>15</v>
      </c>
    </row>
    <row r="10" spans="1:8" outlineLevel="1" x14ac:dyDescent="0.3">
      <c r="B10" t="s">
        <v>7</v>
      </c>
      <c r="C10" s="6">
        <f>C7-C8-C9</f>
        <v>450</v>
      </c>
      <c r="D10" s="6">
        <f>D7-D8-D9</f>
        <v>440</v>
      </c>
      <c r="E10" s="6">
        <f>E7-E8-E9</f>
        <v>230</v>
      </c>
      <c r="F10" s="6">
        <f>F7-F8-F9</f>
        <v>-980</v>
      </c>
      <c r="G10" s="6">
        <f>G7-G8-G9</f>
        <v>407</v>
      </c>
    </row>
    <row r="11" spans="1:8" outlineLevel="1" x14ac:dyDescent="0.3">
      <c r="B11" t="s">
        <v>8</v>
      </c>
      <c r="C11" s="7">
        <f>IF($C$14,C10*$C14,"No tax")</f>
        <v>157.5</v>
      </c>
      <c r="D11" s="7">
        <f t="shared" ref="D11:G11" si="2">IF($C$14,D10*$C14,"No tax")</f>
        <v>154</v>
      </c>
      <c r="E11" s="7">
        <f t="shared" si="2"/>
        <v>80.5</v>
      </c>
      <c r="F11" s="7">
        <f t="shared" si="2"/>
        <v>-343</v>
      </c>
      <c r="G11" s="7">
        <f t="shared" si="2"/>
        <v>142.44999999999999</v>
      </c>
    </row>
    <row r="12" spans="1:8" x14ac:dyDescent="0.3">
      <c r="B12" t="s">
        <v>9</v>
      </c>
      <c r="C12" s="7">
        <f>IFERROR(C10-C11,"NM")</f>
        <v>292.5</v>
      </c>
      <c r="D12" s="7">
        <f t="shared" ref="D12:G12" si="3">IFERROR(D10-D11,"NM")</f>
        <v>286</v>
      </c>
      <c r="E12" s="7">
        <f t="shared" si="3"/>
        <v>149.5</v>
      </c>
      <c r="F12" s="7">
        <f t="shared" si="3"/>
        <v>-637</v>
      </c>
      <c r="G12" s="7">
        <f t="shared" si="3"/>
        <v>264.55</v>
      </c>
    </row>
    <row r="14" spans="1:8" x14ac:dyDescent="0.3">
      <c r="B14" t="s">
        <v>10</v>
      </c>
      <c r="C14" s="8">
        <v>0.35</v>
      </c>
    </row>
    <row r="16" spans="1:8" x14ac:dyDescent="0.3">
      <c r="B16" t="s">
        <v>11</v>
      </c>
      <c r="D16" s="5">
        <v>5000</v>
      </c>
    </row>
    <row r="17" spans="2:4" x14ac:dyDescent="0.3">
      <c r="B17" t="s">
        <v>12</v>
      </c>
      <c r="D17" s="6">
        <f>IF(D16,D16,C10*5)</f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FFF2-BD66-4B03-9667-F7C9B05740C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CCC7-0D81-448E-988E-F3DF6C3B1B3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Sheet1!COGS2004</vt:lpstr>
      <vt:lpstr>Sheet1!Revenues2004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Satpute</dc:creator>
  <cp:lastModifiedBy>Soham Satpute</cp:lastModifiedBy>
  <dcterms:created xsi:type="dcterms:W3CDTF">2025-11-15T22:04:12Z</dcterms:created>
  <dcterms:modified xsi:type="dcterms:W3CDTF">2025-11-15T22:10:05Z</dcterms:modified>
</cp:coreProperties>
</file>