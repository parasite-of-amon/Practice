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nance COurses\Excel Masterclass\Chapter 3\"/>
    </mc:Choice>
  </mc:AlternateContent>
  <xr:revisionPtr revIDLastSave="0" documentId="13_ncr:1_{782B5B1D-AC23-4857-A8AA-3E5925D0F055}" xr6:coauthVersionLast="47" xr6:coauthVersionMax="47" xr10:uidLastSave="{00000000-0000-0000-0000-000000000000}"/>
  <bookViews>
    <workbookView xWindow="-108" yWindow="-108" windowWidth="23256" windowHeight="12456" activeTab="2" xr2:uid="{45AE9B68-2C65-4801-BE36-DF537668B96B}"/>
  </bookViews>
  <sheets>
    <sheet name="Sheet1" sheetId="1" r:id="rId1"/>
    <sheet name="Income Statement" sheetId="2" r:id="rId2"/>
    <sheet name="Sheet3" sheetId="3" r:id="rId3"/>
    <sheet name="Errors" sheetId="4" r:id="rId4"/>
  </sheets>
  <calcPr calcId="191029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" i="3" l="1"/>
  <c r="G2" i="3"/>
  <c r="A9" i="4"/>
  <c r="A7" i="4" a="1"/>
  <c r="A7" i="4" s="1"/>
  <c r="A5" i="4"/>
  <c r="A3" i="4"/>
  <c r="A1" i="4"/>
  <c r="D9" i="2"/>
  <c r="E9" i="2"/>
  <c r="F9" i="2"/>
  <c r="G9" i="2"/>
  <c r="D8" i="2"/>
  <c r="E8" i="2"/>
  <c r="F8" i="2"/>
  <c r="G8" i="2"/>
  <c r="C8" i="2"/>
  <c r="C9" i="2"/>
  <c r="C4" i="2"/>
  <c r="C7" i="2" s="1"/>
  <c r="C3" i="3"/>
  <c r="D3" i="3"/>
  <c r="E3" i="3"/>
  <c r="F3" i="3"/>
  <c r="D2" i="3"/>
  <c r="E2" i="3"/>
  <c r="E4" i="3" s="1"/>
  <c r="F2" i="3"/>
  <c r="F4" i="3" s="1"/>
  <c r="D4" i="3" l="1"/>
  <c r="C2" i="3"/>
  <c r="C4" i="3" s="1"/>
  <c r="G4" i="2"/>
  <c r="G7" i="2" s="1"/>
  <c r="F4" i="2"/>
  <c r="F7" i="2" s="1"/>
  <c r="E4" i="2"/>
  <c r="E7" i="2" s="1"/>
  <c r="D4" i="2"/>
  <c r="D7" i="2" s="1"/>
  <c r="F4" i="1"/>
  <c r="E4" i="1"/>
  <c r="D4" i="1"/>
  <c r="C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3" authorId="0" shapeId="0" xr:uid="{4DED8647-254A-46EC-AE41-6570CA9089BF}">
      <text>
        <r>
          <rPr>
            <b/>
            <sz val="10"/>
            <color indexed="81"/>
            <rFont val="Tahoma"/>
            <charset val="1"/>
          </rPr>
          <t>admin:</t>
        </r>
        <r>
          <rPr>
            <sz val="10"/>
            <color indexed="81"/>
            <rFont val="Tahoma"/>
            <charset val="1"/>
          </rPr>
          <t xml:space="preserve">
Hi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<sst xmlns="http://schemas.openxmlformats.org/spreadsheetml/2006/main" count="23" uniqueCount="18">
  <si>
    <t>Revenues</t>
  </si>
  <si>
    <t>Cost of Goods Sold</t>
  </si>
  <si>
    <t>Groos Profit</t>
  </si>
  <si>
    <t>Cost of Hoods Sold</t>
  </si>
  <si>
    <t>Gross Profit</t>
  </si>
  <si>
    <t>Operating Costs</t>
  </si>
  <si>
    <t>Non-operating Costs</t>
  </si>
  <si>
    <t>Pre-Tax Profit</t>
  </si>
  <si>
    <t>Tax</t>
  </si>
  <si>
    <t>Net Income</t>
  </si>
  <si>
    <t>Tax Rate</t>
  </si>
  <si>
    <t>Income Statement</t>
  </si>
  <si>
    <t>Divided by Zero</t>
  </si>
  <si>
    <t>Refernceing Error</t>
  </si>
  <si>
    <t xml:space="preserve">Number not Valid </t>
  </si>
  <si>
    <t>Text Not Valid</t>
  </si>
  <si>
    <t>Hi</t>
  </si>
  <si>
    <t>Incorrect Arguments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</si>
</sst>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_);[Red]\(#,##0.0\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8" tint="-0.24994659260841701"/>
      <name val="Calibri"/>
      <family val="2"/>
      <scheme val="minor"/>
    </font>
    <font>
      <sz val="10"/>
      <color indexed="81"/>
      <name val="Tahoma"/>
      <charset val="1"/>
    </font>
    <font>
      <b/>
      <sz val="10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165" fontId="0" fillId="0" borderId="0" xfId="0" applyNumberFormat="1"/>
    <xf numFmtId="0" fontId="1" fillId="0" borderId="0" xfId="0" applyFont="1"/>
    <xf numFmtId="165" fontId="2" fillId="0" borderId="0" xfId="0" applyNumberFormat="1" applyFont="1"/>
    <xf numFmtId="165" fontId="1" fillId="0" borderId="0" xfId="0" applyNumberFormat="1" applyFont="1"/>
    <xf numFmtId="0" fontId="0" fillId="0" borderId="1" xfId="0" applyFont="1" applyBorder="1"/>
    <xf numFmtId="0" fontId="0" fillId="0" borderId="2" xfId="0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0" fontId="0" fillId="0" borderId="5" xfId="0" applyBorder="1"/>
    <xf numFmtId="165" fontId="2" fillId="0" borderId="0" xfId="0" applyNumberFormat="1" applyFont="1" applyBorder="1"/>
    <xf numFmtId="165" fontId="2" fillId="0" borderId="6" xfId="0" applyNumberFormat="1" applyFont="1" applyBorder="1"/>
    <xf numFmtId="0" fontId="1" fillId="0" borderId="7" xfId="0" applyFont="1" applyBorder="1"/>
    <xf numFmtId="165" fontId="1" fillId="0" borderId="1" xfId="0" applyNumberFormat="1" applyFont="1" applyBorder="1"/>
    <xf numFmtId="165" fontId="1" fillId="0" borderId="8" xfId="0" applyNumberFormat="1" applyFont="1" applyBorder="1"/>
    <xf numFmtId="0" fontId="0" fillId="0" borderId="0" xfId="0" applyFill="1" applyBorder="1"/>
    <xf numFmtId="9" fontId="0" fillId="0" borderId="0" xfId="0" applyNumberFormat="1"/>
    <xf numFmtId="0" fontId="1" fillId="0" borderId="0" xfId="0" applyFont="1" applyFill="1" applyBorder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1FE7E-76D8-44E8-B316-496C5D18E842}">
  <dimension ref="B1:F4"/>
  <sheetViews>
    <sheetView zoomScale="137" workbookViewId="0">
      <selection activeCell="B2" sqref="B2"/>
    </sheetView>
  </sheetViews>
  <sheetFormatPr defaultRowHeight="14.4" x14ac:dyDescent="0.3"/>
  <cols>
    <col min="2" max="2" width="16.5546875" bestFit="1" customWidth="1"/>
  </cols>
  <sheetData>
    <row r="1" spans="2:6" x14ac:dyDescent="0.3">
      <c r="C1" s="2">
        <v>2005</v>
      </c>
      <c r="D1" s="2">
        <v>2006</v>
      </c>
      <c r="E1" s="2">
        <v>2007</v>
      </c>
      <c r="F1" s="2">
        <v>2008</v>
      </c>
    </row>
    <row r="2" spans="2:6" x14ac:dyDescent="0.3">
      <c r="B2" t="s">
        <v>0</v>
      </c>
      <c r="C2" s="1">
        <v>100</v>
      </c>
      <c r="D2" s="1">
        <v>125</v>
      </c>
      <c r="E2" s="1">
        <v>150</v>
      </c>
      <c r="F2" s="1">
        <v>175</v>
      </c>
    </row>
    <row r="3" spans="2:6" x14ac:dyDescent="0.3">
      <c r="B3" t="s">
        <v>1</v>
      </c>
      <c r="C3" s="1">
        <v>50</v>
      </c>
      <c r="D3" s="1">
        <v>60</v>
      </c>
      <c r="E3" s="1">
        <v>70</v>
      </c>
      <c r="F3" s="1">
        <v>80</v>
      </c>
    </row>
    <row r="4" spans="2:6" x14ac:dyDescent="0.3">
      <c r="B4" t="s">
        <v>2</v>
      </c>
      <c r="C4" s="1">
        <f>C2-C3</f>
        <v>50</v>
      </c>
      <c r="D4" s="1">
        <f t="shared" ref="D4:F4" si="0">D2-D3</f>
        <v>65</v>
      </c>
      <c r="E4" s="1">
        <f t="shared" si="0"/>
        <v>80</v>
      </c>
      <c r="F4" s="1">
        <f t="shared" si="0"/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3A7F0-521B-4962-9E37-F3EC5F7CE62B}">
  <dimension ref="A1:G11"/>
  <sheetViews>
    <sheetView zoomScale="176" workbookViewId="0">
      <selection activeCell="G11" sqref="G11"/>
    </sheetView>
  </sheetViews>
  <sheetFormatPr defaultRowHeight="14.4" x14ac:dyDescent="0.3"/>
  <cols>
    <col min="2" max="2" width="18.33203125" bestFit="1" customWidth="1"/>
    <col min="3" max="3" width="8.88671875" customWidth="1"/>
  </cols>
  <sheetData>
    <row r="1" spans="1:7" x14ac:dyDescent="0.3">
      <c r="A1" s="2" t="s">
        <v>11</v>
      </c>
      <c r="C1" s="5">
        <v>2004</v>
      </c>
      <c r="D1" s="5">
        <v>2005</v>
      </c>
      <c r="E1" s="5">
        <v>2006</v>
      </c>
      <c r="F1" s="5">
        <v>2007</v>
      </c>
      <c r="G1" s="5">
        <v>2008</v>
      </c>
    </row>
    <row r="2" spans="1:7" x14ac:dyDescent="0.3">
      <c r="B2" t="s">
        <v>0</v>
      </c>
      <c r="C2" s="3">
        <v>800</v>
      </c>
      <c r="D2" s="3">
        <v>1000</v>
      </c>
      <c r="E2" s="3">
        <v>1500</v>
      </c>
      <c r="F2" s="3">
        <v>2500</v>
      </c>
      <c r="G2" s="3">
        <v>4500</v>
      </c>
    </row>
    <row r="3" spans="1:7" x14ac:dyDescent="0.3">
      <c r="B3" t="s">
        <v>3</v>
      </c>
      <c r="C3" s="3">
        <v>300</v>
      </c>
      <c r="D3" s="3">
        <v>500</v>
      </c>
      <c r="E3" s="3">
        <v>1200</v>
      </c>
      <c r="F3" s="3">
        <v>3400</v>
      </c>
      <c r="G3" s="3">
        <v>4000</v>
      </c>
    </row>
    <row r="4" spans="1:7" x14ac:dyDescent="0.3">
      <c r="B4" s="2" t="s">
        <v>4</v>
      </c>
      <c r="C4" s="4">
        <f>C2-C3</f>
        <v>500</v>
      </c>
      <c r="D4" s="4">
        <f>D2-D3</f>
        <v>500</v>
      </c>
      <c r="E4" s="4">
        <f t="shared" ref="E4:G4" si="0">E2-E3</f>
        <v>300</v>
      </c>
      <c r="F4" s="4">
        <f t="shared" si="0"/>
        <v>-900</v>
      </c>
      <c r="G4" s="4">
        <f t="shared" si="0"/>
        <v>500</v>
      </c>
    </row>
    <row r="5" spans="1:7" x14ac:dyDescent="0.3">
      <c r="B5" s="6" t="s">
        <v>5</v>
      </c>
      <c r="C5" s="7">
        <v>35</v>
      </c>
      <c r="D5" s="7">
        <v>45</v>
      </c>
      <c r="E5" s="7">
        <v>55</v>
      </c>
      <c r="F5" s="7">
        <v>65</v>
      </c>
      <c r="G5" s="8">
        <v>78</v>
      </c>
    </row>
    <row r="6" spans="1:7" x14ac:dyDescent="0.3">
      <c r="B6" s="9" t="s">
        <v>6</v>
      </c>
      <c r="C6" s="10">
        <v>15</v>
      </c>
      <c r="D6" s="10">
        <v>15</v>
      </c>
      <c r="E6" s="10">
        <v>15</v>
      </c>
      <c r="F6" s="10">
        <v>15</v>
      </c>
      <c r="G6" s="11">
        <v>15</v>
      </c>
    </row>
    <row r="7" spans="1:7" x14ac:dyDescent="0.3">
      <c r="B7" s="12" t="s">
        <v>7</v>
      </c>
      <c r="C7" s="13">
        <f>C4-C5-C6</f>
        <v>450</v>
      </c>
      <c r="D7" s="13">
        <f>D4-D5-D6</f>
        <v>440</v>
      </c>
      <c r="E7" s="13">
        <f t="shared" ref="E7:G7" si="1">E4-E5-E6</f>
        <v>230</v>
      </c>
      <c r="F7" s="13">
        <f t="shared" si="1"/>
        <v>-980</v>
      </c>
      <c r="G7" s="14">
        <f t="shared" si="1"/>
        <v>407</v>
      </c>
    </row>
    <row r="8" spans="1:7" x14ac:dyDescent="0.3">
      <c r="B8" s="15" t="s">
        <v>8</v>
      </c>
      <c r="C8" s="10">
        <f>C7*$C$11</f>
        <v>157.5</v>
      </c>
      <c r="D8" s="10">
        <f t="shared" ref="D8:G8" si="2">D7*$C$11</f>
        <v>154</v>
      </c>
      <c r="E8" s="10">
        <f t="shared" si="2"/>
        <v>80.5</v>
      </c>
      <c r="F8" s="10">
        <f t="shared" si="2"/>
        <v>-343</v>
      </c>
      <c r="G8" s="11">
        <f t="shared" si="2"/>
        <v>142.44999999999999</v>
      </c>
    </row>
    <row r="9" spans="1:7" x14ac:dyDescent="0.3">
      <c r="B9" s="17" t="s">
        <v>9</v>
      </c>
      <c r="C9" s="4">
        <f>C7-C8</f>
        <v>292.5</v>
      </c>
      <c r="D9" s="4">
        <f t="shared" ref="D9:G9" si="3">D7-D8</f>
        <v>286</v>
      </c>
      <c r="E9" s="4">
        <f t="shared" si="3"/>
        <v>149.5</v>
      </c>
      <c r="F9" s="4">
        <f t="shared" si="3"/>
        <v>-637</v>
      </c>
      <c r="G9" s="4">
        <f t="shared" si="3"/>
        <v>264.55</v>
      </c>
    </row>
    <row r="11" spans="1:7" x14ac:dyDescent="0.3">
      <c r="B11" t="s">
        <v>10</v>
      </c>
      <c r="C11" s="16">
        <v>0.35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F6798-2376-43A6-91D4-34B05E840EE6}">
  <dimension ref="B1:G4"/>
  <sheetViews>
    <sheetView tabSelected="1" topLeftCell="B1" zoomScale="136" workbookViewId="0">
      <pane xSplit="1" ySplit="1" topLeftCell="C2" activePane="bottomRight" state="frozen"/>
      <selection activeCell="B1" sqref="B1"/>
      <selection pane="topRight" activeCell="C1" sqref="C1"/>
      <selection pane="bottomLeft" activeCell="B2" sqref="B2"/>
      <selection pane="bottomRight" activeCell="G4" sqref="G4"/>
    </sheetView>
  </sheetViews>
  <sheetFormatPr defaultRowHeight="14.4" x14ac:dyDescent="0.3"/>
  <cols>
    <col min="2" max="2" width="16.6640625" bestFit="1" customWidth="1"/>
  </cols>
  <sheetData>
    <row r="1" spans="2:7" x14ac:dyDescent="0.3">
      <c r="B1" s="2" t="s">
        <v>11</v>
      </c>
      <c r="C1" s="5">
        <v>2005</v>
      </c>
      <c r="D1" s="5">
        <v>2006</v>
      </c>
      <c r="E1" s="5">
        <v>2007</v>
      </c>
      <c r="F1" s="5">
        <v>2008</v>
      </c>
    </row>
    <row r="2" spans="2:7" x14ac:dyDescent="0.3">
      <c r="B2" t="s">
        <v>0</v>
      </c>
      <c r="C2" s="3">
        <f>Sheet1!C2+'Income Statement'!D2</f>
        <v>1100</v>
      </c>
      <c r="D2" s="3">
        <f>Sheet1!D2+'Income Statement'!E2</f>
        <v>1625</v>
      </c>
      <c r="E2" s="3">
        <f>Sheet1!E2+'Income Statement'!F2</f>
        <v>2650</v>
      </c>
      <c r="F2" s="3">
        <f>Sheet1!F2+'Income Statement'!G2</f>
        <v>4675</v>
      </c>
      <c r="G2" s="1">
        <f>SUM(C2:F2)</f>
        <v>10050</v>
      </c>
    </row>
    <row r="3" spans="2:7" x14ac:dyDescent="0.3">
      <c r="B3" t="s">
        <v>3</v>
      </c>
      <c r="C3" s="3">
        <f>Sheet1!C3+'Income Statement'!D3</f>
        <v>550</v>
      </c>
      <c r="D3" s="3">
        <f>Sheet1!D3+'Income Statement'!E3</f>
        <v>1260</v>
      </c>
      <c r="E3" s="3">
        <f>Sheet1!E3+'Income Statement'!F3</f>
        <v>3470</v>
      </c>
      <c r="F3" s="3">
        <f>Sheet1!F3+'Income Statement'!G3</f>
        <v>4080</v>
      </c>
    </row>
    <row r="4" spans="2:7" x14ac:dyDescent="0.3">
      <c r="B4" s="2" t="s">
        <v>4</v>
      </c>
      <c r="C4" s="4">
        <f>C2-C3</f>
        <v>550</v>
      </c>
      <c r="D4" s="4">
        <f t="shared" ref="D4:F4" si="0">D2-D3</f>
        <v>365</v>
      </c>
      <c r="E4" s="4">
        <f t="shared" si="0"/>
        <v>-820</v>
      </c>
      <c r="F4" s="4">
        <f t="shared" si="0"/>
        <v>595</v>
      </c>
      <c r="G4" s="1">
        <f>AVERAGE(C4:F4)</f>
        <v>172.5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1C8E3-5E40-483A-BA8C-B9A70B14AE5F}">
  <dimension ref="A1:E9"/>
  <sheetViews>
    <sheetView workbookViewId="0">
      <selection activeCell="B10" sqref="B10"/>
    </sheetView>
  </sheetViews>
  <sheetFormatPr defaultRowHeight="14.4" x14ac:dyDescent="0.3"/>
  <cols>
    <col min="1" max="1" width="9.109375" customWidth="1"/>
  </cols>
  <sheetData>
    <row r="1" spans="1:5" x14ac:dyDescent="0.3">
      <c r="A1" s="18" t="e">
        <f>2/0</f>
        <v>#DIV/0!</v>
      </c>
      <c r="B1" t="s">
        <v>12</v>
      </c>
    </row>
    <row r="3" spans="1:5" x14ac:dyDescent="0.3">
      <c r="A3" t="e">
        <f>#REF!*#REF!</f>
        <v>#REF!</v>
      </c>
      <c r="B3" t="s">
        <v>13</v>
      </c>
    </row>
    <row r="5" spans="1:5" x14ac:dyDescent="0.3">
      <c r="A5" t="e">
        <f>10^800</f>
        <v>#NUM!</v>
      </c>
      <c r="B5" t="s">
        <v>14</v>
      </c>
    </row>
    <row r="7" spans="1:5" x14ac:dyDescent="0.3">
      <c r="A7" t="e" cm="1">
        <f t="array" ref="A7">4*hi</f>
        <v>#NAME?</v>
      </c>
      <c r="B7" t="s">
        <v>15</v>
      </c>
    </row>
    <row r="9" spans="1:5" x14ac:dyDescent="0.3">
      <c r="A9" t="e">
        <f>D9+E9</f>
        <v>#VALUE!</v>
      </c>
      <c r="B9" t="s">
        <v>17</v>
      </c>
      <c r="D9" t="s">
        <v>16</v>
      </c>
      <c r="E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Income Statement</vt:lpstr>
      <vt:lpstr>Sheet3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Satpute</dc:creator>
  <cp:lastModifiedBy>Soham Satpute</cp:lastModifiedBy>
  <cp:lastPrinted>2025-11-15T21:18:15Z</cp:lastPrinted>
  <dcterms:created xsi:type="dcterms:W3CDTF">2025-11-15T19:30:51Z</dcterms:created>
  <dcterms:modified xsi:type="dcterms:W3CDTF">2025-11-15T21:29:40Z</dcterms:modified>
</cp:coreProperties>
</file>