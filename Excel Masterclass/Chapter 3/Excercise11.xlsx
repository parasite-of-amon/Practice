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Finance COurses\Excel Masterclass\Chapter 3\"/>
    </mc:Choice>
  </mc:AlternateContent>
  <xr:revisionPtr revIDLastSave="0" documentId="13_ncr:1_{82CC675B-21E3-4963-A029-70EB0624371F}" xr6:coauthVersionLast="47" xr6:coauthVersionMax="47" xr10:uidLastSave="{00000000-0000-0000-0000-000000000000}"/>
  <bookViews>
    <workbookView xWindow="-108" yWindow="-108" windowWidth="23256" windowHeight="12456" xr2:uid="{18B25F0D-7142-42C1-809A-49C84401906D}"/>
  </bookViews>
  <sheets>
    <sheet name="Sheet1" sheetId="1" r:id="rId1"/>
    <sheet name="Sheet2" sheetId="2" r:id="rId2"/>
    <sheet name="Sheet3" sheetId="3" r:id="rId3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14" i="1" l="1" a="1"/>
  <c r="F14" i="1" s="1"/>
  <c r="G14" i="1" s="1" a="1"/>
  <c r="G14" i="1" s="1"/>
  <c r="H14" i="1" s="1" a="1"/>
  <c r="H14" i="1" s="1"/>
  <c r="F7" i="1"/>
  <c r="G7" i="1"/>
  <c r="H7" i="1"/>
  <c r="G6" i="1"/>
  <c r="H6" i="1"/>
  <c r="F6" i="1"/>
  <c r="G5" i="1"/>
  <c r="H5" i="1" s="1"/>
  <c r="F5" i="1"/>
  <c r="E14" i="1"/>
  <c r="D14" i="1"/>
  <c r="C14" i="1"/>
  <c r="E13" i="1"/>
  <c r="D13" i="1"/>
  <c r="C13" i="1"/>
  <c r="E12" i="1"/>
  <c r="D12" i="1"/>
  <c r="D9" i="1"/>
  <c r="E7" i="1"/>
  <c r="E9" i="1" s="1"/>
  <c r="D7" i="1"/>
  <c r="C7" i="1"/>
  <c r="C9" i="1" s="1"/>
  <c r="G8" i="1" l="1"/>
  <c r="G9" i="1" s="1"/>
  <c r="H8" i="1"/>
  <c r="H9" i="1" s="1"/>
  <c r="F8" i="1"/>
  <c r="F9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<sst xmlns="http://schemas.openxmlformats.org/spreadsheetml/2006/main" count="17" uniqueCount="17">
  <si>
    <t>Select a driver for operating expense forecasts</t>
  </si>
  <si>
    <t>Actual</t>
  </si>
  <si>
    <t>Forecasts</t>
  </si>
  <si>
    <t>Revenue</t>
  </si>
  <si>
    <t>Cost of sales</t>
  </si>
  <si>
    <t>Gross Profit</t>
  </si>
  <si>
    <t>Operating expenses</t>
  </si>
  <si>
    <t>Operating profit</t>
  </si>
  <si>
    <t>Assumptions</t>
  </si>
  <si>
    <t>Revenue growth</t>
  </si>
  <si>
    <t>Cost of sales margin</t>
  </si>
  <si>
    <r>
      <t xml:space="preserve">Operating expenses margin </t>
    </r>
    <r>
      <rPr>
        <b/>
        <sz val="11"/>
        <color rgb="FFC00000"/>
        <rFont val="Calibri"/>
        <family val="2"/>
        <scheme val="minor"/>
      </rPr>
      <t>(with IFS - 2016 Only)</t>
    </r>
  </si>
  <si>
    <t>Operating expenses forecast drivers</t>
  </si>
  <si>
    <t>1 = Apply last year's operating expense margin</t>
  </si>
  <si>
    <t>2 = Apply last 3 years' average operating expense margin</t>
  </si>
  <si>
    <t>3 = Apply last 2 years' average operating expense margin</t>
  </si>
  <si>
    <t>If no driver is selected, keep operating expenses flat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</si>
</sst>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_);\(#,##0.0\);@_)"/>
    <numFmt numFmtId="165" formatCode="0.00%_);\(0.00%\);@_)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FF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0" xfId="0" applyFill="1"/>
    <xf numFmtId="0" fontId="0" fillId="0" borderId="1" xfId="0" applyBorder="1" applyAlignment="1">
      <alignment horizontal="centerContinuous"/>
    </xf>
    <xf numFmtId="0" fontId="1" fillId="0" borderId="1" xfId="0" applyFont="1" applyBorder="1"/>
    <xf numFmtId="164" fontId="2" fillId="0" borderId="0" xfId="0" applyNumberFormat="1" applyFont="1"/>
    <xf numFmtId="164" fontId="0" fillId="0" borderId="0" xfId="0" applyNumberFormat="1"/>
    <xf numFmtId="164" fontId="3" fillId="0" borderId="0" xfId="0" applyNumberFormat="1" applyFont="1"/>
    <xf numFmtId="0" fontId="1" fillId="0" borderId="0" xfId="0" applyFont="1"/>
    <xf numFmtId="165" fontId="0" fillId="0" borderId="0" xfId="0" applyNumberFormat="1"/>
    <xf numFmtId="165" fontId="2" fillId="0" borderId="0" xfId="0" applyNumberFormat="1" applyFont="1"/>
    <xf numFmtId="165" fontId="0" fillId="0" borderId="2" xfId="0" applyNumberFormat="1" applyBorder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98D95-951E-4139-937F-7B593DE24E62}">
  <dimension ref="B2:H20"/>
  <sheetViews>
    <sheetView tabSelected="1" zoomScale="148" workbookViewId="0">
      <selection activeCell="H2" sqref="H2"/>
    </sheetView>
  </sheetViews>
  <sheetFormatPr defaultColWidth="9.109375" defaultRowHeight="14.4" x14ac:dyDescent="0.3"/>
  <cols>
    <col min="2" max="2" width="52" bestFit="1" customWidth="1"/>
  </cols>
  <sheetData>
    <row r="2" spans="2:8" x14ac:dyDescent="0.3">
      <c r="B2" t="s">
        <v>0</v>
      </c>
      <c r="H2" s="1">
        <v>1</v>
      </c>
    </row>
    <row r="3" spans="2:8" x14ac:dyDescent="0.3">
      <c r="C3" s="2" t="s">
        <v>1</v>
      </c>
      <c r="D3" s="2"/>
      <c r="E3" s="2"/>
      <c r="F3" s="2" t="s">
        <v>2</v>
      </c>
      <c r="G3" s="2"/>
      <c r="H3" s="2"/>
    </row>
    <row r="4" spans="2:8" x14ac:dyDescent="0.3">
      <c r="C4" s="3">
        <v>2013</v>
      </c>
      <c r="D4" s="3">
        <v>2014</v>
      </c>
      <c r="E4" s="3">
        <v>2015</v>
      </c>
      <c r="F4" s="3">
        <v>2016</v>
      </c>
      <c r="G4" s="3">
        <v>2016</v>
      </c>
      <c r="H4" s="3">
        <v>2016</v>
      </c>
    </row>
    <row r="5" spans="2:8" x14ac:dyDescent="0.3">
      <c r="B5" t="s">
        <v>3</v>
      </c>
      <c r="C5" s="4">
        <v>1376</v>
      </c>
      <c r="D5" s="4">
        <v>1487</v>
      </c>
      <c r="E5" s="4">
        <v>1532</v>
      </c>
      <c r="F5" s="5">
        <f>E5*(1+F12)</f>
        <v>1577.96</v>
      </c>
      <c r="G5" s="5">
        <f t="shared" ref="G5:H5" si="0">F5*(1+G12)</f>
        <v>1625.2988</v>
      </c>
      <c r="H5" s="5">
        <f t="shared" si="0"/>
        <v>1674.0577640000001</v>
      </c>
    </row>
    <row r="6" spans="2:8" x14ac:dyDescent="0.3">
      <c r="B6" t="s">
        <v>4</v>
      </c>
      <c r="C6" s="4">
        <v>467</v>
      </c>
      <c r="D6" s="4">
        <v>540</v>
      </c>
      <c r="E6" s="4">
        <v>564</v>
      </c>
      <c r="F6" s="5">
        <f>F5*F13</f>
        <v>583.84519999999998</v>
      </c>
      <c r="G6" s="5">
        <f t="shared" ref="G6:H6" si="1">G5*G13</f>
        <v>601.36055599999997</v>
      </c>
      <c r="H6" s="5">
        <f t="shared" si="1"/>
        <v>619.40137268000001</v>
      </c>
    </row>
    <row r="7" spans="2:8" x14ac:dyDescent="0.3">
      <c r="B7" t="s">
        <v>5</v>
      </c>
      <c r="C7" s="6">
        <f t="shared" ref="C7:H7" si="2">C5-C6</f>
        <v>909</v>
      </c>
      <c r="D7" s="6">
        <f t="shared" si="2"/>
        <v>947</v>
      </c>
      <c r="E7" s="6">
        <f t="shared" si="2"/>
        <v>968</v>
      </c>
      <c r="F7" s="6">
        <f t="shared" si="2"/>
        <v>994.11480000000006</v>
      </c>
      <c r="G7" s="6">
        <f t="shared" si="2"/>
        <v>1023.9382440000001</v>
      </c>
      <c r="H7" s="6">
        <f t="shared" si="2"/>
        <v>1054.6563913200002</v>
      </c>
    </row>
    <row r="8" spans="2:8" x14ac:dyDescent="0.3">
      <c r="B8" t="s">
        <v>6</v>
      </c>
      <c r="C8" s="4">
        <v>121</v>
      </c>
      <c r="D8" s="4">
        <v>146</v>
      </c>
      <c r="E8" s="4">
        <v>167</v>
      </c>
      <c r="F8" s="5">
        <f>F5*F14</f>
        <v>172.01000000000002</v>
      </c>
      <c r="G8" s="5">
        <f t="shared" ref="G8:H8" si="3">G5*G14</f>
        <v>177.1703</v>
      </c>
      <c r="H8" s="5">
        <f t="shared" si="3"/>
        <v>182.48540900000003</v>
      </c>
    </row>
    <row r="9" spans="2:8" x14ac:dyDescent="0.3">
      <c r="B9" t="s">
        <v>7</v>
      </c>
      <c r="C9" s="5">
        <f t="shared" ref="C9:H9" si="4">C7-C8</f>
        <v>788</v>
      </c>
      <c r="D9" s="5">
        <f t="shared" si="4"/>
        <v>801</v>
      </c>
      <c r="E9" s="5">
        <f t="shared" si="4"/>
        <v>801</v>
      </c>
      <c r="F9" s="5">
        <f t="shared" si="4"/>
        <v>822.10480000000007</v>
      </c>
      <c r="G9" s="5">
        <f t="shared" si="4"/>
        <v>846.76794400000006</v>
      </c>
      <c r="H9" s="5">
        <f t="shared" si="4"/>
        <v>872.17098232000023</v>
      </c>
    </row>
    <row r="11" spans="2:8" x14ac:dyDescent="0.3">
      <c r="B11" s="7" t="s">
        <v>8</v>
      </c>
    </row>
    <row r="12" spans="2:8" x14ac:dyDescent="0.3">
      <c r="B12" t="s">
        <v>9</v>
      </c>
      <c r="C12" s="8"/>
      <c r="D12" s="8">
        <f>D5/C5-1</f>
        <v>8.0668604651162878E-2</v>
      </c>
      <c r="E12" s="8">
        <f>E5/D5-1</f>
        <v>3.0262273032952258E-2</v>
      </c>
      <c r="F12" s="9">
        <v>0.03</v>
      </c>
      <c r="G12" s="9">
        <v>0.03</v>
      </c>
      <c r="H12" s="9">
        <v>0.03</v>
      </c>
    </row>
    <row r="13" spans="2:8" x14ac:dyDescent="0.3">
      <c r="B13" t="s">
        <v>10</v>
      </c>
      <c r="C13" s="8">
        <f>C6/C5</f>
        <v>0.33938953488372092</v>
      </c>
      <c r="D13" s="8">
        <f>D6/D5</f>
        <v>0.36314727639542704</v>
      </c>
      <c r="E13" s="8">
        <f>E6/E5</f>
        <v>0.36814621409921672</v>
      </c>
      <c r="F13" s="9">
        <v>0.37</v>
      </c>
      <c r="G13" s="9">
        <v>0.37</v>
      </c>
      <c r="H13" s="9">
        <v>0.37</v>
      </c>
    </row>
    <row r="14" spans="2:8" x14ac:dyDescent="0.3">
      <c r="B14" t="s">
        <v>11</v>
      </c>
      <c r="C14" s="8">
        <f>C8/C5</f>
        <v>8.7936046511627911E-2</v>
      </c>
      <c r="D14" s="8">
        <f>D8/D5</f>
        <v>9.8184263618022863E-2</v>
      </c>
      <c r="E14" s="8">
        <f>E8/E5</f>
        <v>0.10900783289817233</v>
      </c>
      <c r="F14" s="8" cm="1">
        <f t="array" ref="F14">_xlfn.IFS(H2=1,E14,H2=2,AVERAGE(C14:E14),TRUE,AVERAGE(D14:E14))</f>
        <v>0.10900783289817233</v>
      </c>
      <c r="G14" s="8" cm="1">
        <f t="array" ref="G14">_xlfn.IFS(I2=1,F14,I2=2,AVERAGE(D14:F14),TRUE,AVERAGE(E14:F14))</f>
        <v>0.10900783289817233</v>
      </c>
      <c r="H14" s="8" cm="1">
        <f t="array" ref="H14">_xlfn.IFS(J2=1,G14,J2=2,AVERAGE(E14:G14),TRUE,AVERAGE(F14:G14))</f>
        <v>0.10900783289817233</v>
      </c>
    </row>
    <row r="15" spans="2:8" x14ac:dyDescent="0.3">
      <c r="F15" s="10"/>
      <c r="G15" s="10"/>
      <c r="H15" s="10"/>
    </row>
    <row r="16" spans="2:8" x14ac:dyDescent="0.3">
      <c r="B16" s="11" t="s">
        <v>12</v>
      </c>
    </row>
    <row r="17" spans="2:2" x14ac:dyDescent="0.3">
      <c r="B17" t="s">
        <v>13</v>
      </c>
    </row>
    <row r="18" spans="2:2" x14ac:dyDescent="0.3">
      <c r="B18" t="s">
        <v>14</v>
      </c>
    </row>
    <row r="19" spans="2:2" x14ac:dyDescent="0.3">
      <c r="B19" t="s">
        <v>15</v>
      </c>
    </row>
    <row r="20" spans="2:2" x14ac:dyDescent="0.3">
      <c r="B20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EE5EF0-6A1B-4CBB-80FA-B7A685F5F731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FBF7F-D2E3-4044-BA1B-98F8793A69CE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Soham Satpute</dc:creator>
  <cp:lastModifiedBy>Soham Satpute</cp:lastModifiedBy>
  <dcterms:created xsi:type="dcterms:W3CDTF">2025-11-15T21:47:51Z</dcterms:created>
  <dcterms:modified xsi:type="dcterms:W3CDTF">2025-11-15T22:02:39Z</dcterms:modified>
</cp:coreProperties>
</file>