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4\"/>
    </mc:Choice>
  </mc:AlternateContent>
  <xr:revisionPtr revIDLastSave="0" documentId="13_ncr:1_{D45A1185-7D36-4A32-9EB1-D1B818D1F222}" xr6:coauthVersionLast="47" xr6:coauthVersionMax="47" xr10:uidLastSave="{00000000-0000-0000-0000-000000000000}"/>
  <bookViews>
    <workbookView xWindow="-108" yWindow="-108" windowWidth="23256" windowHeight="12456" activeTab="1" xr2:uid="{95D4E024-EB91-42BC-8606-D5A278C039D3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COGS2004" localSheetId="0">Sheet1!$C$6</definedName>
    <definedName name="Revenues2004" localSheetId="0">Sheet1!$C$5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2" l="1"/>
  <c r="C12" i="2"/>
  <c r="C11" i="2"/>
  <c r="C10" i="2"/>
  <c r="C9" i="2"/>
  <c r="F4" i="2"/>
  <c r="F3" i="2"/>
  <c r="E3" i="2"/>
  <c r="D3" i="2"/>
  <c r="C3" i="2"/>
  <c r="G2" i="2"/>
  <c r="F2" i="2"/>
  <c r="E2" i="2"/>
  <c r="E4" i="2" s="1"/>
  <c r="D2" i="2"/>
  <c r="D4" i="2" s="1"/>
  <c r="C2" i="2"/>
  <c r="C4" i="2" s="1"/>
  <c r="G4" i="2" s="1"/>
  <c r="D17" i="1" l="1"/>
  <c r="F11" i="1"/>
  <c r="F10" i="1"/>
  <c r="F12" i="1" s="1"/>
  <c r="E10" i="1"/>
  <c r="E11" i="1" s="1"/>
  <c r="D10" i="1"/>
  <c r="D11" i="1" s="1"/>
  <c r="C10" i="1"/>
  <c r="C11" i="1" s="1"/>
  <c r="G7" i="1"/>
  <c r="G10" i="1" s="1"/>
  <c r="F7" i="1"/>
  <c r="E7" i="1"/>
  <c r="D7" i="1"/>
  <c r="C7" i="1"/>
  <c r="D4" i="1"/>
  <c r="E4" i="1" s="1"/>
  <c r="F4" i="1" s="1"/>
  <c r="G4" i="1" s="1"/>
  <c r="H4" i="1" s="1"/>
  <c r="H5" i="1" s="1"/>
  <c r="B3" i="1"/>
  <c r="G11" i="1" l="1"/>
  <c r="G12" i="1" s="1"/>
  <c r="C12" i="1"/>
  <c r="D12" i="1"/>
  <c r="E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FCE19DCD-F196-4F57-A042-76966C2137BB}">
      <text>
        <r>
          <rPr>
            <b/>
            <sz val="10"/>
            <color indexed="81"/>
            <rFont val="Tahoma"/>
            <family val="2"/>
          </rPr>
          <t>admin:</t>
        </r>
        <r>
          <rPr>
            <sz val="10"/>
            <color indexed="81"/>
            <rFont val="Tahoma"/>
            <family val="2"/>
          </rPr>
          <t xml:space="preserve">
Hi</t>
        </r>
      </text>
    </comment>
  </commentList>
</comments>
</file>

<file path=xl/sharedStrings.xml><?xml version="1.0" encoding="utf-8"?>
<sst xmlns="http://schemas.openxmlformats.org/spreadsheetml/2006/main" count="27" uniqueCount="24">
  <si>
    <t>Enter company name:</t>
  </si>
  <si>
    <t>Lemonade Co.</t>
  </si>
  <si>
    <t>Revenues</t>
  </si>
  <si>
    <t>Cost of Goods Sold</t>
  </si>
  <si>
    <t>Gross Profit</t>
  </si>
  <si>
    <t>Operating costs</t>
  </si>
  <si>
    <t>Non-operating costs</t>
  </si>
  <si>
    <t>Pretax profit</t>
  </si>
  <si>
    <t>Tax</t>
  </si>
  <si>
    <t>Net income</t>
  </si>
  <si>
    <t>Tax rate</t>
  </si>
  <si>
    <t>Override</t>
  </si>
  <si>
    <t>Model-derived value (5x pretax profit):</t>
  </si>
  <si>
    <t>Income Statement</t>
  </si>
  <si>
    <t>Cost of Hoods Sold</t>
  </si>
  <si>
    <t>Input a year</t>
  </si>
  <si>
    <t>Output gross profit for selected year</t>
  </si>
  <si>
    <t>HLOOKUP</t>
  </si>
  <si>
    <t>INDEX</t>
  </si>
  <si>
    <t>CHOOSE</t>
  </si>
  <si>
    <t>OFFSET</t>
  </si>
  <si>
    <t>Input a metric:</t>
  </si>
  <si>
    <t>Output 2008 results for the selected metric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</si>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</sst>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);\(#,##0.0\);@_)"/>
    <numFmt numFmtId="165" formatCode="#,##0.0_);\(#,##0.0\)"/>
    <numFmt numFmtId="166" formatCode="#,##0.0_);[Red]\(#,##0.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10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1" xfId="0" applyBorder="1"/>
    <xf numFmtId="166" fontId="4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%20COurses/Excel%20Masterclass/Chapter%203/Excercize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come Statement"/>
      <sheetName val="Sheet3"/>
      <sheetName val="Errors"/>
    </sheetNames>
    <sheetDataSet>
      <sheetData sheetId="0">
        <row r="2">
          <cell r="C2">
            <v>100</v>
          </cell>
          <cell r="D2">
            <v>125</v>
          </cell>
          <cell r="E2">
            <v>150</v>
          </cell>
          <cell r="F2">
            <v>175</v>
          </cell>
        </row>
        <row r="3">
          <cell r="C3">
            <v>50</v>
          </cell>
          <cell r="D3">
            <v>60</v>
          </cell>
          <cell r="E3">
            <v>70</v>
          </cell>
          <cell r="F3">
            <v>80</v>
          </cell>
        </row>
      </sheetData>
      <sheetData sheetId="1">
        <row r="2">
          <cell r="D2">
            <v>1000</v>
          </cell>
          <cell r="E2">
            <v>1500</v>
          </cell>
          <cell r="F2">
            <v>2500</v>
          </cell>
          <cell r="G2">
            <v>4500</v>
          </cell>
        </row>
        <row r="3">
          <cell r="D3">
            <v>500</v>
          </cell>
          <cell r="E3">
            <v>1200</v>
          </cell>
          <cell r="F3">
            <v>3400</v>
          </cell>
          <cell r="G3">
            <v>4000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7E3D-A767-4E47-9BFC-1CD4563C98C1}">
  <dimension ref="A1:H17"/>
  <sheetViews>
    <sheetView workbookViewId="0">
      <selection sqref="A1:XFD1048576"/>
    </sheetView>
  </sheetViews>
  <sheetFormatPr defaultColWidth="9.109375" defaultRowHeight="14.4" outlineLevelRow="1" outlineLevelCol="1" x14ac:dyDescent="0.3"/>
  <cols>
    <col min="2" max="2" width="40.6640625" bestFit="1" customWidth="1"/>
    <col min="3" max="3" width="13.6640625" bestFit="1" customWidth="1" outlineLevel="1"/>
    <col min="4" max="7" width="11" bestFit="1" customWidth="1"/>
    <col min="8" max="8" width="10" bestFit="1" customWidth="1"/>
  </cols>
  <sheetData>
    <row r="1" spans="1:8" x14ac:dyDescent="0.3">
      <c r="B1" t="s">
        <v>0</v>
      </c>
      <c r="C1" s="1" t="s">
        <v>1</v>
      </c>
    </row>
    <row r="3" spans="1:8" x14ac:dyDescent="0.3">
      <c r="B3" t="str">
        <f>"Income Statement for "&amp;C1</f>
        <v>Income Statement for Lemonade Co.</v>
      </c>
      <c r="H3" s="2">
        <v>43723</v>
      </c>
    </row>
    <row r="4" spans="1:8" x14ac:dyDescent="0.3">
      <c r="A4" s="3"/>
      <c r="C4" s="2">
        <v>42004</v>
      </c>
      <c r="D4" s="2">
        <f>DATE(YEAR(C4)+1,MONTH(C4),DAY(C4))</f>
        <v>42369</v>
      </c>
      <c r="E4" s="2">
        <f t="shared" ref="E4:G4" si="0">DATE(YEAR(D4)+1,MONTH(D4),DAY(D4))</f>
        <v>42735</v>
      </c>
      <c r="F4" s="2">
        <f t="shared" si="0"/>
        <v>43100</v>
      </c>
      <c r="G4" s="2">
        <f t="shared" si="0"/>
        <v>43465</v>
      </c>
      <c r="H4" s="4">
        <f>YEARFRAC(G4,H3)</f>
        <v>0.70833333333333337</v>
      </c>
    </row>
    <row r="5" spans="1:8" x14ac:dyDescent="0.3">
      <c r="B5" t="s">
        <v>2</v>
      </c>
      <c r="C5" s="5">
        <v>800</v>
      </c>
      <c r="D5" s="5">
        <v>1000</v>
      </c>
      <c r="E5" s="5">
        <v>1500</v>
      </c>
      <c r="F5" s="5">
        <v>2500</v>
      </c>
      <c r="G5" s="5">
        <v>4500</v>
      </c>
      <c r="H5">
        <f>G5*H4</f>
        <v>3187.5</v>
      </c>
    </row>
    <row r="6" spans="1:8" outlineLevel="1" x14ac:dyDescent="0.3">
      <c r="B6" t="s">
        <v>3</v>
      </c>
      <c r="C6" s="5">
        <v>300</v>
      </c>
      <c r="D6" s="5">
        <v>500</v>
      </c>
      <c r="E6" s="5">
        <v>1200</v>
      </c>
      <c r="F6" s="5">
        <v>3400</v>
      </c>
      <c r="G6" s="5">
        <v>4000</v>
      </c>
    </row>
    <row r="7" spans="1:8" outlineLevel="1" x14ac:dyDescent="0.3">
      <c r="B7" t="s">
        <v>4</v>
      </c>
      <c r="C7" s="6">
        <f>Revenues2004-COGS2004</f>
        <v>500</v>
      </c>
      <c r="D7" s="6">
        <f>D5-D6</f>
        <v>500</v>
      </c>
      <c r="E7" s="6">
        <f t="shared" ref="E7:G7" si="1">E5-E6</f>
        <v>300</v>
      </c>
      <c r="F7" s="6">
        <f t="shared" si="1"/>
        <v>-900</v>
      </c>
      <c r="G7" s="6">
        <f t="shared" si="1"/>
        <v>500</v>
      </c>
    </row>
    <row r="8" spans="1:8" outlineLevel="1" x14ac:dyDescent="0.3">
      <c r="B8" t="s">
        <v>5</v>
      </c>
      <c r="C8" s="5">
        <v>35</v>
      </c>
      <c r="D8" s="5">
        <v>45</v>
      </c>
      <c r="E8" s="5">
        <v>55</v>
      </c>
      <c r="F8" s="5">
        <v>65</v>
      </c>
      <c r="G8" s="5">
        <v>78</v>
      </c>
    </row>
    <row r="9" spans="1:8" outlineLevel="1" x14ac:dyDescent="0.3">
      <c r="B9" t="s">
        <v>6</v>
      </c>
      <c r="C9" s="5">
        <v>15</v>
      </c>
      <c r="D9" s="5">
        <v>15</v>
      </c>
      <c r="E9" s="5">
        <v>15</v>
      </c>
      <c r="F9" s="5">
        <v>15</v>
      </c>
      <c r="G9" s="5">
        <v>15</v>
      </c>
    </row>
    <row r="10" spans="1:8" outlineLevel="1" x14ac:dyDescent="0.3">
      <c r="B10" t="s">
        <v>7</v>
      </c>
      <c r="C10" s="6">
        <f>C7-C8-C9</f>
        <v>450</v>
      </c>
      <c r="D10" s="6">
        <f>D7-D8-D9</f>
        <v>440</v>
      </c>
      <c r="E10" s="6">
        <f>E7-E8-E9</f>
        <v>230</v>
      </c>
      <c r="F10" s="6">
        <f>F7-F8-F9</f>
        <v>-980</v>
      </c>
      <c r="G10" s="6">
        <f>G7-G8-G9</f>
        <v>407</v>
      </c>
    </row>
    <row r="11" spans="1:8" outlineLevel="1" x14ac:dyDescent="0.3">
      <c r="B11" t="s">
        <v>8</v>
      </c>
      <c r="C11" s="7">
        <f>IF($C$14,C10*$C14,"No tax")</f>
        <v>157.5</v>
      </c>
      <c r="D11" s="7">
        <f t="shared" ref="D11:G11" si="2">IF($C$14,D10*$C14,"No tax")</f>
        <v>154</v>
      </c>
      <c r="E11" s="7">
        <f t="shared" si="2"/>
        <v>80.5</v>
      </c>
      <c r="F11" s="7">
        <f t="shared" si="2"/>
        <v>-343</v>
      </c>
      <c r="G11" s="7">
        <f t="shared" si="2"/>
        <v>142.44999999999999</v>
      </c>
    </row>
    <row r="12" spans="1:8" x14ac:dyDescent="0.3">
      <c r="B12" t="s">
        <v>9</v>
      </c>
      <c r="C12" s="7">
        <f>IFERROR(C10-C11,"NM")</f>
        <v>292.5</v>
      </c>
      <c r="D12" s="7">
        <f t="shared" ref="D12:G12" si="3">IFERROR(D10-D11,"NM")</f>
        <v>286</v>
      </c>
      <c r="E12" s="7">
        <f t="shared" si="3"/>
        <v>149.5</v>
      </c>
      <c r="F12" s="7">
        <f t="shared" si="3"/>
        <v>-637</v>
      </c>
      <c r="G12" s="7">
        <f t="shared" si="3"/>
        <v>264.55</v>
      </c>
    </row>
    <row r="14" spans="1:8" x14ac:dyDescent="0.3">
      <c r="B14" t="s">
        <v>10</v>
      </c>
      <c r="C14" s="8">
        <v>0.35</v>
      </c>
    </row>
    <row r="16" spans="1:8" x14ac:dyDescent="0.3">
      <c r="B16" t="s">
        <v>11</v>
      </c>
      <c r="D16" s="5">
        <v>5000</v>
      </c>
    </row>
    <row r="17" spans="2:4" x14ac:dyDescent="0.3">
      <c r="B17" t="s">
        <v>12</v>
      </c>
      <c r="D17" s="6">
        <f>IF(D16,D16,C10*5)</f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EA35-5381-4684-A912-0DF9F0A84686}">
  <dimension ref="A1:G20"/>
  <sheetViews>
    <sheetView tabSelected="1" zoomScale="140" workbookViewId="0">
      <selection activeCell="D16" sqref="D16"/>
    </sheetView>
  </sheetViews>
  <sheetFormatPr defaultRowHeight="14.4" x14ac:dyDescent="0.3"/>
  <cols>
    <col min="2" max="2" width="16.5546875" bestFit="1" customWidth="1"/>
  </cols>
  <sheetData>
    <row r="1" spans="1:7" x14ac:dyDescent="0.3">
      <c r="A1" s="9" t="s">
        <v>13</v>
      </c>
      <c r="C1" s="10">
        <v>2005</v>
      </c>
      <c r="D1" s="10">
        <v>2006</v>
      </c>
      <c r="E1" s="10">
        <v>2007</v>
      </c>
      <c r="F1" s="10">
        <v>2008</v>
      </c>
    </row>
    <row r="2" spans="1:7" x14ac:dyDescent="0.3">
      <c r="B2" t="s">
        <v>2</v>
      </c>
      <c r="C2" s="11">
        <f>[1]Sheet1!C2+'[1]Income Statement'!D2</f>
        <v>1100</v>
      </c>
      <c r="D2" s="11">
        <f>[1]Sheet1!D2+'[1]Income Statement'!E2</f>
        <v>1625</v>
      </c>
      <c r="E2" s="11">
        <f>[1]Sheet1!E2+'[1]Income Statement'!F2</f>
        <v>2650</v>
      </c>
      <c r="F2" s="11">
        <f>[1]Sheet1!F2+'[1]Income Statement'!G2</f>
        <v>4675</v>
      </c>
      <c r="G2" s="12">
        <f>SUM(C2:F2)</f>
        <v>10050</v>
      </c>
    </row>
    <row r="3" spans="1:7" x14ac:dyDescent="0.3">
      <c r="B3" t="s">
        <v>14</v>
      </c>
      <c r="C3" s="11">
        <f>[1]Sheet1!C3+'[1]Income Statement'!D3</f>
        <v>550</v>
      </c>
      <c r="D3" s="11">
        <f>[1]Sheet1!D3+'[1]Income Statement'!E3</f>
        <v>1260</v>
      </c>
      <c r="E3" s="11">
        <f>[1]Sheet1!E3+'[1]Income Statement'!F3</f>
        <v>3470</v>
      </c>
      <c r="F3" s="11">
        <f>[1]Sheet1!F3+'[1]Income Statement'!G3</f>
        <v>4080</v>
      </c>
    </row>
    <row r="4" spans="1:7" x14ac:dyDescent="0.3">
      <c r="B4" s="9" t="s">
        <v>4</v>
      </c>
      <c r="C4" s="13">
        <f>C2-C3</f>
        <v>550</v>
      </c>
      <c r="D4" s="13">
        <f t="shared" ref="D4:F4" si="0">D2-D3</f>
        <v>365</v>
      </c>
      <c r="E4" s="13">
        <f t="shared" si="0"/>
        <v>-820</v>
      </c>
      <c r="F4" s="13">
        <f t="shared" si="0"/>
        <v>595</v>
      </c>
      <c r="G4" s="12">
        <f>AVERAGE(C4:F4)</f>
        <v>172.5</v>
      </c>
    </row>
    <row r="6" spans="1:7" x14ac:dyDescent="0.3">
      <c r="B6" t="s">
        <v>15</v>
      </c>
      <c r="C6">
        <v>2006</v>
      </c>
    </row>
    <row r="8" spans="1:7" x14ac:dyDescent="0.3">
      <c r="C8" t="s">
        <v>16</v>
      </c>
    </row>
    <row r="9" spans="1:7" x14ac:dyDescent="0.3">
      <c r="B9" t="s">
        <v>17</v>
      </c>
      <c r="C9" s="11">
        <f>HLOOKUP(C6,B1:F4,4)</f>
        <v>365</v>
      </c>
    </row>
    <row r="10" spans="1:7" x14ac:dyDescent="0.3">
      <c r="B10" t="s">
        <v>18</v>
      </c>
      <c r="C10" s="11">
        <f>INDEX(B1:F4,4,3)</f>
        <v>365</v>
      </c>
    </row>
    <row r="11" spans="1:7" x14ac:dyDescent="0.3">
      <c r="B11" t="s">
        <v>19</v>
      </c>
      <c r="C11" s="11">
        <f>CHOOSE(2,C4,D4,E4,F4,G4)</f>
        <v>365</v>
      </c>
    </row>
    <row r="12" spans="1:7" x14ac:dyDescent="0.3">
      <c r="B12" t="s">
        <v>20</v>
      </c>
      <c r="C12" s="11">
        <f ca="1">OFFSET(B1,3,2)</f>
        <v>365</v>
      </c>
    </row>
    <row r="14" spans="1:7" x14ac:dyDescent="0.3">
      <c r="B14" t="s">
        <v>21</v>
      </c>
      <c r="C14" t="s">
        <v>2</v>
      </c>
    </row>
    <row r="16" spans="1:7" x14ac:dyDescent="0.3">
      <c r="C16" t="s">
        <v>22</v>
      </c>
    </row>
    <row r="17" spans="2:3" x14ac:dyDescent="0.3">
      <c r="B17" t="s">
        <v>23</v>
      </c>
      <c r="C17" s="11">
        <f>VLOOKUP(C14,B1:F4,5,0)</f>
        <v>4675</v>
      </c>
    </row>
    <row r="18" spans="2:3" x14ac:dyDescent="0.3">
      <c r="C18" s="11"/>
    </row>
    <row r="19" spans="2:3" x14ac:dyDescent="0.3">
      <c r="C19" s="11"/>
    </row>
    <row r="20" spans="2:3" x14ac:dyDescent="0.3">
      <c r="C20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858B-FB9C-4915-A0BB-ADA5AED095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Sheet1!COGS2004</vt:lpstr>
      <vt:lpstr>Sheet1!Revenues2004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2025-11-15T22:12:31Z</dcterms:created>
  <dcterms:modified xsi:type="dcterms:W3CDTF">2025-11-15T22:31:04Z</dcterms:modified>
</cp:coreProperties>
</file>