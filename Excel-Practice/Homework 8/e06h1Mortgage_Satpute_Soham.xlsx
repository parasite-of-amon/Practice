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# Rutgers\Academic Fall 2025\Mgmt Info Sys\Homework\Homework 8\"/>
    </mc:Choice>
  </mc:AlternateContent>
  <xr:revisionPtr revIDLastSave="0" documentId="13_ncr:1_{E150F44E-8114-467A-87BF-0A49C08AB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enario Summary" sheetId="3" r:id="rId1"/>
    <sheet name="Home Loan" sheetId="1" r:id="rId2"/>
    <sheet name="Range Names" sheetId="2" r:id="rId3"/>
  </sheets>
  <definedNames>
    <definedName name="Amount_of_Loan">'Home Loan'!$B$9</definedName>
    <definedName name="No._Payment_Periods">'Home Loan'!$B$11</definedName>
    <definedName name="Periodic_Rate">'Home Loan'!$B$10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'Home Loan'!$B$4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B11" i="1"/>
  <c r="B10" i="1"/>
  <c r="B9" i="1"/>
  <c r="B12" i="1" l="1"/>
  <c r="E3" i="1" s="1"/>
  <c r="B13" i="1" l="1"/>
  <c r="B14" i="1" s="1"/>
  <c r="G3" i="1" s="1"/>
  <c r="I3" i="1"/>
  <c r="F3" i="1" l="1"/>
</calcChain>
</file>

<file path=xl/sharedStrings.xml><?xml version="1.0" encoding="utf-8"?>
<sst xmlns="http://schemas.openxmlformats.org/spreadsheetml/2006/main" count="42" uniqueCount="35">
  <si>
    <t>Input Area</t>
  </si>
  <si>
    <t>Down Payment</t>
  </si>
  <si>
    <t>APR</t>
  </si>
  <si>
    <t>No. Years for Loan</t>
  </si>
  <si>
    <t>Payments Per Year</t>
  </si>
  <si>
    <t>Output Area</t>
  </si>
  <si>
    <t>Amount of Loan</t>
  </si>
  <si>
    <t>Periodic Rate</t>
  </si>
  <si>
    <t>No. Payment Periods</t>
  </si>
  <si>
    <t>Monthly Payment</t>
  </si>
  <si>
    <t>Total to Repay Loan</t>
  </si>
  <si>
    <t>Total Interest Paid</t>
  </si>
  <si>
    <t>One-Variable Data Table: APR</t>
  </si>
  <si>
    <t>Calculated Results for Each APR</t>
  </si>
  <si>
    <t>Monthly Payment by Cost/APR</t>
  </si>
  <si>
    <t>Cost of home</t>
  </si>
  <si>
    <t>Two-Variable Data Table: APR and Cost of Home</t>
  </si>
  <si>
    <t>Range Names</t>
  </si>
  <si>
    <t>Location</t>
  </si>
  <si>
    <t>Amount_of_Loan</t>
  </si>
  <si>
    <t>='Home Loan'!$B$9</t>
  </si>
  <si>
    <t>No._Payment_Periods</t>
  </si>
  <si>
    <t>='Home Loan'!$B$11</t>
  </si>
  <si>
    <t>Periodic_Rate</t>
  </si>
  <si>
    <t>='Home Loan'!$B$10</t>
  </si>
  <si>
    <t>Best-Case Scenario</t>
  </si>
  <si>
    <t>Created by Arshia on 9/23/2023</t>
  </si>
  <si>
    <t>Worst-Case Scenario</t>
  </si>
  <si>
    <t>Most Likely Scenario</t>
  </si>
  <si>
    <t>Scenario Summary</t>
  </si>
  <si>
    <t>Changing Cells:</t>
  </si>
  <si>
    <t>Result Cells:</t>
  </si>
  <si>
    <t>Cost of Home</t>
  </si>
  <si>
    <t>Years</t>
  </si>
  <si>
    <t>Total Intrest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</si>
</sst>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\A\P\R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44" fontId="0" fillId="0" borderId="0" xfId="2" applyFont="1"/>
    <xf numFmtId="10" fontId="0" fillId="0" borderId="0" xfId="0" applyNumberFormat="1"/>
    <xf numFmtId="164" fontId="0" fillId="0" borderId="0" xfId="1" applyNumberFormat="1" applyFont="1"/>
    <xf numFmtId="44" fontId="0" fillId="0" borderId="0" xfId="0" applyNumberFormat="1"/>
    <xf numFmtId="10" fontId="0" fillId="0" borderId="0" xfId="3" applyNumberFormat="1" applyFont="1"/>
    <xf numFmtId="0" fontId="4" fillId="0" borderId="0" xfId="0" applyFont="1" applyAlignment="1">
      <alignment horizontal="center"/>
    </xf>
    <xf numFmtId="10" fontId="0" fillId="3" borderId="0" xfId="3" applyNumberFormat="1" applyFont="1" applyFill="1"/>
    <xf numFmtId="10" fontId="0" fillId="3" borderId="0" xfId="0" applyNumberFormat="1" applyFill="1"/>
    <xf numFmtId="44" fontId="0" fillId="3" borderId="0" xfId="0" applyNumberForma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8" fontId="0" fillId="0" borderId="0" xfId="2" applyNumberFormat="1" applyFont="1"/>
    <xf numFmtId="0" fontId="3" fillId="0" borderId="0" xfId="0" applyFont="1"/>
    <xf numFmtId="4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4" fontId="0" fillId="0" borderId="0" xfId="0" applyNumberFormat="1" applyFill="1" applyBorder="1" applyAlignment="1"/>
    <xf numFmtId="8" fontId="0" fillId="0" borderId="0" xfId="0" applyNumberFormat="1" applyFill="1" applyBorder="1" applyAlignment="1"/>
    <xf numFmtId="44" fontId="0" fillId="0" borderId="2" xfId="0" applyNumberFormat="1" applyFill="1" applyBorder="1" applyAlignment="1"/>
    <xf numFmtId="0" fontId="5" fillId="4" borderId="3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6" fillId="5" borderId="0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right"/>
    </xf>
    <xf numFmtId="0" fontId="8" fillId="4" borderId="3" xfId="0" applyFont="1" applyFill="1" applyBorder="1" applyAlignment="1">
      <alignment horizontal="right"/>
    </xf>
    <xf numFmtId="44" fontId="0" fillId="6" borderId="0" xfId="0" applyNumberFormat="1" applyFill="1" applyBorder="1" applyAlignment="1"/>
    <xf numFmtId="10" fontId="0" fillId="6" borderId="0" xfId="0" applyNumberFormat="1" applyFill="1" applyBorder="1" applyAlignment="1"/>
    <xf numFmtId="164" fontId="0" fillId="6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585F-3669-458D-B5F6-F88A6F7D5455}">
  <sheetPr>
    <outlinePr summaryBelow="0"/>
  </sheetPr>
  <dimension ref="A1:D12"/>
  <sheetViews>
    <sheetView showGridLines="0" tabSelected="1" workbookViewId="0">
      <selection activeCell="D12" sqref="D12"/>
    </sheetView>
  </sheetViews>
  <sheetFormatPr defaultRowHeight="14.4" outlineLevelRow="1" outlineLevelCol="1" x14ac:dyDescent="0.3"/>
  <cols>
    <col min="1" max="1" width="18.33203125" bestFit="1" customWidth="1"/>
    <col min="2" max="4" width="17" bestFit="1" customWidth="1" outlineLevel="1"/>
  </cols>
  <sheetData>
    <row r="1" spans="1:4" ht="15.6" x14ac:dyDescent="0.3">
      <c r="A1" s="21" t="s">
        <v>29</v>
      </c>
      <c r="B1" s="26"/>
      <c r="C1" s="26"/>
      <c r="D1" s="26"/>
    </row>
    <row r="2" spans="1:4" ht="15.6" collapsed="1" x14ac:dyDescent="0.3">
      <c r="A2" s="20"/>
      <c r="B2" s="27" t="s">
        <v>25</v>
      </c>
      <c r="C2" s="27" t="s">
        <v>27</v>
      </c>
      <c r="D2" s="27" t="s">
        <v>28</v>
      </c>
    </row>
    <row r="3" spans="1:4" ht="20.399999999999999" hidden="1" outlineLevel="1" x14ac:dyDescent="0.3">
      <c r="A3" s="23"/>
      <c r="B3" s="31" t="s">
        <v>26</v>
      </c>
      <c r="C3" s="31" t="s">
        <v>26</v>
      </c>
      <c r="D3" s="31" t="s">
        <v>26</v>
      </c>
    </row>
    <row r="4" spans="1:4" x14ac:dyDescent="0.3">
      <c r="A4" s="24" t="s">
        <v>30</v>
      </c>
      <c r="B4" s="22"/>
      <c r="C4" s="22"/>
      <c r="D4" s="22"/>
    </row>
    <row r="5" spans="1:4" outlineLevel="1" x14ac:dyDescent="0.3">
      <c r="A5" s="23" t="s">
        <v>32</v>
      </c>
      <c r="B5" s="28">
        <v>150000</v>
      </c>
      <c r="C5" s="28">
        <v>150000</v>
      </c>
      <c r="D5" s="28">
        <v>150000</v>
      </c>
    </row>
    <row r="6" spans="1:4" outlineLevel="1" x14ac:dyDescent="0.3">
      <c r="A6" s="23" t="s">
        <v>1</v>
      </c>
      <c r="B6" s="28">
        <v>10000</v>
      </c>
      <c r="C6" s="28">
        <v>45000</v>
      </c>
      <c r="D6" s="28">
        <v>30000</v>
      </c>
    </row>
    <row r="7" spans="1:4" outlineLevel="1" x14ac:dyDescent="0.3">
      <c r="A7" s="23" t="s">
        <v>2</v>
      </c>
      <c r="B7" s="29">
        <v>2.2499999999999999E-2</v>
      </c>
      <c r="C7" s="29">
        <v>6</v>
      </c>
      <c r="D7" s="29">
        <v>4.25</v>
      </c>
    </row>
    <row r="8" spans="1:4" outlineLevel="1" x14ac:dyDescent="0.3">
      <c r="A8" s="23" t="s">
        <v>33</v>
      </c>
      <c r="B8" s="30">
        <v>15</v>
      </c>
      <c r="C8" s="30">
        <v>45</v>
      </c>
      <c r="D8" s="30">
        <v>30</v>
      </c>
    </row>
    <row r="9" spans="1:4" x14ac:dyDescent="0.3">
      <c r="A9" s="24" t="s">
        <v>31</v>
      </c>
      <c r="B9" s="22"/>
      <c r="C9" s="22"/>
      <c r="D9" s="22"/>
    </row>
    <row r="10" spans="1:4" outlineLevel="1" x14ac:dyDescent="0.3">
      <c r="A10" s="23" t="s">
        <v>9</v>
      </c>
      <c r="B10" s="18">
        <v>917.11867779816498</v>
      </c>
      <c r="C10" s="18">
        <v>52500</v>
      </c>
      <c r="D10" s="18">
        <v>42500</v>
      </c>
    </row>
    <row r="11" spans="1:4" outlineLevel="1" x14ac:dyDescent="0.3">
      <c r="A11" s="23" t="s">
        <v>10</v>
      </c>
      <c r="B11" s="17">
        <v>165081.36200366999</v>
      </c>
      <c r="C11" s="17">
        <v>28350000</v>
      </c>
      <c r="D11" s="17">
        <v>15300000</v>
      </c>
    </row>
    <row r="12" spans="1:4" ht="15" outlineLevel="1" thickBot="1" x14ac:dyDescent="0.35">
      <c r="A12" s="25" t="s">
        <v>34</v>
      </c>
      <c r="B12" s="19">
        <v>25081.362003669601</v>
      </c>
      <c r="C12" s="19">
        <v>28245000</v>
      </c>
      <c r="D12" s="19">
        <v>15180000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zoomScale="98" workbookViewId="0">
      <selection activeCell="I3" sqref="I3"/>
    </sheetView>
  </sheetViews>
  <sheetFormatPr defaultRowHeight="14.4" x14ac:dyDescent="0.3"/>
  <cols>
    <col min="1" max="1" width="19.77734375" bestFit="1" customWidth="1"/>
    <col min="2" max="2" width="12.5546875" bestFit="1" customWidth="1"/>
    <col min="3" max="3" width="6.5546875" customWidth="1"/>
    <col min="4" max="4" width="8.21875" customWidth="1"/>
    <col min="5" max="5" width="10.44140625" customWidth="1"/>
    <col min="6" max="7" width="12.77734375" customWidth="1"/>
    <col min="8" max="8" width="6.5546875" customWidth="1"/>
    <col min="9" max="9" width="9.109375" customWidth="1"/>
    <col min="10" max="10" width="14.33203125" customWidth="1"/>
    <col min="11" max="11" width="12.6640625" bestFit="1" customWidth="1"/>
    <col min="12" max="12" width="12.77734375" customWidth="1"/>
  </cols>
  <sheetData>
    <row r="1" spans="1:12" x14ac:dyDescent="0.3">
      <c r="A1" s="1" t="s">
        <v>0</v>
      </c>
      <c r="B1" s="1"/>
      <c r="D1" s="1" t="s">
        <v>12</v>
      </c>
      <c r="E1" s="1"/>
      <c r="F1" s="1"/>
      <c r="G1" s="1"/>
      <c r="I1" s="1" t="s">
        <v>16</v>
      </c>
      <c r="J1" s="1"/>
      <c r="K1" s="1"/>
      <c r="L1" s="1"/>
    </row>
    <row r="2" spans="1:12" x14ac:dyDescent="0.3">
      <c r="A2" t="s">
        <v>15</v>
      </c>
      <c r="B2" s="2">
        <v>135676.74427251599</v>
      </c>
      <c r="E2" s="11" t="s">
        <v>13</v>
      </c>
      <c r="F2" s="11"/>
      <c r="G2" s="11"/>
      <c r="J2" s="12" t="s">
        <v>14</v>
      </c>
      <c r="K2" s="12"/>
      <c r="L2" s="12"/>
    </row>
    <row r="3" spans="1:12" x14ac:dyDescent="0.3">
      <c r="A3" t="s">
        <v>1</v>
      </c>
      <c r="B3" s="2">
        <v>10000</v>
      </c>
      <c r="D3" s="7" t="s">
        <v>2</v>
      </c>
      <c r="E3" s="15">
        <f>B12</f>
        <v>600.00000000000216</v>
      </c>
      <c r="F3" s="15">
        <f>B13</f>
        <v>216000.00000000079</v>
      </c>
      <c r="G3" s="15">
        <f>B14</f>
        <v>90323.255727484793</v>
      </c>
      <c r="I3" s="16">
        <f>B12</f>
        <v>600.00000000000216</v>
      </c>
      <c r="J3" s="10">
        <v>150000</v>
      </c>
      <c r="K3" s="10">
        <v>175000</v>
      </c>
      <c r="L3" s="10">
        <v>200000</v>
      </c>
    </row>
    <row r="4" spans="1:12" x14ac:dyDescent="0.3">
      <c r="A4" t="s">
        <v>2</v>
      </c>
      <c r="B4" s="3">
        <v>0.04</v>
      </c>
      <c r="D4" s="8">
        <f>B4</f>
        <v>0.04</v>
      </c>
      <c r="E4" s="5">
        <f t="dataTable" ref="E4:G12" dt2D="0" dtr="0" r1="B4" ca="1"/>
        <v>600.00000000000216</v>
      </c>
      <c r="F4" s="5">
        <v>216000.00000000079</v>
      </c>
      <c r="G4" s="5">
        <v>90323.255727484793</v>
      </c>
      <c r="I4" s="9">
        <v>0.04</v>
      </c>
      <c r="J4" s="2">
        <f t="dataTable" ref="J4:L20" dt2D="1" dtr="1" r1="B2" r2="B4" ca="1"/>
        <v>668.38141365164336</v>
      </c>
      <c r="K4" s="2">
        <v>787.73523751800815</v>
      </c>
      <c r="L4" s="2">
        <v>907.08906138437305</v>
      </c>
    </row>
    <row r="5" spans="1:12" x14ac:dyDescent="0.3">
      <c r="A5" t="s">
        <v>3</v>
      </c>
      <c r="B5" s="4">
        <v>30</v>
      </c>
      <c r="D5" s="8">
        <v>4.2500000000000003E-2</v>
      </c>
      <c r="E5" s="5">
        <v>618.25403888645644</v>
      </c>
      <c r="F5" s="5">
        <v>222571.45399912432</v>
      </c>
      <c r="G5" s="5">
        <v>96894.709726608329</v>
      </c>
      <c r="I5" s="9">
        <v>4.2500000000000003E-2</v>
      </c>
      <c r="J5" s="2">
        <v>688.71584751127705</v>
      </c>
      <c r="K5" s="2">
        <v>811.70082028114803</v>
      </c>
      <c r="L5" s="2">
        <v>934.68579305101889</v>
      </c>
    </row>
    <row r="6" spans="1:12" x14ac:dyDescent="0.3">
      <c r="A6" t="s">
        <v>4</v>
      </c>
      <c r="B6" s="4">
        <v>12</v>
      </c>
      <c r="D6" s="8">
        <v>4.4999999999999998E-2</v>
      </c>
      <c r="E6" s="5">
        <v>636.78560109627745</v>
      </c>
      <c r="F6" s="5">
        <v>229242.81639465989</v>
      </c>
      <c r="G6" s="5">
        <v>103566.0721221439</v>
      </c>
      <c r="I6" s="9">
        <v>4.4999999999999998E-2</v>
      </c>
      <c r="J6" s="2">
        <v>709.35943375623299</v>
      </c>
      <c r="K6" s="2">
        <v>836.03076121270306</v>
      </c>
      <c r="L6" s="2">
        <v>962.70208866917335</v>
      </c>
    </row>
    <row r="7" spans="1:12" x14ac:dyDescent="0.3">
      <c r="D7" s="8">
        <v>4.7500000000000001E-2</v>
      </c>
      <c r="E7" s="5">
        <v>655.58938910140569</v>
      </c>
      <c r="F7" s="5">
        <v>236012.18007650605</v>
      </c>
      <c r="G7" s="5">
        <v>110335.43580399005</v>
      </c>
      <c r="I7" s="9">
        <v>4.7500000000000001E-2</v>
      </c>
      <c r="J7" s="2">
        <v>730.30627110435523</v>
      </c>
      <c r="K7" s="2">
        <v>860.71810523013301</v>
      </c>
      <c r="L7" s="2">
        <v>991.12993935591078</v>
      </c>
    </row>
    <row r="8" spans="1:12" x14ac:dyDescent="0.3">
      <c r="A8" s="1" t="s">
        <v>5</v>
      </c>
      <c r="B8" s="1"/>
      <c r="D8" s="8">
        <v>0.05</v>
      </c>
      <c r="E8" s="5">
        <v>674.65993835253585</v>
      </c>
      <c r="F8" s="5">
        <v>242877.57780691292</v>
      </c>
      <c r="G8" s="5">
        <v>117200.83353439692</v>
      </c>
      <c r="I8" s="9">
        <v>0.05</v>
      </c>
      <c r="J8" s="2">
        <v>751.5502722169947</v>
      </c>
      <c r="K8" s="2">
        <v>885.75567797002952</v>
      </c>
      <c r="L8" s="2">
        <v>1019.9610837230642</v>
      </c>
    </row>
    <row r="9" spans="1:12" x14ac:dyDescent="0.3">
      <c r="A9" t="s">
        <v>6</v>
      </c>
      <c r="B9" s="5">
        <f>B2-B3</f>
        <v>125676.74427251599</v>
      </c>
      <c r="D9" s="8">
        <v>5.2500000000000005E-2</v>
      </c>
      <c r="E9" s="5">
        <v>693.99163460423949</v>
      </c>
      <c r="F9" s="5">
        <v>249836.98845752623</v>
      </c>
      <c r="G9" s="5">
        <v>124160.24418501023</v>
      </c>
      <c r="I9" s="9">
        <v>5.2500000000000005E-2</v>
      </c>
      <c r="J9" s="2">
        <v>773.08518299865761</v>
      </c>
      <c r="K9" s="2">
        <v>911.13610853413229</v>
      </c>
      <c r="L9" s="2">
        <v>1049.1870340696069</v>
      </c>
    </row>
    <row r="10" spans="1:12" x14ac:dyDescent="0.3">
      <c r="A10" t="s">
        <v>7</v>
      </c>
      <c r="B10" s="6">
        <f>B4/B6</f>
        <v>3.3333333333333335E-3</v>
      </c>
      <c r="D10" s="8">
        <v>5.5E-2</v>
      </c>
      <c r="E10" s="5">
        <v>713.57873123034517</v>
      </c>
      <c r="F10" s="5">
        <v>256888.34324292425</v>
      </c>
      <c r="G10" s="5">
        <v>131211.59897040826</v>
      </c>
      <c r="I10" s="9">
        <v>5.5E-2</v>
      </c>
      <c r="J10" s="2">
        <v>794.90460188580403</v>
      </c>
      <c r="K10" s="2">
        <v>936.85185222255484</v>
      </c>
      <c r="L10" s="2">
        <v>1078.7991025593055</v>
      </c>
    </row>
    <row r="11" spans="1:12" x14ac:dyDescent="0.3">
      <c r="A11" t="s">
        <v>8</v>
      </c>
      <c r="B11">
        <f>B5*B6</f>
        <v>360</v>
      </c>
      <c r="D11" s="8">
        <v>5.7500000000000002E-2</v>
      </c>
      <c r="E11" s="5">
        <v>733.41536643638096</v>
      </c>
      <c r="F11" s="5">
        <v>264029.53191709716</v>
      </c>
      <c r="G11" s="5">
        <v>138352.78764458117</v>
      </c>
      <c r="I11" s="9">
        <v>5.7500000000000002E-2</v>
      </c>
      <c r="J11" s="2">
        <v>817.00199902097415</v>
      </c>
      <c r="K11" s="2">
        <v>962.89521313186242</v>
      </c>
      <c r="L11" s="2">
        <v>1108.7884272427507</v>
      </c>
    </row>
    <row r="12" spans="1:12" x14ac:dyDescent="0.3">
      <c r="A12" t="s">
        <v>9</v>
      </c>
      <c r="B12" s="13">
        <f>PMT(Periodic_Rate,No._Payment_Periods,-Amount_of_Loan)</f>
        <v>600.00000000000216</v>
      </c>
      <c r="D12" s="8">
        <v>0.06</v>
      </c>
      <c r="E12" s="5">
        <v>753.49558028075114</v>
      </c>
      <c r="F12" s="5">
        <v>271258.40890107042</v>
      </c>
      <c r="G12" s="5">
        <v>145581.66462855443</v>
      </c>
      <c r="I12" s="9">
        <v>0.06</v>
      </c>
      <c r="J12" s="2">
        <v>839.37073521385321</v>
      </c>
      <c r="K12" s="2">
        <v>989.25836650204133</v>
      </c>
      <c r="L12" s="2">
        <v>1139.1459977902296</v>
      </c>
    </row>
    <row r="13" spans="1:12" x14ac:dyDescent="0.3">
      <c r="A13" t="s">
        <v>10</v>
      </c>
      <c r="B13" s="2">
        <f>B11*B12</f>
        <v>216000.00000000079</v>
      </c>
      <c r="I13" s="9">
        <v>6.25E-2</v>
      </c>
      <c r="J13" s="2">
        <v>862.00408059694814</v>
      </c>
      <c r="K13" s="2">
        <v>1015.933380703546</v>
      </c>
      <c r="L13" s="2">
        <v>1169.862680810144</v>
      </c>
    </row>
    <row r="14" spans="1:12" x14ac:dyDescent="0.3">
      <c r="A14" t="s">
        <v>11</v>
      </c>
      <c r="B14" s="5">
        <f>B13-B9</f>
        <v>90323.255727484793</v>
      </c>
      <c r="I14" s="9">
        <v>6.5000000000000002E-2</v>
      </c>
      <c r="J14" s="2">
        <v>884.89523289014915</v>
      </c>
      <c r="K14" s="2">
        <v>1042.9122387633902</v>
      </c>
      <c r="L14" s="2">
        <v>1200.9292446366312</v>
      </c>
    </row>
    <row r="15" spans="1:12" x14ac:dyDescent="0.3">
      <c r="I15" s="9">
        <v>6.7500000000000004E-2</v>
      </c>
      <c r="J15" s="2">
        <v>908.03733519550133</v>
      </c>
      <c r="K15" s="2">
        <v>1070.1868593375552</v>
      </c>
      <c r="L15" s="2">
        <v>1232.3363834796089</v>
      </c>
    </row>
    <row r="16" spans="1:12" x14ac:dyDescent="0.3">
      <c r="I16" s="9">
        <v>7.0000000000000007E-2</v>
      </c>
      <c r="J16" s="2">
        <v>931.4234932508565</v>
      </c>
      <c r="K16" s="2">
        <v>1097.7491170456522</v>
      </c>
      <c r="L16" s="2">
        <v>1264.0747408404482</v>
      </c>
    </row>
    <row r="17" spans="9:12" x14ac:dyDescent="0.3">
      <c r="I17" s="9">
        <v>7.2500000000000009E-2</v>
      </c>
      <c r="J17" s="2">
        <v>955.04679207866866</v>
      </c>
      <c r="K17" s="2">
        <v>1125.5908620927166</v>
      </c>
      <c r="L17" s="2">
        <v>1296.1349321067646</v>
      </c>
    </row>
    <row r="18" spans="9:12" x14ac:dyDescent="0.3">
      <c r="I18" s="9">
        <v>7.5000000000000011E-2</v>
      </c>
      <c r="J18" s="2">
        <v>978.90031197389112</v>
      </c>
      <c r="K18" s="2">
        <v>1153.7039391120859</v>
      </c>
      <c r="L18" s="2">
        <v>1328.5075662502807</v>
      </c>
    </row>
    <row r="19" spans="9:12" x14ac:dyDescent="0.3">
      <c r="I19" s="9">
        <v>7.7499999999999999E-2</v>
      </c>
      <c r="J19" s="2">
        <v>1002.9771437826606</v>
      </c>
      <c r="K19" s="2">
        <v>1182.0802051724215</v>
      </c>
      <c r="L19" s="2">
        <v>1361.1832665621823</v>
      </c>
    </row>
    <row r="20" spans="9:12" x14ac:dyDescent="0.3">
      <c r="I20" s="9">
        <v>0.08</v>
      </c>
      <c r="J20" s="2">
        <v>1027.2704034311266</v>
      </c>
      <c r="K20" s="2">
        <v>1210.7115469009707</v>
      </c>
      <c r="L20" s="2">
        <v>1394.1526903708148</v>
      </c>
    </row>
  </sheetData>
  <scenarios current="0" sqref="B12:B14">
    <scenario name="Best-Case Scenario" locked="1" count="4" user="Arshia" comment="Created by Arshia on 9/23/2023">
      <inputCells r="B2" val="150000" numFmtId="44"/>
      <inputCells r="B3" val="10000" numFmtId="44"/>
      <inputCells r="B4" val="0.0225" numFmtId="10"/>
      <inputCells r="B5" val="15" numFmtId="164"/>
    </scenario>
    <scenario name="Worst-Case Scenario" locked="1" count="4" user="Arshia" comment="Created by Arshia on 9/23/2023">
      <inputCells r="B2" val="150000" numFmtId="44"/>
      <inputCells r="B3" val="45000" numFmtId="44"/>
      <inputCells r="B4" val="6" numFmtId="10"/>
      <inputCells r="B5" val="45" numFmtId="164"/>
    </scenario>
    <scenario name="Most Likely Scenario" locked="1" count="4" user="Arshia" comment="Created by Arshia on 9/23/2023">
      <inputCells r="B2" val="150000" numFmtId="44"/>
      <inputCells r="B3" val="30000" numFmtId="44"/>
      <inputCells r="B4" val="4.25" numFmtId="10"/>
      <inputCells r="B5" val="30" numFmtId="164"/>
    </scenario>
  </scenarios>
  <mergeCells count="2">
    <mergeCell ref="E2:G2"/>
    <mergeCell ref="J2:L2"/>
  </mergeCells>
  <pageMargins left="0.7" right="0.7" top="0.75" bottom="0.75" header="0.3" footer="0.3"/>
  <headerFooter>
    <oddFooter>&amp;C_x000D_&amp;1#&amp;"Calibri"&amp;10&amp;K000000 Non-Amgen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8815-54BE-4F51-AF8D-4C2178E74FAA}">
  <dimension ref="A1:B4"/>
  <sheetViews>
    <sheetView workbookViewId="0">
      <selection activeCell="D5" sqref="D5"/>
    </sheetView>
  </sheetViews>
  <sheetFormatPr defaultRowHeight="14.4" x14ac:dyDescent="0.3"/>
  <cols>
    <col min="1" max="1" width="19.33203125" bestFit="1" customWidth="1"/>
    <col min="2" max="2" width="18.21875" bestFit="1" customWidth="1"/>
  </cols>
  <sheetData>
    <row r="1" spans="1:2" x14ac:dyDescent="0.3">
      <c r="A1" s="14" t="s">
        <v>17</v>
      </c>
      <c r="B1" s="14" t="s">
        <v>18</v>
      </c>
    </row>
    <row r="2" spans="1:2" x14ac:dyDescent="0.3">
      <c r="A2" t="s">
        <v>19</v>
      </c>
      <c r="B2" t="s">
        <v>20</v>
      </c>
    </row>
    <row r="3" spans="1:2" x14ac:dyDescent="0.3">
      <c r="A3" t="s">
        <v>21</v>
      </c>
      <c r="B3" t="s">
        <v>22</v>
      </c>
    </row>
    <row r="4" spans="1:2" x14ac:dyDescent="0.3">
      <c r="A4" t="s">
        <v>23</v>
      </c>
      <c r="B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Scenario Summary</vt:lpstr>
      <vt:lpstr>Home Loan</vt:lpstr>
      <vt:lpstr>Range Names</vt:lpstr>
      <vt:lpstr>Amount_of_Loan</vt:lpstr>
      <vt:lpstr>No._Payment_Periods</vt:lpstr>
      <vt:lpstr>Periodic_Rate</vt:lpstr>
    </vt:vector>
  </TitlesOfParts>
  <Company>Pearson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dcterms:created xsi:type="dcterms:W3CDTF">2009-07-10T21:54:26Z</dcterms:created>
  <dcterms:modified xsi:type="dcterms:W3CDTF">2025-11-07T23:53:47Z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072e26-1821-44f2-97f7-4c10c067297d_Enabled">
    <vt:lpwstr>true</vt:lpwstr>
  </property>
  <property fmtid="{D5CDD505-2E9C-101B-9397-08002B2CF9AE}" pid="3" name="MSIP_Label_b1072e26-1821-44f2-97f7-4c10c067297d_SetDate">
    <vt:lpwstr>2025-11-03T01:44:24Z</vt:lpwstr>
  </property>
  <property fmtid="{D5CDD505-2E9C-101B-9397-08002B2CF9AE}" pid="4" name="MSIP_Label_b1072e26-1821-44f2-97f7-4c10c067297d_Method">
    <vt:lpwstr>Privileged</vt:lpwstr>
  </property>
  <property fmtid="{D5CDD505-2E9C-101B-9397-08002B2CF9AE}" pid="5" name="MSIP_Label_b1072e26-1821-44f2-97f7-4c10c067297d_Name">
    <vt:lpwstr>Non Amgen_</vt:lpwstr>
  </property>
  <property fmtid="{D5CDD505-2E9C-101B-9397-08002B2CF9AE}" pid="6" name="MSIP_Label_b1072e26-1821-44f2-97f7-4c10c067297d_SiteId">
    <vt:lpwstr>4b4266a6-1368-41af-ad5a-59eb634f7ad8</vt:lpwstr>
  </property>
  <property fmtid="{D5CDD505-2E9C-101B-9397-08002B2CF9AE}" pid="7" name="MSIP_Label_b1072e26-1821-44f2-97f7-4c10c067297d_ActionId">
    <vt:lpwstr>3378dca1-f585-4b31-bb5f-2531b863466e</vt:lpwstr>
  </property>
  <property fmtid="{D5CDD505-2E9C-101B-9397-08002B2CF9AE}" pid="8" name="MSIP_Label_b1072e26-1821-44f2-97f7-4c10c067297d_ContentBits">
    <vt:lpwstr>2</vt:lpwstr>
  </property>
  <property fmtid="{D5CDD505-2E9C-101B-9397-08002B2CF9AE}" pid="9" name="MSIP_Label_b1072e26-1821-44f2-97f7-4c10c067297d_Tag">
    <vt:lpwstr>10, 0, 1, 1</vt:lpwstr>
  </property>
</Properties>
</file>