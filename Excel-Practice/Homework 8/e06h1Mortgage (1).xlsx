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rahim\Downloads\week4\"/>
    </mc:Choice>
  </mc:AlternateContent>
  <xr:revisionPtr revIDLastSave="0" documentId="13_ncr:1_{65B02AAA-0EF2-4825-A306-3E7CEFB1C5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me Loan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'Home Loan'!$B$4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D4" i="1"/>
  <c r="B11" i="1"/>
  <c r="B10" i="1"/>
  <c r="B9" i="1"/>
  <c r="B12" i="1" l="1"/>
  <c r="I3" i="1" s="1"/>
  <c r="B13" i="1" l="1"/>
  <c r="E3" i="1"/>
  <c r="B14" i="1" l="1"/>
  <c r="G3" i="1" s="1"/>
  <c r="F3" i="1"/>
</calcChain>
</file>

<file path=xl/sharedStrings.xml><?xml version="1.0" encoding="utf-8"?>
<sst xmlns="http://schemas.openxmlformats.org/spreadsheetml/2006/main" count="18" uniqueCount="17">
  <si>
    <t>Input Area</t>
  </si>
  <si>
    <t>Down Payment</t>
  </si>
  <si>
    <t>APR</t>
  </si>
  <si>
    <t>No. Years for Loan</t>
  </si>
  <si>
    <t>Payments Per Year</t>
  </si>
  <si>
    <t>Output Area</t>
  </si>
  <si>
    <t>Amount of Loan</t>
  </si>
  <si>
    <t>Periodic Rate</t>
  </si>
  <si>
    <t>No. Payment Periods</t>
  </si>
  <si>
    <t>Monthly Payment</t>
  </si>
  <si>
    <t>Total to Repay Loan</t>
  </si>
  <si>
    <t>Total Interest Paid</t>
  </si>
  <si>
    <t>One-Variable Data Table: APR</t>
  </si>
  <si>
    <t>Calculated Results for Each APR</t>
  </si>
  <si>
    <t>Monthly Payment by Cost/APR</t>
  </si>
  <si>
    <t>Cost of home</t>
  </si>
  <si>
    <t>Two-Variable Data Table: APR and Cost of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</si>
</sst>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A\P\R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44" fontId="0" fillId="0" borderId="0" xfId="2" applyFont="1"/>
    <xf numFmtId="10" fontId="0" fillId="0" borderId="0" xfId="0" applyNumberFormat="1"/>
    <xf numFmtId="164" fontId="0" fillId="0" borderId="0" xfId="1" applyNumberFormat="1" applyFont="1"/>
    <xf numFmtId="44" fontId="0" fillId="0" borderId="0" xfId="0" applyNumberFormat="1"/>
    <xf numFmtId="10" fontId="0" fillId="0" borderId="0" xfId="3" applyNumberFormat="1" applyFont="1"/>
    <xf numFmtId="0" fontId="4" fillId="0" borderId="0" xfId="0" applyFont="1" applyAlignment="1">
      <alignment horizontal="center"/>
    </xf>
    <xf numFmtId="10" fontId="0" fillId="3" borderId="0" xfId="3" applyNumberFormat="1" applyFont="1" applyFill="1"/>
    <xf numFmtId="10" fontId="0" fillId="3" borderId="0" xfId="0" applyNumberFormat="1" applyFill="1"/>
    <xf numFmtId="44" fontId="0" fillId="3" borderId="0" xfId="0" applyNumberFormat="1" applyFill="1"/>
    <xf numFmtId="3" fontId="0" fillId="3" borderId="0" xfId="0" applyNumberFormat="1" applyFill="1"/>
    <xf numFmtId="165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L10" sqref="L10"/>
    </sheetView>
  </sheetViews>
  <sheetFormatPr defaultRowHeight="14.5" x14ac:dyDescent="0.35"/>
  <cols>
    <col min="1" max="1" width="19.81640625" bestFit="1" customWidth="1"/>
    <col min="2" max="2" width="12.54296875" bestFit="1" customWidth="1"/>
    <col min="3" max="3" width="6.54296875" customWidth="1"/>
    <col min="4" max="4" width="8.1796875" customWidth="1"/>
    <col min="5" max="5" width="10.453125" customWidth="1"/>
    <col min="6" max="7" width="12.7265625" customWidth="1"/>
    <col min="8" max="8" width="6.54296875" customWidth="1"/>
    <col min="9" max="9" width="9.08984375" customWidth="1"/>
    <col min="10" max="10" width="14.36328125" customWidth="1"/>
    <col min="11" max="11" width="11.54296875" customWidth="1"/>
    <col min="12" max="12" width="12.7265625" customWidth="1"/>
  </cols>
  <sheetData>
    <row r="1" spans="1:12" x14ac:dyDescent="0.35">
      <c r="A1" s="1" t="s">
        <v>0</v>
      </c>
      <c r="B1" s="1"/>
      <c r="D1" s="1" t="s">
        <v>12</v>
      </c>
      <c r="E1" s="1"/>
      <c r="F1" s="1"/>
      <c r="G1" s="1"/>
      <c r="I1" s="1" t="s">
        <v>16</v>
      </c>
      <c r="J1" s="1"/>
      <c r="K1" s="1"/>
      <c r="L1" s="1"/>
    </row>
    <row r="2" spans="1:12" x14ac:dyDescent="0.35">
      <c r="A2" t="s">
        <v>15</v>
      </c>
      <c r="B2" s="2">
        <v>135676.74427251599</v>
      </c>
      <c r="E2" s="13" t="s">
        <v>13</v>
      </c>
      <c r="F2" s="13"/>
      <c r="G2" s="13"/>
      <c r="J2" s="14" t="s">
        <v>14</v>
      </c>
      <c r="K2" s="14"/>
      <c r="L2" s="14"/>
    </row>
    <row r="3" spans="1:12" x14ac:dyDescent="0.35">
      <c r="A3" t="s">
        <v>1</v>
      </c>
      <c r="B3" s="2">
        <v>10000</v>
      </c>
      <c r="D3" s="7" t="s">
        <v>2</v>
      </c>
      <c r="E3" s="5">
        <f>B12</f>
        <v>600.00000000000216</v>
      </c>
      <c r="F3" s="5">
        <f>B13</f>
        <v>216000.00000000079</v>
      </c>
      <c r="G3" s="5">
        <f>B14</f>
        <v>90323.255727484793</v>
      </c>
      <c r="I3" s="12">
        <f>B12</f>
        <v>600.00000000000216</v>
      </c>
      <c r="J3" s="10">
        <f>B2</f>
        <v>135676.74427251599</v>
      </c>
      <c r="K3" s="11">
        <v>175000</v>
      </c>
      <c r="L3" s="11">
        <v>200000</v>
      </c>
    </row>
    <row r="4" spans="1:12" x14ac:dyDescent="0.35">
      <c r="A4" t="s">
        <v>2</v>
      </c>
      <c r="B4" s="3">
        <v>0.04</v>
      </c>
      <c r="D4" s="8">
        <f>B4</f>
        <v>0.04</v>
      </c>
      <c r="E4" s="5"/>
      <c r="F4" s="5"/>
      <c r="G4" s="5"/>
      <c r="I4" s="9">
        <v>0.04</v>
      </c>
      <c r="J4" s="2"/>
      <c r="K4" s="2"/>
      <c r="L4" s="2"/>
    </row>
    <row r="5" spans="1:12" x14ac:dyDescent="0.35">
      <c r="A5" t="s">
        <v>3</v>
      </c>
      <c r="B5" s="4">
        <v>30</v>
      </c>
      <c r="D5" s="8">
        <v>4.2500000000000003E-2</v>
      </c>
      <c r="E5" s="5"/>
      <c r="F5" s="5"/>
      <c r="G5" s="5"/>
      <c r="I5" s="9">
        <v>4.2500000000000003E-2</v>
      </c>
      <c r="J5" s="2"/>
      <c r="K5" s="2"/>
      <c r="L5" s="2"/>
    </row>
    <row r="6" spans="1:12" x14ac:dyDescent="0.35">
      <c r="A6" t="s">
        <v>4</v>
      </c>
      <c r="B6" s="4">
        <v>12</v>
      </c>
      <c r="D6" s="8">
        <v>4.4999999999999998E-2</v>
      </c>
      <c r="E6" s="5"/>
      <c r="F6" s="5"/>
      <c r="G6" s="5"/>
      <c r="I6" s="9">
        <v>4.4999999999999998E-2</v>
      </c>
      <c r="J6" s="2"/>
      <c r="K6" s="2"/>
      <c r="L6" s="2"/>
    </row>
    <row r="7" spans="1:12" x14ac:dyDescent="0.35">
      <c r="D7" s="8">
        <v>4.7500000000000001E-2</v>
      </c>
      <c r="E7" s="5"/>
      <c r="F7" s="5"/>
      <c r="G7" s="5"/>
      <c r="I7" s="9">
        <v>4.7500000000000001E-2</v>
      </c>
      <c r="J7" s="2"/>
      <c r="K7" s="2"/>
      <c r="L7" s="2"/>
    </row>
    <row r="8" spans="1:12" x14ac:dyDescent="0.35">
      <c r="A8" s="1" t="s">
        <v>5</v>
      </c>
      <c r="B8" s="1"/>
      <c r="D8" s="8">
        <v>0.05</v>
      </c>
      <c r="E8" s="5"/>
      <c r="F8" s="5"/>
      <c r="G8" s="5"/>
      <c r="I8" s="9">
        <v>0.05</v>
      </c>
      <c r="J8" s="2"/>
      <c r="K8" s="2"/>
      <c r="L8" s="2"/>
    </row>
    <row r="9" spans="1:12" x14ac:dyDescent="0.35">
      <c r="A9" t="s">
        <v>6</v>
      </c>
      <c r="B9" s="5">
        <f>B2-B3</f>
        <v>125676.74427251599</v>
      </c>
      <c r="D9" s="8">
        <v>5.2500000000000005E-2</v>
      </c>
      <c r="E9" s="5"/>
      <c r="F9" s="5"/>
      <c r="G9" s="5"/>
      <c r="I9" s="9">
        <v>5.2500000000000005E-2</v>
      </c>
      <c r="J9" s="2"/>
      <c r="K9" s="2"/>
      <c r="L9" s="2"/>
    </row>
    <row r="10" spans="1:12" x14ac:dyDescent="0.35">
      <c r="A10" t="s">
        <v>7</v>
      </c>
      <c r="B10" s="6">
        <f>B4/B6</f>
        <v>3.3333333333333335E-3</v>
      </c>
      <c r="D10" s="8">
        <v>5.5E-2</v>
      </c>
      <c r="E10" s="5"/>
      <c r="F10" s="5"/>
      <c r="G10" s="5"/>
      <c r="I10" s="9">
        <v>5.5E-2</v>
      </c>
      <c r="J10" s="2"/>
      <c r="K10" s="2"/>
      <c r="L10" s="2"/>
    </row>
    <row r="11" spans="1:12" x14ac:dyDescent="0.35">
      <c r="A11" t="s">
        <v>8</v>
      </c>
      <c r="B11">
        <f>B5*B6</f>
        <v>360</v>
      </c>
      <c r="D11" s="8">
        <v>5.7500000000000002E-2</v>
      </c>
      <c r="E11" s="5"/>
      <c r="F11" s="5"/>
      <c r="G11" s="5"/>
      <c r="I11" s="9">
        <v>5.7500000000000002E-2</v>
      </c>
      <c r="J11" s="2"/>
      <c r="K11" s="2"/>
      <c r="L11" s="2"/>
    </row>
    <row r="12" spans="1:12" x14ac:dyDescent="0.35">
      <c r="A12" t="s">
        <v>9</v>
      </c>
      <c r="B12" s="2">
        <f>PMT(B10,B11,-B9)</f>
        <v>600.00000000000216</v>
      </c>
      <c r="D12" s="8">
        <v>0.06</v>
      </c>
      <c r="E12" s="5"/>
      <c r="F12" s="5"/>
      <c r="G12" s="5"/>
      <c r="I12" s="9">
        <v>0.06</v>
      </c>
      <c r="J12" s="2"/>
      <c r="K12" s="2"/>
      <c r="L12" s="2"/>
    </row>
    <row r="13" spans="1:12" x14ac:dyDescent="0.35">
      <c r="A13" t="s">
        <v>10</v>
      </c>
      <c r="B13" s="2">
        <f>B11*B12</f>
        <v>216000.00000000079</v>
      </c>
      <c r="I13" s="9">
        <v>6.25E-2</v>
      </c>
      <c r="J13" s="2"/>
      <c r="K13" s="2"/>
      <c r="L13" s="2"/>
    </row>
    <row r="14" spans="1:12" x14ac:dyDescent="0.35">
      <c r="A14" t="s">
        <v>11</v>
      </c>
      <c r="B14" s="5">
        <f>B13-B9</f>
        <v>90323.255727484793</v>
      </c>
      <c r="I14" s="9">
        <v>6.5000000000000002E-2</v>
      </c>
      <c r="J14" s="2"/>
      <c r="K14" s="2"/>
      <c r="L14" s="2"/>
    </row>
    <row r="15" spans="1:12" x14ac:dyDescent="0.35">
      <c r="I15" s="9">
        <v>6.7500000000000004E-2</v>
      </c>
      <c r="J15" s="2"/>
      <c r="K15" s="2"/>
      <c r="L15" s="2"/>
    </row>
    <row r="16" spans="1:12" x14ac:dyDescent="0.35">
      <c r="I16" s="9">
        <v>7.0000000000000007E-2</v>
      </c>
      <c r="J16" s="2"/>
      <c r="K16" s="2"/>
      <c r="L16" s="2"/>
    </row>
    <row r="17" spans="9:12" x14ac:dyDescent="0.35">
      <c r="I17" s="9">
        <v>7.2500000000000009E-2</v>
      </c>
      <c r="J17" s="2"/>
      <c r="K17" s="2"/>
      <c r="L17" s="2"/>
    </row>
    <row r="18" spans="9:12" x14ac:dyDescent="0.35">
      <c r="I18" s="9">
        <v>7.5000000000000011E-2</v>
      </c>
      <c r="J18" s="2"/>
      <c r="K18" s="2"/>
      <c r="L18" s="2"/>
    </row>
    <row r="19" spans="9:12" x14ac:dyDescent="0.35">
      <c r="I19" s="9">
        <v>7.7499999999999999E-2</v>
      </c>
      <c r="J19" s="2"/>
      <c r="K19" s="2"/>
      <c r="L19" s="2"/>
    </row>
    <row r="20" spans="9:12" x14ac:dyDescent="0.35">
      <c r="I20" s="9">
        <v>0.08</v>
      </c>
      <c r="J20" s="2"/>
      <c r="K20" s="2"/>
      <c r="L20" s="2"/>
    </row>
  </sheetData>
  <scenarios current="0" sqref="B12:B14">
    <scenario name="Best-Case Scenario" locked="1" count="4" user="Arshia" comment="Created by Arshia on 9/23/2023">
      <inputCells r="B2" val="150000" numFmtId="44"/>
      <inputCells r="B3" val="10000" numFmtId="44"/>
      <inputCells r="B4" val="0.0225" numFmtId="10"/>
      <inputCells r="B5" val="15" numFmtId="164"/>
    </scenario>
    <scenario name="Worst-Case Scenario" locked="1" count="4" user="Arshia" comment="Created by Arshia on 9/23/2023">
      <inputCells r="B2" val="150000" numFmtId="44"/>
      <inputCells r="B3" val="45000" numFmtId="44"/>
      <inputCells r="B4" val="6" numFmtId="10"/>
      <inputCells r="B5" val="45" numFmtId="164"/>
    </scenario>
    <scenario name="Most Likely Scenario" locked="1" count="4" user="Arshia" comment="Created by Arshia on 9/23/2023">
      <inputCells r="B2" val="150000" numFmtId="44"/>
      <inputCells r="B3" val="30000" numFmtId="44"/>
      <inputCells r="B4" val="4.25" numFmtId="10"/>
      <inputCells r="B5" val="30" numFmtId="164"/>
    </scenario>
  </scenarios>
  <mergeCells count="2">
    <mergeCell ref="E2:G2"/>
    <mergeCell ref="J2:L2"/>
  </mergeCells>
  <pageMargins left="0.7" right="0.7" top="0.75" bottom="0.75" header="0.3" footer="0.3"/>
  <headerFooter>
    <oddFooter>&amp;C_x000D_&amp;1#&amp;"Calibri"&amp;10&amp;K000000 Non-Amgen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Loan</vt:lpstr>
    </vt:vector>
  </TitlesOfParts>
  <Company>Pearson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Ebrahimi, Saman</cp:lastModifiedBy>
  <dcterms:created xsi:type="dcterms:W3CDTF">2009-07-10T21:54:26Z</dcterms:created>
  <dcterms:modified xsi:type="dcterms:W3CDTF">2025-11-03T01:45:29Z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072e26-1821-44f2-97f7-4c10c067297d_Enabled">
    <vt:lpwstr>true</vt:lpwstr>
  </property>
  <property fmtid="{D5CDD505-2E9C-101B-9397-08002B2CF9AE}" pid="3" name="MSIP_Label_b1072e26-1821-44f2-97f7-4c10c067297d_SetDate">
    <vt:lpwstr>2025-11-03T01:44:24Z</vt:lpwstr>
  </property>
  <property fmtid="{D5CDD505-2E9C-101B-9397-08002B2CF9AE}" pid="4" name="MSIP_Label_b1072e26-1821-44f2-97f7-4c10c067297d_Method">
    <vt:lpwstr>Privileged</vt:lpwstr>
  </property>
  <property fmtid="{D5CDD505-2E9C-101B-9397-08002B2CF9AE}" pid="5" name="MSIP_Label_b1072e26-1821-44f2-97f7-4c10c067297d_Name">
    <vt:lpwstr>Non Amgen_</vt:lpwstr>
  </property>
  <property fmtid="{D5CDD505-2E9C-101B-9397-08002B2CF9AE}" pid="6" name="MSIP_Label_b1072e26-1821-44f2-97f7-4c10c067297d_SiteId">
    <vt:lpwstr>4b4266a6-1368-41af-ad5a-59eb634f7ad8</vt:lpwstr>
  </property>
  <property fmtid="{D5CDD505-2E9C-101B-9397-08002B2CF9AE}" pid="7" name="MSIP_Label_b1072e26-1821-44f2-97f7-4c10c067297d_ActionId">
    <vt:lpwstr>3378dca1-f585-4b31-bb5f-2531b863466e</vt:lpwstr>
  </property>
  <property fmtid="{D5CDD505-2E9C-101B-9397-08002B2CF9AE}" pid="8" name="MSIP_Label_b1072e26-1821-44f2-97f7-4c10c067297d_ContentBits">
    <vt:lpwstr>2</vt:lpwstr>
  </property>
  <property fmtid="{D5CDD505-2E9C-101B-9397-08002B2CF9AE}" pid="9" name="MSIP_Label_b1072e26-1821-44f2-97f7-4c10c067297d_Tag">
    <vt:lpwstr>10, 0, 1, 1</vt:lpwstr>
  </property>
</Properties>
</file>