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# Rutgers\Academic Fall 2025\Mgmt Info Sys\Exam\Question 2\"/>
    </mc:Choice>
  </mc:AlternateContent>
  <xr:revisionPtr revIDLastSave="0" documentId="13_ncr:1_{FB4E2C6B-D7AE-470B-9200-36968A21AE5F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Table1" sheetId="5" r:id="rId1"/>
    <sheet name="Table2" sheetId="6" r:id="rId2"/>
    <sheet name="All Sales" sheetId="1" r:id="rId3"/>
    <sheet name="Subtotal" sheetId="4" r:id="rId4"/>
    <sheet name="Data Modification" sheetId="3" r:id="rId5"/>
  </sheets>
  <calcPr calcId="191029"/>
  <pivotCaches>
    <pivotCache cacheId="2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3" i="4" l="1"/>
  <c r="I19" i="4"/>
  <c r="I30" i="4"/>
  <c r="I18" i="4"/>
  <c r="I7" i="4"/>
  <c r="I24" i="4"/>
  <c r="I12" i="4"/>
  <c r="I29" i="4"/>
  <c r="I28" i="4"/>
  <c r="I6" i="4"/>
  <c r="I23" i="4"/>
  <c r="I27" i="4"/>
  <c r="I11" i="4"/>
  <c r="I10" i="4"/>
  <c r="I22" i="4"/>
  <c r="I17" i="4"/>
  <c r="I5" i="4"/>
  <c r="I9" i="4"/>
  <c r="I16" i="4"/>
  <c r="I26" i="4"/>
  <c r="I4" i="4"/>
  <c r="I3" i="4"/>
  <c r="I21" i="4"/>
  <c r="I15" i="4"/>
  <c r="I20" i="4" s="1"/>
  <c r="I2" i="4"/>
  <c r="I19" i="3"/>
  <c r="I4" i="3"/>
  <c r="I5" i="3"/>
  <c r="I10" i="3"/>
  <c r="I14" i="3"/>
  <c r="I13" i="3"/>
  <c r="I25" i="3"/>
  <c r="I9" i="3"/>
  <c r="I7" i="3"/>
  <c r="I18" i="3"/>
  <c r="I24" i="3"/>
  <c r="I2" i="3"/>
  <c r="I23" i="3"/>
  <c r="I17" i="3"/>
  <c r="I6" i="3"/>
  <c r="I16" i="3"/>
  <c r="I12" i="3"/>
  <c r="I26" i="3"/>
  <c r="I22" i="3"/>
  <c r="I8" i="3"/>
  <c r="I15" i="3"/>
  <c r="I3" i="3"/>
  <c r="I21" i="3"/>
  <c r="I11" i="3"/>
  <c r="I20" i="3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6" i="1"/>
  <c r="I25" i="4" l="1"/>
  <c r="I8" i="4"/>
  <c r="I31" i="4"/>
  <c r="I14" i="4"/>
  <c r="I32" i="4" l="1"/>
</calcChain>
</file>

<file path=xl/sharedStrings.xml><?xml version="1.0" encoding="utf-8"?>
<sst xmlns="http://schemas.openxmlformats.org/spreadsheetml/2006/main" count="294" uniqueCount="38">
  <si>
    <t>Year</t>
  </si>
  <si>
    <t>Salesman</t>
  </si>
  <si>
    <t>Purchase Price</t>
  </si>
  <si>
    <t>Sale Price</t>
  </si>
  <si>
    <t>Profit</t>
  </si>
  <si>
    <t>Adopt-a-Car Preowned Car Sales Report</t>
  </si>
  <si>
    <t>Location:</t>
  </si>
  <si>
    <t>Month:</t>
  </si>
  <si>
    <t>Davis</t>
  </si>
  <si>
    <t>Vehicle Type</t>
  </si>
  <si>
    <t>Body Style</t>
  </si>
  <si>
    <t>Truck</t>
  </si>
  <si>
    <t>Car</t>
  </si>
  <si>
    <t>Van</t>
  </si>
  <si>
    <t>SUV</t>
  </si>
  <si>
    <t>Seating</t>
  </si>
  <si>
    <t>Standard</t>
  </si>
  <si>
    <t>Coupe</t>
  </si>
  <si>
    <t>Sedan</t>
  </si>
  <si>
    <t>Extended</t>
  </si>
  <si>
    <t>Jones</t>
  </si>
  <si>
    <t>Smith</t>
  </si>
  <si>
    <t>Looper</t>
  </si>
  <si>
    <t>Harris</t>
  </si>
  <si>
    <t>Days On Lot</t>
  </si>
  <si>
    <t>Denver</t>
  </si>
  <si>
    <t>August</t>
  </si>
  <si>
    <t>Row Labels</t>
  </si>
  <si>
    <t>Grand Total</t>
  </si>
  <si>
    <t>Sum of Purchase Price</t>
  </si>
  <si>
    <t>Sum of Sale Price</t>
  </si>
  <si>
    <t>Column Labels</t>
  </si>
  <si>
    <t>Davis Total</t>
  </si>
  <si>
    <t>Harris Total</t>
  </si>
  <si>
    <t>Jones Total</t>
  </si>
  <si>
    <t>Looper Total</t>
  </si>
  <si>
    <t>Smith Total</t>
  </si>
  <si>
    <t>Count of Salesman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</si>
</sst>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0" fillId="2" borderId="0" xfId="0" applyFill="1"/>
    <xf numFmtId="0" fontId="2" fillId="2" borderId="0" xfId="0" applyFont="1" applyFill="1"/>
    <xf numFmtId="44" fontId="0" fillId="0" borderId="0" xfId="1" applyFont="1"/>
    <xf numFmtId="0" fontId="2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2" fillId="0" borderId="0" xfId="0" applyFont="1"/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[e01q2Cars.xlsx]Table1!PivotTable4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Table1!$B$3</c:f>
              <c:strCache>
                <c:ptCount val="1"/>
                <c:pt idx="0">
                  <c:v>Sum of Purchase 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Table1!$A$4:$A$11</c:f>
              <c:multiLvlStrCache>
                <c:ptCount val="4"/>
                <c:lvl>
                  <c:pt idx="0">
                    <c:v>2009</c:v>
                  </c:pt>
                  <c:pt idx="1">
                    <c:v>2012</c:v>
                  </c:pt>
                  <c:pt idx="2">
                    <c:v>2009</c:v>
                  </c:pt>
                  <c:pt idx="3">
                    <c:v>2009</c:v>
                  </c:pt>
                </c:lvl>
                <c:lvl>
                  <c:pt idx="0">
                    <c:v>Car</c:v>
                  </c:pt>
                  <c:pt idx="2">
                    <c:v>SUV</c:v>
                  </c:pt>
                  <c:pt idx="3">
                    <c:v>Truck</c:v>
                  </c:pt>
                </c:lvl>
              </c:multiLvlStrCache>
            </c:multiLvlStrRef>
          </c:cat>
          <c:val>
            <c:numRef>
              <c:f>Table1!$B$4:$B$11</c:f>
              <c:numCache>
                <c:formatCode>General</c:formatCode>
                <c:ptCount val="4"/>
                <c:pt idx="0">
                  <c:v>14263</c:v>
                </c:pt>
                <c:pt idx="1">
                  <c:v>60603</c:v>
                </c:pt>
                <c:pt idx="2">
                  <c:v>32020</c:v>
                </c:pt>
                <c:pt idx="3">
                  <c:v>17130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8A-4EB7-801B-43959DC2E13A}"/>
            </c:ext>
          </c:extLst>
        </c:ser>
        <c:ser>
          <c:idx val="1"/>
          <c:order val="1"/>
          <c:tx>
            <c:strRef>
              <c:f>Table1!$C$3</c:f>
              <c:strCache>
                <c:ptCount val="1"/>
                <c:pt idx="0">
                  <c:v>Sum of Sale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Table1!$A$4:$A$11</c:f>
              <c:multiLvlStrCache>
                <c:ptCount val="4"/>
                <c:lvl>
                  <c:pt idx="0">
                    <c:v>2009</c:v>
                  </c:pt>
                  <c:pt idx="1">
                    <c:v>2012</c:v>
                  </c:pt>
                  <c:pt idx="2">
                    <c:v>2009</c:v>
                  </c:pt>
                  <c:pt idx="3">
                    <c:v>2009</c:v>
                  </c:pt>
                </c:lvl>
                <c:lvl>
                  <c:pt idx="0">
                    <c:v>Car</c:v>
                  </c:pt>
                  <c:pt idx="2">
                    <c:v>SUV</c:v>
                  </c:pt>
                  <c:pt idx="3">
                    <c:v>Truck</c:v>
                  </c:pt>
                </c:lvl>
              </c:multiLvlStrCache>
            </c:multiLvlStrRef>
          </c:cat>
          <c:val>
            <c:numRef>
              <c:f>Table1!$C$4:$C$11</c:f>
              <c:numCache>
                <c:formatCode>General</c:formatCode>
                <c:ptCount val="4"/>
                <c:pt idx="0">
                  <c:v>17206</c:v>
                </c:pt>
                <c:pt idx="1">
                  <c:v>80891</c:v>
                </c:pt>
                <c:pt idx="2">
                  <c:v>35778</c:v>
                </c:pt>
                <c:pt idx="3">
                  <c:v>25908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8A-4EB7-801B-43959DC2E1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168784"/>
        <c:axId val="209156304"/>
      </c:barChart>
      <c:catAx>
        <c:axId val="209168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56304"/>
        <c:crosses val="autoZero"/>
        <c:auto val="1"/>
        <c:lblAlgn val="ctr"/>
        <c:lblOffset val="100"/>
        <c:noMultiLvlLbl val="0"/>
      </c:catAx>
      <c:valAx>
        <c:axId val="20915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68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[e01q2Cars.xlsx]Table2!PivotTable6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Table2!$B$3:$B$4</c:f>
              <c:strCache>
                <c:ptCount val="1"/>
                <c:pt idx="0">
                  <c:v>Davis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Table2!$A$5:$A$19</c:f>
              <c:multiLvlStrCache>
                <c:ptCount val="9"/>
                <c:lvl>
                  <c:pt idx="0">
                    <c:v>Car</c:v>
                  </c:pt>
                  <c:pt idx="1">
                    <c:v>SUV</c:v>
                  </c:pt>
                  <c:pt idx="2">
                    <c:v>Truck</c:v>
                  </c:pt>
                  <c:pt idx="3">
                    <c:v>Car</c:v>
                  </c:pt>
                  <c:pt idx="4">
                    <c:v>Car</c:v>
                  </c:pt>
                  <c:pt idx="5">
                    <c:v>SUV</c:v>
                  </c:pt>
                  <c:pt idx="6">
                    <c:v>Truck</c:v>
                  </c:pt>
                  <c:pt idx="7">
                    <c:v>Van</c:v>
                  </c:pt>
                  <c:pt idx="8">
                    <c:v>Car</c:v>
                  </c:pt>
                </c:lvl>
                <c:lvl>
                  <c:pt idx="0">
                    <c:v>Coupe</c:v>
                  </c:pt>
                  <c:pt idx="1">
                    <c:v>Extended</c:v>
                  </c:pt>
                  <c:pt idx="3">
                    <c:v>Sedan</c:v>
                  </c:pt>
                  <c:pt idx="4">
                    <c:v>Standard</c:v>
                  </c:pt>
                  <c:pt idx="8">
                    <c:v>SUV</c:v>
                  </c:pt>
                </c:lvl>
              </c:multiLvlStrCache>
            </c:multiLvlStrRef>
          </c:cat>
          <c:val>
            <c:numRef>
              <c:f>Table2!$B$5:$B$19</c:f>
              <c:numCache>
                <c:formatCode>General</c:formatCode>
                <c:ptCount val="9"/>
                <c:pt idx="2">
                  <c:v>1</c:v>
                </c:pt>
                <c:pt idx="3">
                  <c:v>3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E0-4D8C-99F2-A578A43E42B1}"/>
            </c:ext>
          </c:extLst>
        </c:ser>
        <c:ser>
          <c:idx val="1"/>
          <c:order val="1"/>
          <c:tx>
            <c:strRef>
              <c:f>Table2!$C$3:$C$4</c:f>
              <c:strCache>
                <c:ptCount val="1"/>
                <c:pt idx="0">
                  <c:v>Harris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Table2!$A$5:$A$19</c:f>
              <c:multiLvlStrCache>
                <c:ptCount val="9"/>
                <c:lvl>
                  <c:pt idx="0">
                    <c:v>Car</c:v>
                  </c:pt>
                  <c:pt idx="1">
                    <c:v>SUV</c:v>
                  </c:pt>
                  <c:pt idx="2">
                    <c:v>Truck</c:v>
                  </c:pt>
                  <c:pt idx="3">
                    <c:v>Car</c:v>
                  </c:pt>
                  <c:pt idx="4">
                    <c:v>Car</c:v>
                  </c:pt>
                  <c:pt idx="5">
                    <c:v>SUV</c:v>
                  </c:pt>
                  <c:pt idx="6">
                    <c:v>Truck</c:v>
                  </c:pt>
                  <c:pt idx="7">
                    <c:v>Van</c:v>
                  </c:pt>
                  <c:pt idx="8">
                    <c:v>Car</c:v>
                  </c:pt>
                </c:lvl>
                <c:lvl>
                  <c:pt idx="0">
                    <c:v>Coupe</c:v>
                  </c:pt>
                  <c:pt idx="1">
                    <c:v>Extended</c:v>
                  </c:pt>
                  <c:pt idx="3">
                    <c:v>Sedan</c:v>
                  </c:pt>
                  <c:pt idx="4">
                    <c:v>Standard</c:v>
                  </c:pt>
                  <c:pt idx="8">
                    <c:v>SUV</c:v>
                  </c:pt>
                </c:lvl>
              </c:multiLvlStrCache>
            </c:multiLvlStrRef>
          </c:cat>
          <c:val>
            <c:numRef>
              <c:f>Table2!$C$5:$C$19</c:f>
              <c:numCache>
                <c:formatCode>General</c:formatCode>
                <c:ptCount val="9"/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E0-4D8C-99F2-A578A43E42B1}"/>
            </c:ext>
          </c:extLst>
        </c:ser>
        <c:ser>
          <c:idx val="2"/>
          <c:order val="2"/>
          <c:tx>
            <c:strRef>
              <c:f>Table2!$D$3:$D$4</c:f>
              <c:strCache>
                <c:ptCount val="1"/>
                <c:pt idx="0">
                  <c:v>Jones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Table2!$A$5:$A$19</c:f>
              <c:multiLvlStrCache>
                <c:ptCount val="9"/>
                <c:lvl>
                  <c:pt idx="0">
                    <c:v>Car</c:v>
                  </c:pt>
                  <c:pt idx="1">
                    <c:v>SUV</c:v>
                  </c:pt>
                  <c:pt idx="2">
                    <c:v>Truck</c:v>
                  </c:pt>
                  <c:pt idx="3">
                    <c:v>Car</c:v>
                  </c:pt>
                  <c:pt idx="4">
                    <c:v>Car</c:v>
                  </c:pt>
                  <c:pt idx="5">
                    <c:v>SUV</c:v>
                  </c:pt>
                  <c:pt idx="6">
                    <c:v>Truck</c:v>
                  </c:pt>
                  <c:pt idx="7">
                    <c:v>Van</c:v>
                  </c:pt>
                  <c:pt idx="8">
                    <c:v>Car</c:v>
                  </c:pt>
                </c:lvl>
                <c:lvl>
                  <c:pt idx="0">
                    <c:v>Coupe</c:v>
                  </c:pt>
                  <c:pt idx="1">
                    <c:v>Extended</c:v>
                  </c:pt>
                  <c:pt idx="3">
                    <c:v>Sedan</c:v>
                  </c:pt>
                  <c:pt idx="4">
                    <c:v>Standard</c:v>
                  </c:pt>
                  <c:pt idx="8">
                    <c:v>SUV</c:v>
                  </c:pt>
                </c:lvl>
              </c:multiLvlStrCache>
            </c:multiLvlStrRef>
          </c:cat>
          <c:val>
            <c:numRef>
              <c:f>Table2!$D$5:$D$19</c:f>
              <c:numCache>
                <c:formatCode>General</c:formatCode>
                <c:ptCount val="9"/>
                <c:pt idx="0">
                  <c:v>2</c:v>
                </c:pt>
                <c:pt idx="1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E0-4D8C-99F2-A578A43E42B1}"/>
            </c:ext>
          </c:extLst>
        </c:ser>
        <c:ser>
          <c:idx val="3"/>
          <c:order val="3"/>
          <c:tx>
            <c:strRef>
              <c:f>Table2!$E$3:$E$4</c:f>
              <c:strCache>
                <c:ptCount val="1"/>
                <c:pt idx="0">
                  <c:v>Looper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Table2!$A$5:$A$19</c:f>
              <c:multiLvlStrCache>
                <c:ptCount val="9"/>
                <c:lvl>
                  <c:pt idx="0">
                    <c:v>Car</c:v>
                  </c:pt>
                  <c:pt idx="1">
                    <c:v>SUV</c:v>
                  </c:pt>
                  <c:pt idx="2">
                    <c:v>Truck</c:v>
                  </c:pt>
                  <c:pt idx="3">
                    <c:v>Car</c:v>
                  </c:pt>
                  <c:pt idx="4">
                    <c:v>Car</c:v>
                  </c:pt>
                  <c:pt idx="5">
                    <c:v>SUV</c:v>
                  </c:pt>
                  <c:pt idx="6">
                    <c:v>Truck</c:v>
                  </c:pt>
                  <c:pt idx="7">
                    <c:v>Van</c:v>
                  </c:pt>
                  <c:pt idx="8">
                    <c:v>Car</c:v>
                  </c:pt>
                </c:lvl>
                <c:lvl>
                  <c:pt idx="0">
                    <c:v>Coupe</c:v>
                  </c:pt>
                  <c:pt idx="1">
                    <c:v>Extended</c:v>
                  </c:pt>
                  <c:pt idx="3">
                    <c:v>Sedan</c:v>
                  </c:pt>
                  <c:pt idx="4">
                    <c:v>Standard</c:v>
                  </c:pt>
                  <c:pt idx="8">
                    <c:v>SUV</c:v>
                  </c:pt>
                </c:lvl>
              </c:multiLvlStrCache>
            </c:multiLvlStrRef>
          </c:cat>
          <c:val>
            <c:numRef>
              <c:f>Table2!$E$5:$E$19</c:f>
              <c:numCache>
                <c:formatCode>General</c:formatCode>
                <c:ptCount val="9"/>
                <c:pt idx="1">
                  <c:v>1</c:v>
                </c:pt>
                <c:pt idx="3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E0-4D8C-99F2-A578A43E42B1}"/>
            </c:ext>
          </c:extLst>
        </c:ser>
        <c:ser>
          <c:idx val="4"/>
          <c:order val="4"/>
          <c:tx>
            <c:strRef>
              <c:f>Table2!$F$3:$F$4</c:f>
              <c:strCache>
                <c:ptCount val="1"/>
                <c:pt idx="0">
                  <c:v>Smith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Table2!$A$5:$A$19</c:f>
              <c:multiLvlStrCache>
                <c:ptCount val="9"/>
                <c:lvl>
                  <c:pt idx="0">
                    <c:v>Car</c:v>
                  </c:pt>
                  <c:pt idx="1">
                    <c:v>SUV</c:v>
                  </c:pt>
                  <c:pt idx="2">
                    <c:v>Truck</c:v>
                  </c:pt>
                  <c:pt idx="3">
                    <c:v>Car</c:v>
                  </c:pt>
                  <c:pt idx="4">
                    <c:v>Car</c:v>
                  </c:pt>
                  <c:pt idx="5">
                    <c:v>SUV</c:v>
                  </c:pt>
                  <c:pt idx="6">
                    <c:v>Truck</c:v>
                  </c:pt>
                  <c:pt idx="7">
                    <c:v>Van</c:v>
                  </c:pt>
                  <c:pt idx="8">
                    <c:v>Car</c:v>
                  </c:pt>
                </c:lvl>
                <c:lvl>
                  <c:pt idx="0">
                    <c:v>Coupe</c:v>
                  </c:pt>
                  <c:pt idx="1">
                    <c:v>Extended</c:v>
                  </c:pt>
                  <c:pt idx="3">
                    <c:v>Sedan</c:v>
                  </c:pt>
                  <c:pt idx="4">
                    <c:v>Standard</c:v>
                  </c:pt>
                  <c:pt idx="8">
                    <c:v>SUV</c:v>
                  </c:pt>
                </c:lvl>
              </c:multiLvlStrCache>
            </c:multiLvlStrRef>
          </c:cat>
          <c:val>
            <c:numRef>
              <c:f>Table2!$F$5:$F$19</c:f>
              <c:numCache>
                <c:formatCode>General</c:formatCode>
                <c:ptCount val="9"/>
                <c:pt idx="0">
                  <c:v>2</c:v>
                </c:pt>
                <c:pt idx="2">
                  <c:v>1</c:v>
                </c:pt>
                <c:pt idx="5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3E0-4D8C-99F2-A578A43E4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156720"/>
        <c:axId val="209154640"/>
      </c:barChart>
      <c:catAx>
        <c:axId val="209156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54640"/>
        <c:crosses val="autoZero"/>
        <c:auto val="1"/>
        <c:lblAlgn val="ctr"/>
        <c:lblOffset val="100"/>
        <c:noMultiLvlLbl val="0"/>
      </c:catAx>
      <c:valAx>
        <c:axId val="20915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5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Subtotal!$F$8:$F$31</c:f>
              <c:strCache>
                <c:ptCount val="5"/>
                <c:pt idx="0">
                  <c:v>Davis Total</c:v>
                </c:pt>
                <c:pt idx="1">
                  <c:v>Harris Total</c:v>
                </c:pt>
                <c:pt idx="2">
                  <c:v>Jones Total</c:v>
                </c:pt>
                <c:pt idx="3">
                  <c:v>Looper Total</c:v>
                </c:pt>
                <c:pt idx="4">
                  <c:v>Smith Total</c:v>
                </c:pt>
              </c:strCache>
            </c:strRef>
          </c:cat>
          <c:val>
            <c:numRef>
              <c:f>Subtotal!$I$8:$I$31</c:f>
              <c:numCache>
                <c:formatCode>_("$"* #,##0.00_);_("$"* \(#,##0.00\);_("$"* "-"??_);_(@_)</c:formatCode>
                <c:ptCount val="5"/>
                <c:pt idx="0">
                  <c:v>25483</c:v>
                </c:pt>
                <c:pt idx="1">
                  <c:v>32482</c:v>
                </c:pt>
                <c:pt idx="2">
                  <c:v>30338</c:v>
                </c:pt>
                <c:pt idx="3">
                  <c:v>14115</c:v>
                </c:pt>
                <c:pt idx="4">
                  <c:v>21772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16-40DF-A4D2-F26CFF41E7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28300272"/>
        <c:axId val="1328300688"/>
        <c:axId val="0"/>
      </c:bar3DChart>
      <c:catAx>
        <c:axId val="1328300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300688"/>
        <c:crosses val="autoZero"/>
        <c:auto val="1"/>
        <c:lblAlgn val="ctr"/>
        <c:lblOffset val="100"/>
        <c:noMultiLvlLbl val="0"/>
      </c:catAx>
      <c:valAx>
        <c:axId val="132830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300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213360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F67A78-E179-4AB0-ABE9-A190BCB1F1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0</xdr:rowOff>
    </xdr:from>
    <xdr:to>
      <xdr:col>6</xdr:col>
      <xdr:colOff>685800</xdr:colOff>
      <xdr:row>35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B9A5C7-C969-49A9-9903-9A0351A9A4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33</xdr:row>
      <xdr:rowOff>0</xdr:rowOff>
    </xdr:from>
    <xdr:to>
      <xdr:col>6</xdr:col>
      <xdr:colOff>899160</xdr:colOff>
      <xdr:row>48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477872-139B-42E8-BDFD-D72CAEF487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69.433991666665" createdVersion="7" refreshedVersion="7" minRefreshableVersion="3" recordCount="25" xr:uid="{1CDB0AAA-8AB3-4FB4-8A9B-8C6023F816F9}">
  <cacheSource type="worksheet">
    <worksheetSource ref="A5:I30" sheet="All Sales"/>
  </cacheSource>
  <cacheFields count="9">
    <cacheField name="Vehicle Type" numFmtId="0">
      <sharedItems count="4">
        <s v="Truck"/>
        <s v="Car"/>
        <s v="Van"/>
        <s v="SUV"/>
      </sharedItems>
    </cacheField>
    <cacheField name="Body Style" numFmtId="0">
      <sharedItems count="5">
        <s v="Standard"/>
        <s v="Coupe"/>
        <s v="Sedan"/>
        <s v="Extended"/>
        <s v="SUV"/>
      </sharedItems>
    </cacheField>
    <cacheField name="Seating" numFmtId="0">
      <sharedItems containsSemiMixedTypes="0" containsString="0" containsNumber="1" containsInteger="1" minValue="2" maxValue="8"/>
    </cacheField>
    <cacheField name="Year" numFmtId="0">
      <sharedItems containsSemiMixedTypes="0" containsString="0" containsNumber="1" containsInteger="1" minValue="2000" maxValue="2018" count="13">
        <n v="2014"/>
        <n v="2010"/>
        <n v="2001"/>
        <n v="2012"/>
        <n v="2009"/>
        <n v="2018"/>
        <n v="2007"/>
        <n v="2000"/>
        <n v="2015"/>
        <n v="2011"/>
        <n v="2006"/>
        <n v="2005"/>
        <n v="2013"/>
      </sharedItems>
    </cacheField>
    <cacheField name="Days On Lot" numFmtId="0">
      <sharedItems containsSemiMixedTypes="0" containsString="0" containsNumber="1" containsInteger="1" minValue="7" maxValue="80"/>
    </cacheField>
    <cacheField name="Salesman" numFmtId="0">
      <sharedItems count="5">
        <s v="Davis"/>
        <s v="Jones"/>
        <s v="Looper"/>
        <s v="Smith"/>
        <s v="Harris"/>
      </sharedItems>
    </cacheField>
    <cacheField name="Purchase Price" numFmtId="44">
      <sharedItems containsSemiMixedTypes="0" containsString="0" containsNumber="1" containsInteger="1" minValue="8421" maxValue="42134"/>
    </cacheField>
    <cacheField name="Sale Price" numFmtId="44">
      <sharedItems containsSemiMixedTypes="0" containsString="0" containsNumber="1" containsInteger="1" minValue="12005" maxValue="52010"/>
    </cacheField>
    <cacheField name="Profit" numFmtId="44">
      <sharedItems containsSemiMixedTypes="0" containsString="0" containsNumber="1" containsInteger="1" minValue="443" maxValue="1084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x v="0"/>
    <n v="3"/>
    <x v="0"/>
    <n v="26"/>
    <x v="0"/>
    <n v="20130"/>
    <n v="23507"/>
    <n v="3377"/>
  </r>
  <r>
    <x v="1"/>
    <x v="1"/>
    <n v="2"/>
    <x v="1"/>
    <n v="31"/>
    <x v="1"/>
    <n v="14461"/>
    <n v="25308"/>
    <n v="10847"/>
  </r>
  <r>
    <x v="0"/>
    <x v="0"/>
    <n v="3"/>
    <x v="0"/>
    <n v="23"/>
    <x v="2"/>
    <n v="21564"/>
    <n v="22007"/>
    <n v="443"/>
  </r>
  <r>
    <x v="1"/>
    <x v="2"/>
    <n v="5"/>
    <x v="2"/>
    <n v="80"/>
    <x v="0"/>
    <n v="8573"/>
    <n v="14250"/>
    <n v="5677"/>
  </r>
  <r>
    <x v="1"/>
    <x v="2"/>
    <n v="5"/>
    <x v="3"/>
    <n v="45"/>
    <x v="0"/>
    <n v="14573"/>
    <n v="16317"/>
    <n v="1744"/>
  </r>
  <r>
    <x v="1"/>
    <x v="1"/>
    <n v="2"/>
    <x v="4"/>
    <n v="22"/>
    <x v="3"/>
    <n v="14263"/>
    <n v="17206"/>
    <n v="2943"/>
  </r>
  <r>
    <x v="2"/>
    <x v="0"/>
    <n v="7"/>
    <x v="0"/>
    <n v="7"/>
    <x v="1"/>
    <n v="32531"/>
    <n v="36197"/>
    <n v="3666"/>
  </r>
  <r>
    <x v="3"/>
    <x v="3"/>
    <n v="8"/>
    <x v="5"/>
    <n v="54"/>
    <x v="4"/>
    <n v="14230"/>
    <n v="18608"/>
    <n v="4378"/>
  </r>
  <r>
    <x v="3"/>
    <x v="0"/>
    <n v="5"/>
    <x v="1"/>
    <n v="23"/>
    <x v="0"/>
    <n v="10224"/>
    <n v="19206"/>
    <n v="8982"/>
  </r>
  <r>
    <x v="1"/>
    <x v="1"/>
    <n v="3"/>
    <x v="3"/>
    <n v="45"/>
    <x v="1"/>
    <n v="9151"/>
    <n v="14550"/>
    <n v="5399"/>
  </r>
  <r>
    <x v="3"/>
    <x v="0"/>
    <n v="5"/>
    <x v="6"/>
    <n v="66"/>
    <x v="2"/>
    <n v="8570"/>
    <n v="18210"/>
    <n v="9640"/>
  </r>
  <r>
    <x v="1"/>
    <x v="2"/>
    <n v="5"/>
    <x v="3"/>
    <n v="57"/>
    <x v="4"/>
    <n v="23660"/>
    <n v="33013"/>
    <n v="9353"/>
  </r>
  <r>
    <x v="0"/>
    <x v="3"/>
    <n v="5"/>
    <x v="0"/>
    <n v="26"/>
    <x v="4"/>
    <n v="15210"/>
    <n v="18648"/>
    <n v="3438"/>
  </r>
  <r>
    <x v="2"/>
    <x v="0"/>
    <n v="7"/>
    <x v="7"/>
    <n v="18"/>
    <x v="3"/>
    <n v="10422"/>
    <n v="12005"/>
    <n v="1583"/>
  </r>
  <r>
    <x v="3"/>
    <x v="3"/>
    <n v="8"/>
    <x v="0"/>
    <n v="45"/>
    <x v="2"/>
    <n v="12550"/>
    <n v="13206"/>
    <n v="656"/>
  </r>
  <r>
    <x v="1"/>
    <x v="2"/>
    <n v="5"/>
    <x v="3"/>
    <n v="33"/>
    <x v="0"/>
    <n v="13219"/>
    <n v="17011"/>
    <n v="3792"/>
  </r>
  <r>
    <x v="1"/>
    <x v="1"/>
    <n v="2"/>
    <x v="6"/>
    <n v="59"/>
    <x v="3"/>
    <n v="8421"/>
    <n v="16094"/>
    <n v="7673"/>
  </r>
  <r>
    <x v="0"/>
    <x v="3"/>
    <n v="5"/>
    <x v="4"/>
    <n v="23"/>
    <x v="3"/>
    <n v="17130"/>
    <n v="25908"/>
    <n v="8778"/>
  </r>
  <r>
    <x v="2"/>
    <x v="0"/>
    <n v="7"/>
    <x v="8"/>
    <n v="37"/>
    <x v="4"/>
    <n v="42134"/>
    <n v="52010"/>
    <n v="9876"/>
  </r>
  <r>
    <x v="1"/>
    <x v="2"/>
    <n v="5"/>
    <x v="1"/>
    <n v="55"/>
    <x v="2"/>
    <n v="20131"/>
    <n v="23507"/>
    <n v="3376"/>
  </r>
  <r>
    <x v="0"/>
    <x v="3"/>
    <n v="5"/>
    <x v="9"/>
    <n v="23"/>
    <x v="0"/>
    <n v="18230"/>
    <n v="20141"/>
    <n v="1911"/>
  </r>
  <r>
    <x v="3"/>
    <x v="3"/>
    <n v="7"/>
    <x v="4"/>
    <n v="15"/>
    <x v="1"/>
    <n v="32020"/>
    <n v="35778"/>
    <n v="3758"/>
  </r>
  <r>
    <x v="3"/>
    <x v="0"/>
    <n v="5"/>
    <x v="10"/>
    <n v="31"/>
    <x v="3"/>
    <n v="15224"/>
    <n v="16019"/>
    <n v="795"/>
  </r>
  <r>
    <x v="1"/>
    <x v="4"/>
    <n v="5"/>
    <x v="11"/>
    <n v="46"/>
    <x v="1"/>
    <n v="10430"/>
    <n v="17098"/>
    <n v="6668"/>
  </r>
  <r>
    <x v="1"/>
    <x v="0"/>
    <n v="5"/>
    <x v="12"/>
    <n v="20"/>
    <x v="4"/>
    <n v="13880"/>
    <n v="19317"/>
    <n v="54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F650E5-3A07-467F-B6DE-D5F845A7CB27}" name="PivotTable4" cacheId="2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3:C11" firstHeaderRow="0" firstDataRow="1" firstDataCol="1"/>
  <pivotFields count="9"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axis="axisRow" multipleItemSelectionAllowed="1" showAll="0">
      <items count="14">
        <item h="1" x="7"/>
        <item h="1" x="2"/>
        <item h="1" x="11"/>
        <item h="1" x="10"/>
        <item h="1" x="6"/>
        <item x="4"/>
        <item h="1" x="1"/>
        <item h="1" x="9"/>
        <item x="3"/>
        <item h="1" x="12"/>
        <item h="1" x="0"/>
        <item h="1" x="8"/>
        <item h="1" x="5"/>
        <item t="default"/>
      </items>
    </pivotField>
    <pivotField showAll="0"/>
    <pivotField showAll="0"/>
    <pivotField dataField="1" numFmtId="44" showAll="0"/>
    <pivotField dataField="1" numFmtId="44" showAll="0"/>
    <pivotField numFmtId="44" showAll="0"/>
  </pivotFields>
  <rowFields count="2">
    <field x="0"/>
    <field x="3"/>
  </rowFields>
  <rowItems count="8">
    <i>
      <x/>
    </i>
    <i r="1">
      <x v="5"/>
    </i>
    <i r="1">
      <x v="8"/>
    </i>
    <i>
      <x v="1"/>
    </i>
    <i r="1">
      <x v="5"/>
    </i>
    <i>
      <x v="2"/>
    </i>
    <i r="1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urchase Price" fld="6" baseField="0" baseItem="0"/>
    <dataField name="Sum of Sale Price" fld="7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F3451A-078D-4C69-AE4B-5D8658744706}" name="PivotTable6" cacheId="2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3:G19" firstHeaderRow="1" firstDataRow="2" firstDataCol="1"/>
  <pivotFields count="9">
    <pivotField axis="axisRow" showAll="0">
      <items count="5">
        <item x="1"/>
        <item x="3"/>
        <item x="0"/>
        <item x="2"/>
        <item t="default"/>
      </items>
    </pivotField>
    <pivotField axis="axisRow" showAll="0">
      <items count="6">
        <item x="1"/>
        <item x="3"/>
        <item x="2"/>
        <item x="0"/>
        <item x="4"/>
        <item t="default"/>
      </items>
    </pivotField>
    <pivotField showAll="0"/>
    <pivotField showAll="0"/>
    <pivotField showAll="0"/>
    <pivotField axis="axisCol" dataField="1" showAll="0">
      <items count="6">
        <item x="0"/>
        <item x="4"/>
        <item x="1"/>
        <item x="2"/>
        <item x="3"/>
        <item t="default"/>
      </items>
    </pivotField>
    <pivotField numFmtId="44" showAll="0"/>
    <pivotField numFmtId="44" showAll="0"/>
    <pivotField numFmtId="44" showAll="0"/>
  </pivotFields>
  <rowFields count="2">
    <field x="1"/>
    <field x="0"/>
  </rowFields>
  <rowItems count="15">
    <i>
      <x/>
    </i>
    <i r="1">
      <x/>
    </i>
    <i>
      <x v="1"/>
    </i>
    <i r="1">
      <x v="1"/>
    </i>
    <i r="1">
      <x v="2"/>
    </i>
    <i>
      <x v="2"/>
    </i>
    <i r="1">
      <x/>
    </i>
    <i>
      <x v="3"/>
    </i>
    <i r="1">
      <x/>
    </i>
    <i r="1">
      <x v="1"/>
    </i>
    <i r="1">
      <x v="2"/>
    </i>
    <i r="1">
      <x v="3"/>
    </i>
    <i>
      <x v="4"/>
    </i>
    <i r="1">
      <x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Salesman" fld="5" subtotal="count" baseField="0" baseItem="0"/>
  </dataFields>
  <chartFormats count="2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E9AE05-E6BA-4220-8EBE-CD191880BC7D}" name="Table1" displayName="Table1" ref="A1:I26" totalsRowShown="0" headerRowDxfId="4" dataDxfId="3" dataCellStyle="Currency">
  <autoFilter ref="A1:I26" xr:uid="{A5E9AE05-E6BA-4220-8EBE-CD191880BC7D}">
    <filterColumn colId="1">
      <filters>
        <filter val="Coupe"/>
        <filter val="Standard"/>
      </filters>
    </filterColumn>
    <filterColumn colId="5">
      <filters>
        <filter val="Smith"/>
      </filters>
    </filterColumn>
  </autoFilter>
  <sortState xmlns:xlrd2="http://schemas.microsoft.com/office/spreadsheetml/2017/richdata2" ref="A2:I26">
    <sortCondition ref="D2:D26"/>
  </sortState>
  <tableColumns count="9">
    <tableColumn id="1" xr3:uid="{42B44018-4662-4FF4-9F49-E7A651B077DF}" name="Vehicle Type"/>
    <tableColumn id="2" xr3:uid="{675E5A66-F475-4C9B-A3D4-8CF34CA7470C}" name="Body Style"/>
    <tableColumn id="3" xr3:uid="{4426BCAE-94CD-455D-87AC-60E47FBB647B}" name="Seating"/>
    <tableColumn id="4" xr3:uid="{73D23DA7-1290-4250-B615-9A1D2A7B1BCA}" name="Year"/>
    <tableColumn id="5" xr3:uid="{016BDFF6-5473-4239-8EA7-BEA9D7F49602}" name="Days On Lot"/>
    <tableColumn id="6" xr3:uid="{0E583C42-F91D-4656-8623-8E9C44FD9799}" name="Salesman"/>
    <tableColumn id="7" xr3:uid="{CB207891-196D-49E4-BA2B-BD49844DF86C}" name="Purchase Price" dataDxfId="2" dataCellStyle="Currency"/>
    <tableColumn id="8" xr3:uid="{EBD62238-67B3-4211-8DB1-D0BAEDA2C813}" name="Sale Price" dataDxfId="1" dataCellStyle="Currency"/>
    <tableColumn id="9" xr3:uid="{86516804-0CCA-4790-889F-CE5435FAD5C1}" name="Profit" dataDxfId="0" dataCellStyle="Currency">
      <calculatedColumnFormula>H2-G2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30CA8-4BE1-496B-B8F3-DCB2D501AD87}">
  <dimension ref="A3:C11"/>
  <sheetViews>
    <sheetView topLeftCell="A11" workbookViewId="0">
      <selection activeCell="F17" sqref="F17"/>
    </sheetView>
  </sheetViews>
  <sheetFormatPr defaultRowHeight="14.4" x14ac:dyDescent="0.3"/>
  <cols>
    <col min="1" max="1" width="12.5546875" bestFit="1" customWidth="1"/>
    <col min="2" max="2" width="19.88671875" bestFit="1" customWidth="1"/>
    <col min="3" max="4" width="15.5546875" bestFit="1" customWidth="1"/>
    <col min="5" max="5" width="6" bestFit="1" customWidth="1"/>
    <col min="6" max="6" width="24.6640625" bestFit="1" customWidth="1"/>
    <col min="7" max="7" width="20.33203125" bestFit="1" customWidth="1"/>
  </cols>
  <sheetData>
    <row r="3" spans="1:3" x14ac:dyDescent="0.3">
      <c r="A3" s="5" t="s">
        <v>27</v>
      </c>
      <c r="B3" t="s">
        <v>29</v>
      </c>
      <c r="C3" t="s">
        <v>30</v>
      </c>
    </row>
    <row r="4" spans="1:3" x14ac:dyDescent="0.3">
      <c r="A4" s="6" t="s">
        <v>12</v>
      </c>
      <c r="B4" s="7">
        <v>74866</v>
      </c>
      <c r="C4" s="7">
        <v>98097</v>
      </c>
    </row>
    <row r="5" spans="1:3" x14ac:dyDescent="0.3">
      <c r="A5" s="8">
        <v>2009</v>
      </c>
      <c r="B5" s="7">
        <v>14263</v>
      </c>
      <c r="C5" s="7">
        <v>17206</v>
      </c>
    </row>
    <row r="6" spans="1:3" x14ac:dyDescent="0.3">
      <c r="A6" s="8">
        <v>2012</v>
      </c>
      <c r="B6" s="7">
        <v>60603</v>
      </c>
      <c r="C6" s="7">
        <v>80891</v>
      </c>
    </row>
    <row r="7" spans="1:3" x14ac:dyDescent="0.3">
      <c r="A7" s="6" t="s">
        <v>14</v>
      </c>
      <c r="B7" s="7">
        <v>32020</v>
      </c>
      <c r="C7" s="7">
        <v>35778</v>
      </c>
    </row>
    <row r="8" spans="1:3" x14ac:dyDescent="0.3">
      <c r="A8" s="8">
        <v>2009</v>
      </c>
      <c r="B8" s="7">
        <v>32020</v>
      </c>
      <c r="C8" s="7">
        <v>35778</v>
      </c>
    </row>
    <row r="9" spans="1:3" x14ac:dyDescent="0.3">
      <c r="A9" s="6" t="s">
        <v>11</v>
      </c>
      <c r="B9" s="7">
        <v>17130</v>
      </c>
      <c r="C9" s="7">
        <v>25908</v>
      </c>
    </row>
    <row r="10" spans="1:3" x14ac:dyDescent="0.3">
      <c r="A10" s="8">
        <v>2009</v>
      </c>
      <c r="B10" s="7">
        <v>17130</v>
      </c>
      <c r="C10" s="7">
        <v>25908</v>
      </c>
    </row>
    <row r="11" spans="1:3" x14ac:dyDescent="0.3">
      <c r="A11" s="6" t="s">
        <v>28</v>
      </c>
      <c r="B11" s="7">
        <v>124016</v>
      </c>
      <c r="C11" s="7">
        <v>159783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40E71-FC2F-45D5-A5FD-CE15E49CF308}">
  <dimension ref="A3:G19"/>
  <sheetViews>
    <sheetView topLeftCell="A11" workbookViewId="0">
      <selection activeCell="J9" sqref="J9"/>
    </sheetView>
  </sheetViews>
  <sheetFormatPr defaultRowHeight="14.4" x14ac:dyDescent="0.3"/>
  <cols>
    <col min="1" max="1" width="16.88671875" bestFit="1" customWidth="1"/>
    <col min="2" max="2" width="15.5546875" bestFit="1" customWidth="1"/>
    <col min="3" max="3" width="5.77734375" bestFit="1" customWidth="1"/>
    <col min="4" max="4" width="5.6640625" bestFit="1" customWidth="1"/>
    <col min="5" max="5" width="6.88671875" bestFit="1" customWidth="1"/>
    <col min="6" max="6" width="5.88671875" bestFit="1" customWidth="1"/>
    <col min="7" max="7" width="10.77734375" bestFit="1" customWidth="1"/>
  </cols>
  <sheetData>
    <row r="3" spans="1:7" x14ac:dyDescent="0.3">
      <c r="A3" s="5" t="s">
        <v>37</v>
      </c>
      <c r="B3" s="5" t="s">
        <v>31</v>
      </c>
    </row>
    <row r="4" spans="1:7" x14ac:dyDescent="0.3">
      <c r="A4" s="5" t="s">
        <v>27</v>
      </c>
      <c r="B4" t="s">
        <v>8</v>
      </c>
      <c r="C4" t="s">
        <v>23</v>
      </c>
      <c r="D4" t="s">
        <v>20</v>
      </c>
      <c r="E4" t="s">
        <v>22</v>
      </c>
      <c r="F4" t="s">
        <v>21</v>
      </c>
      <c r="G4" t="s">
        <v>28</v>
      </c>
    </row>
    <row r="5" spans="1:7" x14ac:dyDescent="0.3">
      <c r="A5" s="6" t="s">
        <v>17</v>
      </c>
      <c r="B5" s="7"/>
      <c r="C5" s="7"/>
      <c r="D5" s="7">
        <v>2</v>
      </c>
      <c r="E5" s="7"/>
      <c r="F5" s="7">
        <v>2</v>
      </c>
      <c r="G5" s="7">
        <v>4</v>
      </c>
    </row>
    <row r="6" spans="1:7" x14ac:dyDescent="0.3">
      <c r="A6" s="8" t="s">
        <v>12</v>
      </c>
      <c r="B6" s="7"/>
      <c r="C6" s="7"/>
      <c r="D6" s="7">
        <v>2</v>
      </c>
      <c r="E6" s="7"/>
      <c r="F6" s="7">
        <v>2</v>
      </c>
      <c r="G6" s="7">
        <v>4</v>
      </c>
    </row>
    <row r="7" spans="1:7" x14ac:dyDescent="0.3">
      <c r="A7" s="6" t="s">
        <v>19</v>
      </c>
      <c r="B7" s="7">
        <v>1</v>
      </c>
      <c r="C7" s="7">
        <v>2</v>
      </c>
      <c r="D7" s="7">
        <v>1</v>
      </c>
      <c r="E7" s="7">
        <v>1</v>
      </c>
      <c r="F7" s="7">
        <v>1</v>
      </c>
      <c r="G7" s="7">
        <v>6</v>
      </c>
    </row>
    <row r="8" spans="1:7" x14ac:dyDescent="0.3">
      <c r="A8" s="8" t="s">
        <v>14</v>
      </c>
      <c r="B8" s="7"/>
      <c r="C8" s="7">
        <v>1</v>
      </c>
      <c r="D8" s="7">
        <v>1</v>
      </c>
      <c r="E8" s="7">
        <v>1</v>
      </c>
      <c r="F8" s="7"/>
      <c r="G8" s="7">
        <v>3</v>
      </c>
    </row>
    <row r="9" spans="1:7" x14ac:dyDescent="0.3">
      <c r="A9" s="8" t="s">
        <v>11</v>
      </c>
      <c r="B9" s="7">
        <v>1</v>
      </c>
      <c r="C9" s="7">
        <v>1</v>
      </c>
      <c r="D9" s="7"/>
      <c r="E9" s="7"/>
      <c r="F9" s="7">
        <v>1</v>
      </c>
      <c r="G9" s="7">
        <v>3</v>
      </c>
    </row>
    <row r="10" spans="1:7" x14ac:dyDescent="0.3">
      <c r="A10" s="6" t="s">
        <v>18</v>
      </c>
      <c r="B10" s="7">
        <v>3</v>
      </c>
      <c r="C10" s="7">
        <v>1</v>
      </c>
      <c r="D10" s="7"/>
      <c r="E10" s="7">
        <v>1</v>
      </c>
      <c r="F10" s="7"/>
      <c r="G10" s="7">
        <v>5</v>
      </c>
    </row>
    <row r="11" spans="1:7" x14ac:dyDescent="0.3">
      <c r="A11" s="8" t="s">
        <v>12</v>
      </c>
      <c r="B11" s="7">
        <v>3</v>
      </c>
      <c r="C11" s="7">
        <v>1</v>
      </c>
      <c r="D11" s="7"/>
      <c r="E11" s="7">
        <v>1</v>
      </c>
      <c r="F11" s="7"/>
      <c r="G11" s="7">
        <v>5</v>
      </c>
    </row>
    <row r="12" spans="1:7" x14ac:dyDescent="0.3">
      <c r="A12" s="6" t="s">
        <v>16</v>
      </c>
      <c r="B12" s="7">
        <v>2</v>
      </c>
      <c r="C12" s="7">
        <v>2</v>
      </c>
      <c r="D12" s="7">
        <v>1</v>
      </c>
      <c r="E12" s="7">
        <v>2</v>
      </c>
      <c r="F12" s="7">
        <v>2</v>
      </c>
      <c r="G12" s="7">
        <v>9</v>
      </c>
    </row>
    <row r="13" spans="1:7" x14ac:dyDescent="0.3">
      <c r="A13" s="8" t="s">
        <v>12</v>
      </c>
      <c r="B13" s="7"/>
      <c r="C13" s="7">
        <v>1</v>
      </c>
      <c r="D13" s="7"/>
      <c r="E13" s="7"/>
      <c r="F13" s="7"/>
      <c r="G13" s="7">
        <v>1</v>
      </c>
    </row>
    <row r="14" spans="1:7" x14ac:dyDescent="0.3">
      <c r="A14" s="8" t="s">
        <v>14</v>
      </c>
      <c r="B14" s="7">
        <v>1</v>
      </c>
      <c r="C14" s="7"/>
      <c r="D14" s="7"/>
      <c r="E14" s="7">
        <v>1</v>
      </c>
      <c r="F14" s="7">
        <v>1</v>
      </c>
      <c r="G14" s="7">
        <v>3</v>
      </c>
    </row>
    <row r="15" spans="1:7" x14ac:dyDescent="0.3">
      <c r="A15" s="8" t="s">
        <v>11</v>
      </c>
      <c r="B15" s="7">
        <v>1</v>
      </c>
      <c r="C15" s="7"/>
      <c r="D15" s="7"/>
      <c r="E15" s="7">
        <v>1</v>
      </c>
      <c r="F15" s="7"/>
      <c r="G15" s="7">
        <v>2</v>
      </c>
    </row>
    <row r="16" spans="1:7" x14ac:dyDescent="0.3">
      <c r="A16" s="8" t="s">
        <v>13</v>
      </c>
      <c r="B16" s="7"/>
      <c r="C16" s="7">
        <v>1</v>
      </c>
      <c r="D16" s="7">
        <v>1</v>
      </c>
      <c r="E16" s="7"/>
      <c r="F16" s="7">
        <v>1</v>
      </c>
      <c r="G16" s="7">
        <v>3</v>
      </c>
    </row>
    <row r="17" spans="1:7" x14ac:dyDescent="0.3">
      <c r="A17" s="6" t="s">
        <v>14</v>
      </c>
      <c r="B17" s="7"/>
      <c r="C17" s="7"/>
      <c r="D17" s="7">
        <v>1</v>
      </c>
      <c r="E17" s="7"/>
      <c r="F17" s="7"/>
      <c r="G17" s="7">
        <v>1</v>
      </c>
    </row>
    <row r="18" spans="1:7" x14ac:dyDescent="0.3">
      <c r="A18" s="8" t="s">
        <v>12</v>
      </c>
      <c r="B18" s="7"/>
      <c r="C18" s="7"/>
      <c r="D18" s="7">
        <v>1</v>
      </c>
      <c r="E18" s="7"/>
      <c r="F18" s="7"/>
      <c r="G18" s="7">
        <v>1</v>
      </c>
    </row>
    <row r="19" spans="1:7" x14ac:dyDescent="0.3">
      <c r="A19" s="6" t="s">
        <v>28</v>
      </c>
      <c r="B19" s="7">
        <v>6</v>
      </c>
      <c r="C19" s="7">
        <v>5</v>
      </c>
      <c r="D19" s="7">
        <v>5</v>
      </c>
      <c r="E19" s="7">
        <v>4</v>
      </c>
      <c r="F19" s="7">
        <v>5</v>
      </c>
      <c r="G19" s="7">
        <v>25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opLeftCell="A5" zoomScaleNormal="100" workbookViewId="0">
      <selection activeCell="F9" sqref="A5:I30"/>
    </sheetView>
  </sheetViews>
  <sheetFormatPr defaultColWidth="8.77734375" defaultRowHeight="14.4" x14ac:dyDescent="0.3"/>
  <cols>
    <col min="1" max="1" width="12.44140625" bestFit="1" customWidth="1"/>
    <col min="2" max="2" width="10.33203125" bestFit="1" customWidth="1"/>
    <col min="3" max="3" width="7.44140625" bestFit="1" customWidth="1"/>
    <col min="5" max="5" width="11.33203125" bestFit="1" customWidth="1"/>
    <col min="7" max="7" width="14" bestFit="1" customWidth="1"/>
    <col min="8" max="9" width="11.6640625" customWidth="1"/>
  </cols>
  <sheetData>
    <row r="1" spans="1:9" ht="15.6" x14ac:dyDescent="0.3">
      <c r="A1" s="10" t="s">
        <v>5</v>
      </c>
      <c r="B1" s="11"/>
      <c r="C1" s="11"/>
      <c r="D1" s="11"/>
      <c r="E1" s="11"/>
      <c r="F1" s="11"/>
      <c r="G1" s="11"/>
      <c r="H1" s="11"/>
      <c r="I1" s="1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x14ac:dyDescent="0.3">
      <c r="A3" s="2" t="s">
        <v>6</v>
      </c>
      <c r="B3" s="1" t="s">
        <v>25</v>
      </c>
      <c r="C3" s="1"/>
      <c r="D3" s="1"/>
      <c r="E3" s="1"/>
      <c r="F3" s="1"/>
      <c r="G3" s="2" t="s">
        <v>7</v>
      </c>
      <c r="H3" s="1" t="s">
        <v>26</v>
      </c>
      <c r="I3" s="1"/>
    </row>
    <row r="5" spans="1:9" s="4" customFormat="1" x14ac:dyDescent="0.3">
      <c r="A5" s="4" t="s">
        <v>9</v>
      </c>
      <c r="B5" s="4" t="s">
        <v>10</v>
      </c>
      <c r="C5" s="4" t="s">
        <v>15</v>
      </c>
      <c r="D5" s="4" t="s">
        <v>0</v>
      </c>
      <c r="E5" s="4" t="s">
        <v>24</v>
      </c>
      <c r="F5" s="4" t="s">
        <v>1</v>
      </c>
      <c r="G5" s="4" t="s">
        <v>2</v>
      </c>
      <c r="H5" s="4" t="s">
        <v>3</v>
      </c>
      <c r="I5" s="4" t="s">
        <v>4</v>
      </c>
    </row>
    <row r="6" spans="1:9" x14ac:dyDescent="0.3">
      <c r="A6" t="s">
        <v>11</v>
      </c>
      <c r="B6" t="s">
        <v>16</v>
      </c>
      <c r="C6">
        <v>3</v>
      </c>
      <c r="D6">
        <v>2014</v>
      </c>
      <c r="E6">
        <v>26</v>
      </c>
      <c r="F6" t="s">
        <v>8</v>
      </c>
      <c r="G6" s="3">
        <v>20130</v>
      </c>
      <c r="H6" s="3">
        <v>23507</v>
      </c>
      <c r="I6" s="3">
        <f>H6-G6</f>
        <v>3377</v>
      </c>
    </row>
    <row r="7" spans="1:9" x14ac:dyDescent="0.3">
      <c r="A7" t="s">
        <v>12</v>
      </c>
      <c r="B7" t="s">
        <v>17</v>
      </c>
      <c r="C7">
        <v>2</v>
      </c>
      <c r="D7">
        <v>2010</v>
      </c>
      <c r="E7">
        <v>31</v>
      </c>
      <c r="F7" t="s">
        <v>20</v>
      </c>
      <c r="G7" s="3">
        <v>14461</v>
      </c>
      <c r="H7" s="3">
        <v>25308</v>
      </c>
      <c r="I7" s="3">
        <f t="shared" ref="I7:I30" si="0">H7-G7</f>
        <v>10847</v>
      </c>
    </row>
    <row r="8" spans="1:9" x14ac:dyDescent="0.3">
      <c r="A8" t="s">
        <v>11</v>
      </c>
      <c r="B8" t="s">
        <v>16</v>
      </c>
      <c r="C8">
        <v>3</v>
      </c>
      <c r="D8">
        <v>2014</v>
      </c>
      <c r="E8">
        <v>23</v>
      </c>
      <c r="F8" t="s">
        <v>22</v>
      </c>
      <c r="G8" s="3">
        <v>21564</v>
      </c>
      <c r="H8" s="3">
        <v>22007</v>
      </c>
      <c r="I8" s="3">
        <f t="shared" si="0"/>
        <v>443</v>
      </c>
    </row>
    <row r="9" spans="1:9" x14ac:dyDescent="0.3">
      <c r="A9" t="s">
        <v>12</v>
      </c>
      <c r="B9" t="s">
        <v>18</v>
      </c>
      <c r="C9">
        <v>5</v>
      </c>
      <c r="D9">
        <v>2001</v>
      </c>
      <c r="E9">
        <v>80</v>
      </c>
      <c r="F9" t="s">
        <v>8</v>
      </c>
      <c r="G9" s="3">
        <v>8573</v>
      </c>
      <c r="H9" s="3">
        <v>14250</v>
      </c>
      <c r="I9" s="3">
        <f t="shared" si="0"/>
        <v>5677</v>
      </c>
    </row>
    <row r="10" spans="1:9" x14ac:dyDescent="0.3">
      <c r="A10" t="s">
        <v>12</v>
      </c>
      <c r="B10" t="s">
        <v>18</v>
      </c>
      <c r="C10">
        <v>5</v>
      </c>
      <c r="D10">
        <v>2012</v>
      </c>
      <c r="E10">
        <v>45</v>
      </c>
      <c r="F10" t="s">
        <v>8</v>
      </c>
      <c r="G10" s="3">
        <v>14573</v>
      </c>
      <c r="H10" s="3">
        <v>16317</v>
      </c>
      <c r="I10" s="3">
        <f t="shared" si="0"/>
        <v>1744</v>
      </c>
    </row>
    <row r="11" spans="1:9" x14ac:dyDescent="0.3">
      <c r="A11" t="s">
        <v>12</v>
      </c>
      <c r="B11" t="s">
        <v>17</v>
      </c>
      <c r="C11">
        <v>2</v>
      </c>
      <c r="D11">
        <v>2009</v>
      </c>
      <c r="E11">
        <v>22</v>
      </c>
      <c r="F11" t="s">
        <v>21</v>
      </c>
      <c r="G11" s="3">
        <v>14263</v>
      </c>
      <c r="H11" s="3">
        <v>17206</v>
      </c>
      <c r="I11" s="3">
        <f t="shared" si="0"/>
        <v>2943</v>
      </c>
    </row>
    <row r="12" spans="1:9" x14ac:dyDescent="0.3">
      <c r="A12" t="s">
        <v>13</v>
      </c>
      <c r="B12" t="s">
        <v>16</v>
      </c>
      <c r="C12">
        <v>7</v>
      </c>
      <c r="D12">
        <v>2014</v>
      </c>
      <c r="E12">
        <v>7</v>
      </c>
      <c r="F12" t="s">
        <v>20</v>
      </c>
      <c r="G12" s="3">
        <v>32531</v>
      </c>
      <c r="H12" s="3">
        <v>36197</v>
      </c>
      <c r="I12" s="3">
        <f t="shared" si="0"/>
        <v>3666</v>
      </c>
    </row>
    <row r="13" spans="1:9" x14ac:dyDescent="0.3">
      <c r="A13" t="s">
        <v>14</v>
      </c>
      <c r="B13" t="s">
        <v>19</v>
      </c>
      <c r="C13">
        <v>8</v>
      </c>
      <c r="D13">
        <v>2018</v>
      </c>
      <c r="E13">
        <v>54</v>
      </c>
      <c r="F13" t="s">
        <v>23</v>
      </c>
      <c r="G13" s="3">
        <v>14230</v>
      </c>
      <c r="H13" s="3">
        <v>18608</v>
      </c>
      <c r="I13" s="3">
        <f t="shared" si="0"/>
        <v>4378</v>
      </c>
    </row>
    <row r="14" spans="1:9" x14ac:dyDescent="0.3">
      <c r="A14" t="s">
        <v>14</v>
      </c>
      <c r="B14" t="s">
        <v>16</v>
      </c>
      <c r="C14">
        <v>5</v>
      </c>
      <c r="D14">
        <v>2010</v>
      </c>
      <c r="E14">
        <v>23</v>
      </c>
      <c r="F14" t="s">
        <v>8</v>
      </c>
      <c r="G14" s="3">
        <v>10224</v>
      </c>
      <c r="H14" s="3">
        <v>19206</v>
      </c>
      <c r="I14" s="3">
        <f t="shared" si="0"/>
        <v>8982</v>
      </c>
    </row>
    <row r="15" spans="1:9" x14ac:dyDescent="0.3">
      <c r="A15" t="s">
        <v>12</v>
      </c>
      <c r="B15" t="s">
        <v>17</v>
      </c>
      <c r="C15">
        <v>3</v>
      </c>
      <c r="D15">
        <v>2012</v>
      </c>
      <c r="E15">
        <v>45</v>
      </c>
      <c r="F15" t="s">
        <v>20</v>
      </c>
      <c r="G15" s="3">
        <v>9151</v>
      </c>
      <c r="H15" s="3">
        <v>14550</v>
      </c>
      <c r="I15" s="3">
        <f t="shared" si="0"/>
        <v>5399</v>
      </c>
    </row>
    <row r="16" spans="1:9" x14ac:dyDescent="0.3">
      <c r="A16" t="s">
        <v>14</v>
      </c>
      <c r="B16" t="s">
        <v>16</v>
      </c>
      <c r="C16">
        <v>5</v>
      </c>
      <c r="D16">
        <v>2007</v>
      </c>
      <c r="E16">
        <v>66</v>
      </c>
      <c r="F16" t="s">
        <v>22</v>
      </c>
      <c r="G16" s="3">
        <v>8570</v>
      </c>
      <c r="H16" s="3">
        <v>18210</v>
      </c>
      <c r="I16" s="3">
        <f t="shared" si="0"/>
        <v>9640</v>
      </c>
    </row>
    <row r="17" spans="1:9" x14ac:dyDescent="0.3">
      <c r="A17" t="s">
        <v>12</v>
      </c>
      <c r="B17" t="s">
        <v>18</v>
      </c>
      <c r="C17">
        <v>5</v>
      </c>
      <c r="D17">
        <v>2012</v>
      </c>
      <c r="E17">
        <v>57</v>
      </c>
      <c r="F17" t="s">
        <v>23</v>
      </c>
      <c r="G17" s="3">
        <v>23660</v>
      </c>
      <c r="H17" s="3">
        <v>33013</v>
      </c>
      <c r="I17" s="3">
        <f t="shared" si="0"/>
        <v>9353</v>
      </c>
    </row>
    <row r="18" spans="1:9" x14ac:dyDescent="0.3">
      <c r="A18" t="s">
        <v>11</v>
      </c>
      <c r="B18" t="s">
        <v>19</v>
      </c>
      <c r="C18">
        <v>5</v>
      </c>
      <c r="D18">
        <v>2014</v>
      </c>
      <c r="E18">
        <v>26</v>
      </c>
      <c r="F18" t="s">
        <v>23</v>
      </c>
      <c r="G18" s="3">
        <v>15210</v>
      </c>
      <c r="H18" s="3">
        <v>18648</v>
      </c>
      <c r="I18" s="3">
        <f t="shared" si="0"/>
        <v>3438</v>
      </c>
    </row>
    <row r="19" spans="1:9" x14ac:dyDescent="0.3">
      <c r="A19" t="s">
        <v>13</v>
      </c>
      <c r="B19" t="s">
        <v>16</v>
      </c>
      <c r="C19">
        <v>7</v>
      </c>
      <c r="D19">
        <v>2000</v>
      </c>
      <c r="E19">
        <v>18</v>
      </c>
      <c r="F19" t="s">
        <v>21</v>
      </c>
      <c r="G19" s="3">
        <v>10422</v>
      </c>
      <c r="H19" s="3">
        <v>12005</v>
      </c>
      <c r="I19" s="3">
        <f t="shared" si="0"/>
        <v>1583</v>
      </c>
    </row>
    <row r="20" spans="1:9" x14ac:dyDescent="0.3">
      <c r="A20" t="s">
        <v>14</v>
      </c>
      <c r="B20" t="s">
        <v>19</v>
      </c>
      <c r="C20">
        <v>8</v>
      </c>
      <c r="D20">
        <v>2014</v>
      </c>
      <c r="E20">
        <v>45</v>
      </c>
      <c r="F20" t="s">
        <v>22</v>
      </c>
      <c r="G20" s="3">
        <v>12550</v>
      </c>
      <c r="H20" s="3">
        <v>13206</v>
      </c>
      <c r="I20" s="3">
        <f t="shared" si="0"/>
        <v>656</v>
      </c>
    </row>
    <row r="21" spans="1:9" x14ac:dyDescent="0.3">
      <c r="A21" t="s">
        <v>12</v>
      </c>
      <c r="B21" t="s">
        <v>18</v>
      </c>
      <c r="C21">
        <v>5</v>
      </c>
      <c r="D21">
        <v>2012</v>
      </c>
      <c r="E21">
        <v>33</v>
      </c>
      <c r="F21" t="s">
        <v>8</v>
      </c>
      <c r="G21" s="3">
        <v>13219</v>
      </c>
      <c r="H21" s="3">
        <v>17011</v>
      </c>
      <c r="I21" s="3">
        <f t="shared" si="0"/>
        <v>3792</v>
      </c>
    </row>
    <row r="22" spans="1:9" x14ac:dyDescent="0.3">
      <c r="A22" t="s">
        <v>12</v>
      </c>
      <c r="B22" t="s">
        <v>17</v>
      </c>
      <c r="C22">
        <v>2</v>
      </c>
      <c r="D22">
        <v>2007</v>
      </c>
      <c r="E22">
        <v>59</v>
      </c>
      <c r="F22" t="s">
        <v>21</v>
      </c>
      <c r="G22" s="3">
        <v>8421</v>
      </c>
      <c r="H22" s="3">
        <v>16094</v>
      </c>
      <c r="I22" s="3">
        <f t="shared" si="0"/>
        <v>7673</v>
      </c>
    </row>
    <row r="23" spans="1:9" x14ac:dyDescent="0.3">
      <c r="A23" t="s">
        <v>11</v>
      </c>
      <c r="B23" t="s">
        <v>19</v>
      </c>
      <c r="C23">
        <v>5</v>
      </c>
      <c r="D23">
        <v>2009</v>
      </c>
      <c r="E23">
        <v>23</v>
      </c>
      <c r="F23" t="s">
        <v>21</v>
      </c>
      <c r="G23" s="3">
        <v>17130</v>
      </c>
      <c r="H23" s="3">
        <v>25908</v>
      </c>
      <c r="I23" s="3">
        <f t="shared" si="0"/>
        <v>8778</v>
      </c>
    </row>
    <row r="24" spans="1:9" x14ac:dyDescent="0.3">
      <c r="A24" t="s">
        <v>13</v>
      </c>
      <c r="B24" t="s">
        <v>16</v>
      </c>
      <c r="C24">
        <v>7</v>
      </c>
      <c r="D24">
        <v>2015</v>
      </c>
      <c r="E24">
        <v>37</v>
      </c>
      <c r="F24" t="s">
        <v>23</v>
      </c>
      <c r="G24" s="3">
        <v>42134</v>
      </c>
      <c r="H24" s="3">
        <v>52010</v>
      </c>
      <c r="I24" s="3">
        <f t="shared" si="0"/>
        <v>9876</v>
      </c>
    </row>
    <row r="25" spans="1:9" x14ac:dyDescent="0.3">
      <c r="A25" t="s">
        <v>12</v>
      </c>
      <c r="B25" t="s">
        <v>18</v>
      </c>
      <c r="C25">
        <v>5</v>
      </c>
      <c r="D25">
        <v>2010</v>
      </c>
      <c r="E25">
        <v>55</v>
      </c>
      <c r="F25" t="s">
        <v>22</v>
      </c>
      <c r="G25" s="3">
        <v>20131</v>
      </c>
      <c r="H25" s="3">
        <v>23507</v>
      </c>
      <c r="I25" s="3">
        <f t="shared" si="0"/>
        <v>3376</v>
      </c>
    </row>
    <row r="26" spans="1:9" x14ac:dyDescent="0.3">
      <c r="A26" t="s">
        <v>11</v>
      </c>
      <c r="B26" t="s">
        <v>19</v>
      </c>
      <c r="C26">
        <v>5</v>
      </c>
      <c r="D26">
        <v>2011</v>
      </c>
      <c r="E26">
        <v>23</v>
      </c>
      <c r="F26" t="s">
        <v>8</v>
      </c>
      <c r="G26" s="3">
        <v>18230</v>
      </c>
      <c r="H26" s="3">
        <v>20141</v>
      </c>
      <c r="I26" s="3">
        <f t="shared" si="0"/>
        <v>1911</v>
      </c>
    </row>
    <row r="27" spans="1:9" x14ac:dyDescent="0.3">
      <c r="A27" t="s">
        <v>14</v>
      </c>
      <c r="B27" t="s">
        <v>19</v>
      </c>
      <c r="C27">
        <v>7</v>
      </c>
      <c r="D27">
        <v>2009</v>
      </c>
      <c r="E27">
        <v>15</v>
      </c>
      <c r="F27" t="s">
        <v>20</v>
      </c>
      <c r="G27" s="3">
        <v>32020</v>
      </c>
      <c r="H27" s="3">
        <v>35778</v>
      </c>
      <c r="I27" s="3">
        <f t="shared" si="0"/>
        <v>3758</v>
      </c>
    </row>
    <row r="28" spans="1:9" x14ac:dyDescent="0.3">
      <c r="A28" t="s">
        <v>14</v>
      </c>
      <c r="B28" t="s">
        <v>16</v>
      </c>
      <c r="C28">
        <v>5</v>
      </c>
      <c r="D28">
        <v>2006</v>
      </c>
      <c r="E28">
        <v>31</v>
      </c>
      <c r="F28" t="s">
        <v>21</v>
      </c>
      <c r="G28" s="3">
        <v>15224</v>
      </c>
      <c r="H28" s="3">
        <v>16019</v>
      </c>
      <c r="I28" s="3">
        <f t="shared" si="0"/>
        <v>795</v>
      </c>
    </row>
    <row r="29" spans="1:9" x14ac:dyDescent="0.3">
      <c r="A29" t="s">
        <v>12</v>
      </c>
      <c r="B29" t="s">
        <v>14</v>
      </c>
      <c r="C29">
        <v>5</v>
      </c>
      <c r="D29">
        <v>2005</v>
      </c>
      <c r="E29">
        <v>46</v>
      </c>
      <c r="F29" t="s">
        <v>20</v>
      </c>
      <c r="G29" s="3">
        <v>10430</v>
      </c>
      <c r="H29" s="3">
        <v>17098</v>
      </c>
      <c r="I29" s="3">
        <f t="shared" si="0"/>
        <v>6668</v>
      </c>
    </row>
    <row r="30" spans="1:9" x14ac:dyDescent="0.3">
      <c r="A30" t="s">
        <v>12</v>
      </c>
      <c r="B30" t="s">
        <v>16</v>
      </c>
      <c r="C30">
        <v>5</v>
      </c>
      <c r="D30">
        <v>2013</v>
      </c>
      <c r="E30">
        <v>20</v>
      </c>
      <c r="F30" t="s">
        <v>23</v>
      </c>
      <c r="G30" s="3">
        <v>13880</v>
      </c>
      <c r="H30" s="3">
        <v>19317</v>
      </c>
      <c r="I30" s="3">
        <f t="shared" si="0"/>
        <v>5437</v>
      </c>
    </row>
  </sheetData>
  <mergeCells count="1">
    <mergeCell ref="A1:I1"/>
  </mergeCells>
  <pageMargins left="0.7" right="0.7" top="0.75" bottom="0.75" header="0.3" footer="0.3"/>
  <pageSetup orientation="portrait" horizontalDpi="0" verticalDpi="0" r:id="rId1"/>
  <headerFooter>
    <oddFooter>&amp;C_x000D_&amp;1#&amp;"Calibri"&amp;10&amp;K000000 Non-Amgen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FA588-B7A9-474C-902D-A0F144087DCF}">
  <dimension ref="A1:I32"/>
  <sheetViews>
    <sheetView workbookViewId="0">
      <selection activeCell="J37" sqref="J37"/>
    </sheetView>
  </sheetViews>
  <sheetFormatPr defaultRowHeight="14.4" outlineLevelRow="2" x14ac:dyDescent="0.3"/>
  <cols>
    <col min="2" max="2" width="9.88671875" bestFit="1" customWidth="1"/>
    <col min="3" max="3" width="7.21875" bestFit="1" customWidth="1"/>
    <col min="4" max="4" width="5" bestFit="1" customWidth="1"/>
    <col min="5" max="5" width="11" bestFit="1" customWidth="1"/>
    <col min="6" max="6" width="11.5546875" bestFit="1" customWidth="1"/>
    <col min="7" max="7" width="13.33203125" bestFit="1" customWidth="1"/>
    <col min="8" max="8" width="11.109375" bestFit="1" customWidth="1"/>
    <col min="9" max="9" width="12.109375" bestFit="1" customWidth="1"/>
  </cols>
  <sheetData>
    <row r="1" spans="1:9" x14ac:dyDescent="0.3">
      <c r="A1" s="4" t="s">
        <v>9</v>
      </c>
      <c r="B1" s="4" t="s">
        <v>10</v>
      </c>
      <c r="C1" s="4" t="s">
        <v>15</v>
      </c>
      <c r="D1" s="4" t="s">
        <v>0</v>
      </c>
      <c r="E1" s="4" t="s">
        <v>24</v>
      </c>
      <c r="F1" s="4" t="s">
        <v>1</v>
      </c>
      <c r="G1" s="4" t="s">
        <v>2</v>
      </c>
      <c r="H1" s="4" t="s">
        <v>3</v>
      </c>
      <c r="I1" s="4" t="s">
        <v>4</v>
      </c>
    </row>
    <row r="2" spans="1:9" hidden="1" outlineLevel="2" x14ac:dyDescent="0.3">
      <c r="A2" t="s">
        <v>11</v>
      </c>
      <c r="B2" t="s">
        <v>16</v>
      </c>
      <c r="C2">
        <v>3</v>
      </c>
      <c r="D2">
        <v>2014</v>
      </c>
      <c r="E2">
        <v>26</v>
      </c>
      <c r="F2" t="s">
        <v>8</v>
      </c>
      <c r="G2" s="3">
        <v>20130</v>
      </c>
      <c r="H2" s="3">
        <v>23507</v>
      </c>
      <c r="I2" s="3">
        <f t="shared" ref="I2:I7" si="0">H2-G2</f>
        <v>3377</v>
      </c>
    </row>
    <row r="3" spans="1:9" hidden="1" outlineLevel="2" x14ac:dyDescent="0.3">
      <c r="A3" t="s">
        <v>12</v>
      </c>
      <c r="B3" t="s">
        <v>18</v>
      </c>
      <c r="C3">
        <v>5</v>
      </c>
      <c r="D3">
        <v>2001</v>
      </c>
      <c r="E3">
        <v>80</v>
      </c>
      <c r="F3" t="s">
        <v>8</v>
      </c>
      <c r="G3" s="3">
        <v>8573</v>
      </c>
      <c r="H3" s="3">
        <v>14250</v>
      </c>
      <c r="I3" s="3">
        <f t="shared" si="0"/>
        <v>5677</v>
      </c>
    </row>
    <row r="4" spans="1:9" hidden="1" outlineLevel="2" x14ac:dyDescent="0.3">
      <c r="A4" t="s">
        <v>12</v>
      </c>
      <c r="B4" t="s">
        <v>18</v>
      </c>
      <c r="C4">
        <v>5</v>
      </c>
      <c r="D4">
        <v>2012</v>
      </c>
      <c r="E4">
        <v>45</v>
      </c>
      <c r="F4" t="s">
        <v>8</v>
      </c>
      <c r="G4" s="3">
        <v>14573</v>
      </c>
      <c r="H4" s="3">
        <v>16317</v>
      </c>
      <c r="I4" s="3">
        <f t="shared" si="0"/>
        <v>1744</v>
      </c>
    </row>
    <row r="5" spans="1:9" hidden="1" outlineLevel="2" x14ac:dyDescent="0.3">
      <c r="A5" t="s">
        <v>14</v>
      </c>
      <c r="B5" t="s">
        <v>16</v>
      </c>
      <c r="C5">
        <v>5</v>
      </c>
      <c r="D5">
        <v>2010</v>
      </c>
      <c r="E5">
        <v>23</v>
      </c>
      <c r="F5" t="s">
        <v>8</v>
      </c>
      <c r="G5" s="3">
        <v>10224</v>
      </c>
      <c r="H5" s="3">
        <v>19206</v>
      </c>
      <c r="I5" s="3">
        <f t="shared" si="0"/>
        <v>8982</v>
      </c>
    </row>
    <row r="6" spans="1:9" hidden="1" outlineLevel="2" x14ac:dyDescent="0.3">
      <c r="A6" t="s">
        <v>12</v>
      </c>
      <c r="B6" t="s">
        <v>18</v>
      </c>
      <c r="C6">
        <v>5</v>
      </c>
      <c r="D6">
        <v>2012</v>
      </c>
      <c r="E6">
        <v>33</v>
      </c>
      <c r="F6" t="s">
        <v>8</v>
      </c>
      <c r="G6" s="3">
        <v>13219</v>
      </c>
      <c r="H6" s="3">
        <v>17011</v>
      </c>
      <c r="I6" s="3">
        <f t="shared" si="0"/>
        <v>3792</v>
      </c>
    </row>
    <row r="7" spans="1:9" hidden="1" outlineLevel="2" x14ac:dyDescent="0.3">
      <c r="A7" t="s">
        <v>11</v>
      </c>
      <c r="B7" t="s">
        <v>19</v>
      </c>
      <c r="C7">
        <v>5</v>
      </c>
      <c r="D7">
        <v>2011</v>
      </c>
      <c r="E7">
        <v>23</v>
      </c>
      <c r="F7" t="s">
        <v>8</v>
      </c>
      <c r="G7" s="3">
        <v>18230</v>
      </c>
      <c r="H7" s="3">
        <v>20141</v>
      </c>
      <c r="I7" s="3">
        <f t="shared" si="0"/>
        <v>1911</v>
      </c>
    </row>
    <row r="8" spans="1:9" outlineLevel="1" collapsed="1" x14ac:dyDescent="0.3">
      <c r="F8" s="9" t="s">
        <v>32</v>
      </c>
      <c r="G8" s="3"/>
      <c r="H8" s="3"/>
      <c r="I8" s="3">
        <f>SUBTOTAL(9,I2:I7)</f>
        <v>25483</v>
      </c>
    </row>
    <row r="9" spans="1:9" hidden="1" outlineLevel="2" x14ac:dyDescent="0.3">
      <c r="A9" t="s">
        <v>14</v>
      </c>
      <c r="B9" t="s">
        <v>19</v>
      </c>
      <c r="C9">
        <v>8</v>
      </c>
      <c r="D9">
        <v>2018</v>
      </c>
      <c r="E9">
        <v>54</v>
      </c>
      <c r="F9" t="s">
        <v>23</v>
      </c>
      <c r="G9" s="3">
        <v>14230</v>
      </c>
      <c r="H9" s="3">
        <v>18608</v>
      </c>
      <c r="I9" s="3">
        <f>H9-G9</f>
        <v>4378</v>
      </c>
    </row>
    <row r="10" spans="1:9" hidden="1" outlineLevel="2" x14ac:dyDescent="0.3">
      <c r="A10" t="s">
        <v>12</v>
      </c>
      <c r="B10" t="s">
        <v>18</v>
      </c>
      <c r="C10">
        <v>5</v>
      </c>
      <c r="D10">
        <v>2012</v>
      </c>
      <c r="E10">
        <v>57</v>
      </c>
      <c r="F10" t="s">
        <v>23</v>
      </c>
      <c r="G10" s="3">
        <v>23660</v>
      </c>
      <c r="H10" s="3">
        <v>33013</v>
      </c>
      <c r="I10" s="3">
        <f>H10-G10</f>
        <v>9353</v>
      </c>
    </row>
    <row r="11" spans="1:9" hidden="1" outlineLevel="2" x14ac:dyDescent="0.3">
      <c r="A11" t="s">
        <v>11</v>
      </c>
      <c r="B11" t="s">
        <v>19</v>
      </c>
      <c r="C11">
        <v>5</v>
      </c>
      <c r="D11">
        <v>2014</v>
      </c>
      <c r="E11">
        <v>26</v>
      </c>
      <c r="F11" t="s">
        <v>23</v>
      </c>
      <c r="G11" s="3">
        <v>15210</v>
      </c>
      <c r="H11" s="3">
        <v>18648</v>
      </c>
      <c r="I11" s="3">
        <f>H11-G11</f>
        <v>3438</v>
      </c>
    </row>
    <row r="12" spans="1:9" hidden="1" outlineLevel="2" x14ac:dyDescent="0.3">
      <c r="A12" t="s">
        <v>13</v>
      </c>
      <c r="B12" t="s">
        <v>16</v>
      </c>
      <c r="C12">
        <v>7</v>
      </c>
      <c r="D12">
        <v>2015</v>
      </c>
      <c r="E12">
        <v>37</v>
      </c>
      <c r="F12" t="s">
        <v>23</v>
      </c>
      <c r="G12" s="3">
        <v>42134</v>
      </c>
      <c r="H12" s="3">
        <v>52010</v>
      </c>
      <c r="I12" s="3">
        <f>H12-G12</f>
        <v>9876</v>
      </c>
    </row>
    <row r="13" spans="1:9" hidden="1" outlineLevel="2" x14ac:dyDescent="0.3">
      <c r="A13" t="s">
        <v>12</v>
      </c>
      <c r="B13" t="s">
        <v>16</v>
      </c>
      <c r="C13">
        <v>5</v>
      </c>
      <c r="D13">
        <v>2013</v>
      </c>
      <c r="E13">
        <v>20</v>
      </c>
      <c r="F13" t="s">
        <v>23</v>
      </c>
      <c r="G13" s="3">
        <v>13880</v>
      </c>
      <c r="H13" s="3">
        <v>19317</v>
      </c>
      <c r="I13" s="3">
        <f>H13-G13</f>
        <v>5437</v>
      </c>
    </row>
    <row r="14" spans="1:9" outlineLevel="1" collapsed="1" x14ac:dyDescent="0.3">
      <c r="F14" s="9" t="s">
        <v>33</v>
      </c>
      <c r="G14" s="3"/>
      <c r="H14" s="3"/>
      <c r="I14" s="3">
        <f>SUBTOTAL(9,I9:I13)</f>
        <v>32482</v>
      </c>
    </row>
    <row r="15" spans="1:9" hidden="1" outlineLevel="2" x14ac:dyDescent="0.3">
      <c r="A15" t="s">
        <v>12</v>
      </c>
      <c r="B15" t="s">
        <v>17</v>
      </c>
      <c r="C15">
        <v>2</v>
      </c>
      <c r="D15">
        <v>2010</v>
      </c>
      <c r="E15">
        <v>31</v>
      </c>
      <c r="F15" t="s">
        <v>20</v>
      </c>
      <c r="G15" s="3">
        <v>14461</v>
      </c>
      <c r="H15" s="3">
        <v>25308</v>
      </c>
      <c r="I15" s="3">
        <f>H15-G15</f>
        <v>10847</v>
      </c>
    </row>
    <row r="16" spans="1:9" hidden="1" outlineLevel="2" x14ac:dyDescent="0.3">
      <c r="A16" t="s">
        <v>13</v>
      </c>
      <c r="B16" t="s">
        <v>16</v>
      </c>
      <c r="C16">
        <v>7</v>
      </c>
      <c r="D16">
        <v>2014</v>
      </c>
      <c r="E16">
        <v>7</v>
      </c>
      <c r="F16" t="s">
        <v>20</v>
      </c>
      <c r="G16" s="3">
        <v>32531</v>
      </c>
      <c r="H16" s="3">
        <v>36197</v>
      </c>
      <c r="I16" s="3">
        <f>H16-G16</f>
        <v>3666</v>
      </c>
    </row>
    <row r="17" spans="1:9" hidden="1" outlineLevel="2" x14ac:dyDescent="0.3">
      <c r="A17" t="s">
        <v>12</v>
      </c>
      <c r="B17" t="s">
        <v>17</v>
      </c>
      <c r="C17">
        <v>3</v>
      </c>
      <c r="D17">
        <v>2012</v>
      </c>
      <c r="E17">
        <v>45</v>
      </c>
      <c r="F17" t="s">
        <v>20</v>
      </c>
      <c r="G17" s="3">
        <v>9151</v>
      </c>
      <c r="H17" s="3">
        <v>14550</v>
      </c>
      <c r="I17" s="3">
        <f>H17-G17</f>
        <v>5399</v>
      </c>
    </row>
    <row r="18" spans="1:9" hidden="1" outlineLevel="2" x14ac:dyDescent="0.3">
      <c r="A18" t="s">
        <v>14</v>
      </c>
      <c r="B18" t="s">
        <v>19</v>
      </c>
      <c r="C18">
        <v>7</v>
      </c>
      <c r="D18">
        <v>2009</v>
      </c>
      <c r="E18">
        <v>15</v>
      </c>
      <c r="F18" t="s">
        <v>20</v>
      </c>
      <c r="G18" s="3">
        <v>32020</v>
      </c>
      <c r="H18" s="3">
        <v>35778</v>
      </c>
      <c r="I18" s="3">
        <f>H18-G18</f>
        <v>3758</v>
      </c>
    </row>
    <row r="19" spans="1:9" hidden="1" outlineLevel="2" x14ac:dyDescent="0.3">
      <c r="A19" t="s">
        <v>12</v>
      </c>
      <c r="B19" t="s">
        <v>14</v>
      </c>
      <c r="C19">
        <v>5</v>
      </c>
      <c r="D19">
        <v>2005</v>
      </c>
      <c r="E19">
        <v>46</v>
      </c>
      <c r="F19" t="s">
        <v>20</v>
      </c>
      <c r="G19" s="3">
        <v>10430</v>
      </c>
      <c r="H19" s="3">
        <v>17098</v>
      </c>
      <c r="I19" s="3">
        <f>H19-G19</f>
        <v>6668</v>
      </c>
    </row>
    <row r="20" spans="1:9" outlineLevel="1" collapsed="1" x14ac:dyDescent="0.3">
      <c r="F20" s="9" t="s">
        <v>34</v>
      </c>
      <c r="G20" s="3"/>
      <c r="H20" s="3"/>
      <c r="I20" s="3">
        <f>SUBTOTAL(9,I15:I19)</f>
        <v>30338</v>
      </c>
    </row>
    <row r="21" spans="1:9" hidden="1" outlineLevel="2" x14ac:dyDescent="0.3">
      <c r="A21" t="s">
        <v>11</v>
      </c>
      <c r="B21" t="s">
        <v>16</v>
      </c>
      <c r="C21">
        <v>3</v>
      </c>
      <c r="D21">
        <v>2014</v>
      </c>
      <c r="E21">
        <v>23</v>
      </c>
      <c r="F21" t="s">
        <v>22</v>
      </c>
      <c r="G21" s="3">
        <v>21564</v>
      </c>
      <c r="H21" s="3">
        <v>22007</v>
      </c>
      <c r="I21" s="3">
        <f>H21-G21</f>
        <v>443</v>
      </c>
    </row>
    <row r="22" spans="1:9" hidden="1" outlineLevel="2" x14ac:dyDescent="0.3">
      <c r="A22" t="s">
        <v>14</v>
      </c>
      <c r="B22" t="s">
        <v>16</v>
      </c>
      <c r="C22">
        <v>5</v>
      </c>
      <c r="D22">
        <v>2007</v>
      </c>
      <c r="E22">
        <v>66</v>
      </c>
      <c r="F22" t="s">
        <v>22</v>
      </c>
      <c r="G22" s="3">
        <v>8570</v>
      </c>
      <c r="H22" s="3">
        <v>18210</v>
      </c>
      <c r="I22" s="3">
        <f>H22-G22</f>
        <v>9640</v>
      </c>
    </row>
    <row r="23" spans="1:9" hidden="1" outlineLevel="2" x14ac:dyDescent="0.3">
      <c r="A23" t="s">
        <v>14</v>
      </c>
      <c r="B23" t="s">
        <v>19</v>
      </c>
      <c r="C23">
        <v>8</v>
      </c>
      <c r="D23">
        <v>2014</v>
      </c>
      <c r="E23">
        <v>45</v>
      </c>
      <c r="F23" t="s">
        <v>22</v>
      </c>
      <c r="G23" s="3">
        <v>12550</v>
      </c>
      <c r="H23" s="3">
        <v>13206</v>
      </c>
      <c r="I23" s="3">
        <f>H23-G23</f>
        <v>656</v>
      </c>
    </row>
    <row r="24" spans="1:9" hidden="1" outlineLevel="2" x14ac:dyDescent="0.3">
      <c r="A24" t="s">
        <v>12</v>
      </c>
      <c r="B24" t="s">
        <v>18</v>
      </c>
      <c r="C24">
        <v>5</v>
      </c>
      <c r="D24">
        <v>2010</v>
      </c>
      <c r="E24">
        <v>55</v>
      </c>
      <c r="F24" t="s">
        <v>22</v>
      </c>
      <c r="G24" s="3">
        <v>20131</v>
      </c>
      <c r="H24" s="3">
        <v>23507</v>
      </c>
      <c r="I24" s="3">
        <f>H24-G24</f>
        <v>3376</v>
      </c>
    </row>
    <row r="25" spans="1:9" outlineLevel="1" collapsed="1" x14ac:dyDescent="0.3">
      <c r="F25" s="9" t="s">
        <v>35</v>
      </c>
      <c r="G25" s="3"/>
      <c r="H25" s="3"/>
      <c r="I25" s="3">
        <f>SUBTOTAL(9,I21:I24)</f>
        <v>14115</v>
      </c>
    </row>
    <row r="26" spans="1:9" hidden="1" outlineLevel="2" x14ac:dyDescent="0.3">
      <c r="A26" t="s">
        <v>12</v>
      </c>
      <c r="B26" t="s">
        <v>17</v>
      </c>
      <c r="C26">
        <v>2</v>
      </c>
      <c r="D26">
        <v>2009</v>
      </c>
      <c r="E26">
        <v>22</v>
      </c>
      <c r="F26" t="s">
        <v>21</v>
      </c>
      <c r="G26" s="3">
        <v>14263</v>
      </c>
      <c r="H26" s="3">
        <v>17206</v>
      </c>
      <c r="I26" s="3">
        <f>H26-G26</f>
        <v>2943</v>
      </c>
    </row>
    <row r="27" spans="1:9" hidden="1" outlineLevel="2" x14ac:dyDescent="0.3">
      <c r="A27" t="s">
        <v>13</v>
      </c>
      <c r="B27" t="s">
        <v>16</v>
      </c>
      <c r="C27">
        <v>7</v>
      </c>
      <c r="D27">
        <v>2000</v>
      </c>
      <c r="E27">
        <v>18</v>
      </c>
      <c r="F27" t="s">
        <v>21</v>
      </c>
      <c r="G27" s="3">
        <v>10422</v>
      </c>
      <c r="H27" s="3">
        <v>12005</v>
      </c>
      <c r="I27" s="3">
        <f>H27-G27</f>
        <v>1583</v>
      </c>
    </row>
    <row r="28" spans="1:9" hidden="1" outlineLevel="2" x14ac:dyDescent="0.3">
      <c r="A28" t="s">
        <v>12</v>
      </c>
      <c r="B28" t="s">
        <v>17</v>
      </c>
      <c r="C28">
        <v>2</v>
      </c>
      <c r="D28">
        <v>2007</v>
      </c>
      <c r="E28">
        <v>59</v>
      </c>
      <c r="F28" t="s">
        <v>21</v>
      </c>
      <c r="G28" s="3">
        <v>8421</v>
      </c>
      <c r="H28" s="3">
        <v>16094</v>
      </c>
      <c r="I28" s="3">
        <f>H28-G28</f>
        <v>7673</v>
      </c>
    </row>
    <row r="29" spans="1:9" hidden="1" outlineLevel="2" x14ac:dyDescent="0.3">
      <c r="A29" t="s">
        <v>11</v>
      </c>
      <c r="B29" t="s">
        <v>19</v>
      </c>
      <c r="C29">
        <v>5</v>
      </c>
      <c r="D29">
        <v>2009</v>
      </c>
      <c r="E29">
        <v>23</v>
      </c>
      <c r="F29" t="s">
        <v>21</v>
      </c>
      <c r="G29" s="3">
        <v>17130</v>
      </c>
      <c r="H29" s="3">
        <v>25908</v>
      </c>
      <c r="I29" s="3">
        <f>H29-G29</f>
        <v>8778</v>
      </c>
    </row>
    <row r="30" spans="1:9" hidden="1" outlineLevel="2" x14ac:dyDescent="0.3">
      <c r="A30" t="s">
        <v>14</v>
      </c>
      <c r="B30" t="s">
        <v>16</v>
      </c>
      <c r="C30">
        <v>5</v>
      </c>
      <c r="D30">
        <v>2006</v>
      </c>
      <c r="E30">
        <v>31</v>
      </c>
      <c r="F30" t="s">
        <v>21</v>
      </c>
      <c r="G30" s="3">
        <v>15224</v>
      </c>
      <c r="H30" s="3">
        <v>16019</v>
      </c>
      <c r="I30" s="3">
        <f>H30-G30</f>
        <v>795</v>
      </c>
    </row>
    <row r="31" spans="1:9" outlineLevel="1" collapsed="1" x14ac:dyDescent="0.3">
      <c r="F31" s="9" t="s">
        <v>36</v>
      </c>
      <c r="G31" s="3"/>
      <c r="H31" s="3"/>
      <c r="I31" s="3">
        <f>SUBTOTAL(9,I26:I30)</f>
        <v>21772</v>
      </c>
    </row>
    <row r="32" spans="1:9" x14ac:dyDescent="0.3">
      <c r="F32" s="9" t="s">
        <v>28</v>
      </c>
      <c r="G32" s="3"/>
      <c r="H32" s="3"/>
      <c r="I32" s="3">
        <f>SUBTOTAL(9,I2:I30)</f>
        <v>124190</v>
      </c>
    </row>
  </sheetData>
  <sortState xmlns:xlrd2="http://schemas.microsoft.com/office/spreadsheetml/2017/richdata2" ref="A2:I30">
    <sortCondition ref="F2:F30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95C23-FC99-4D89-8313-7CB79C437C7D}">
  <dimension ref="A1:I26"/>
  <sheetViews>
    <sheetView tabSelected="1" topLeftCell="A2" workbookViewId="0">
      <selection activeCell="D7" sqref="D7"/>
    </sheetView>
  </sheetViews>
  <sheetFormatPr defaultRowHeight="14.4" x14ac:dyDescent="0.3"/>
  <cols>
    <col min="1" max="1" width="16.109375" bestFit="1" customWidth="1"/>
    <col min="2" max="2" width="14.33203125" bestFit="1" customWidth="1"/>
    <col min="3" max="3" width="9.109375" customWidth="1"/>
    <col min="4" max="4" width="9.109375" bestFit="1" customWidth="1"/>
    <col min="5" max="5" width="15.44140625" bestFit="1" customWidth="1"/>
    <col min="6" max="6" width="10.88671875" customWidth="1"/>
    <col min="7" max="7" width="17.77734375" bestFit="1" customWidth="1"/>
    <col min="8" max="8" width="11" customWidth="1"/>
    <col min="9" max="9" width="11.109375" bestFit="1" customWidth="1"/>
  </cols>
  <sheetData>
    <row r="1" spans="1:9" x14ac:dyDescent="0.3">
      <c r="A1" s="4" t="s">
        <v>9</v>
      </c>
      <c r="B1" s="4" t="s">
        <v>10</v>
      </c>
      <c r="C1" s="4" t="s">
        <v>15</v>
      </c>
      <c r="D1" s="4" t="s">
        <v>0</v>
      </c>
      <c r="E1" s="4" t="s">
        <v>24</v>
      </c>
      <c r="F1" s="4" t="s">
        <v>1</v>
      </c>
      <c r="G1" s="4" t="s">
        <v>2</v>
      </c>
      <c r="H1" s="4" t="s">
        <v>3</v>
      </c>
      <c r="I1" s="4" t="s">
        <v>4</v>
      </c>
    </row>
    <row r="2" spans="1:9" x14ac:dyDescent="0.3">
      <c r="A2" t="s">
        <v>13</v>
      </c>
      <c r="B2" t="s">
        <v>16</v>
      </c>
      <c r="C2">
        <v>7</v>
      </c>
      <c r="D2">
        <v>2000</v>
      </c>
      <c r="E2">
        <v>18</v>
      </c>
      <c r="F2" t="s">
        <v>21</v>
      </c>
      <c r="G2" s="3">
        <v>10422</v>
      </c>
      <c r="H2" s="3">
        <v>12005</v>
      </c>
      <c r="I2" s="3">
        <f t="shared" ref="I2:I26" si="0">H2-G2</f>
        <v>1583</v>
      </c>
    </row>
    <row r="3" spans="1:9" hidden="1" x14ac:dyDescent="0.3">
      <c r="A3" t="s">
        <v>12</v>
      </c>
      <c r="B3" t="s">
        <v>18</v>
      </c>
      <c r="C3">
        <v>5</v>
      </c>
      <c r="D3">
        <v>2001</v>
      </c>
      <c r="E3">
        <v>80</v>
      </c>
      <c r="F3" t="s">
        <v>8</v>
      </c>
      <c r="G3" s="3">
        <v>8573</v>
      </c>
      <c r="H3" s="3">
        <v>14250</v>
      </c>
      <c r="I3" s="3">
        <f t="shared" si="0"/>
        <v>5677</v>
      </c>
    </row>
    <row r="4" spans="1:9" hidden="1" x14ac:dyDescent="0.3">
      <c r="A4" t="s">
        <v>12</v>
      </c>
      <c r="B4" t="s">
        <v>14</v>
      </c>
      <c r="C4">
        <v>5</v>
      </c>
      <c r="D4">
        <v>2005</v>
      </c>
      <c r="E4">
        <v>46</v>
      </c>
      <c r="F4" t="s">
        <v>20</v>
      </c>
      <c r="G4" s="3">
        <v>10430</v>
      </c>
      <c r="H4" s="3">
        <v>17098</v>
      </c>
      <c r="I4" s="3">
        <f t="shared" si="0"/>
        <v>6668</v>
      </c>
    </row>
    <row r="5" spans="1:9" x14ac:dyDescent="0.3">
      <c r="A5" t="s">
        <v>14</v>
      </c>
      <c r="B5" t="s">
        <v>16</v>
      </c>
      <c r="C5">
        <v>5</v>
      </c>
      <c r="D5">
        <v>2006</v>
      </c>
      <c r="E5">
        <v>31</v>
      </c>
      <c r="F5" t="s">
        <v>21</v>
      </c>
      <c r="G5" s="3">
        <v>15224</v>
      </c>
      <c r="H5" s="3">
        <v>16019</v>
      </c>
      <c r="I5" s="3">
        <f t="shared" si="0"/>
        <v>795</v>
      </c>
    </row>
    <row r="6" spans="1:9" hidden="1" x14ac:dyDescent="0.3">
      <c r="A6" t="s">
        <v>14</v>
      </c>
      <c r="B6" t="s">
        <v>16</v>
      </c>
      <c r="C6">
        <v>5</v>
      </c>
      <c r="D6">
        <v>2007</v>
      </c>
      <c r="E6">
        <v>66</v>
      </c>
      <c r="F6" t="s">
        <v>22</v>
      </c>
      <c r="G6" s="3">
        <v>8570</v>
      </c>
      <c r="H6" s="3">
        <v>18210</v>
      </c>
      <c r="I6" s="3">
        <f t="shared" si="0"/>
        <v>9640</v>
      </c>
    </row>
    <row r="7" spans="1:9" x14ac:dyDescent="0.3">
      <c r="A7" t="s">
        <v>12</v>
      </c>
      <c r="B7" t="s">
        <v>17</v>
      </c>
      <c r="C7">
        <v>2</v>
      </c>
      <c r="D7">
        <v>2007</v>
      </c>
      <c r="E7">
        <v>59</v>
      </c>
      <c r="F7" t="s">
        <v>21</v>
      </c>
      <c r="G7" s="3">
        <v>8421</v>
      </c>
      <c r="H7" s="3">
        <v>16094</v>
      </c>
      <c r="I7" s="3">
        <f t="shared" si="0"/>
        <v>7673</v>
      </c>
    </row>
    <row r="8" spans="1:9" x14ac:dyDescent="0.3">
      <c r="A8" t="s">
        <v>12</v>
      </c>
      <c r="B8" t="s">
        <v>17</v>
      </c>
      <c r="C8">
        <v>2</v>
      </c>
      <c r="D8">
        <v>2009</v>
      </c>
      <c r="E8">
        <v>22</v>
      </c>
      <c r="F8" t="s">
        <v>21</v>
      </c>
      <c r="G8" s="3">
        <v>14263</v>
      </c>
      <c r="H8" s="3">
        <v>17206</v>
      </c>
      <c r="I8" s="3">
        <f t="shared" si="0"/>
        <v>2943</v>
      </c>
    </row>
    <row r="9" spans="1:9" hidden="1" x14ac:dyDescent="0.3">
      <c r="A9" t="s">
        <v>11</v>
      </c>
      <c r="B9" t="s">
        <v>19</v>
      </c>
      <c r="C9">
        <v>5</v>
      </c>
      <c r="D9">
        <v>2009</v>
      </c>
      <c r="E9">
        <v>23</v>
      </c>
      <c r="F9" t="s">
        <v>21</v>
      </c>
      <c r="G9" s="3">
        <v>17130</v>
      </c>
      <c r="H9" s="3">
        <v>25908</v>
      </c>
      <c r="I9" s="3">
        <f t="shared" si="0"/>
        <v>8778</v>
      </c>
    </row>
    <row r="10" spans="1:9" hidden="1" x14ac:dyDescent="0.3">
      <c r="A10" t="s">
        <v>14</v>
      </c>
      <c r="B10" t="s">
        <v>19</v>
      </c>
      <c r="C10">
        <v>7</v>
      </c>
      <c r="D10">
        <v>2009</v>
      </c>
      <c r="E10">
        <v>15</v>
      </c>
      <c r="F10" t="s">
        <v>20</v>
      </c>
      <c r="G10" s="3">
        <v>32020</v>
      </c>
      <c r="H10" s="3">
        <v>35778</v>
      </c>
      <c r="I10" s="3">
        <f t="shared" si="0"/>
        <v>3758</v>
      </c>
    </row>
    <row r="11" spans="1:9" hidden="1" x14ac:dyDescent="0.3">
      <c r="A11" t="s">
        <v>12</v>
      </c>
      <c r="B11" t="s">
        <v>17</v>
      </c>
      <c r="C11">
        <v>2</v>
      </c>
      <c r="D11">
        <v>2010</v>
      </c>
      <c r="E11">
        <v>31</v>
      </c>
      <c r="F11" t="s">
        <v>20</v>
      </c>
      <c r="G11" s="3">
        <v>14461</v>
      </c>
      <c r="H11" s="3">
        <v>25308</v>
      </c>
      <c r="I11" s="3">
        <f t="shared" si="0"/>
        <v>10847</v>
      </c>
    </row>
    <row r="12" spans="1:9" hidden="1" x14ac:dyDescent="0.3">
      <c r="A12" t="s">
        <v>14</v>
      </c>
      <c r="B12" t="s">
        <v>16</v>
      </c>
      <c r="C12">
        <v>5</v>
      </c>
      <c r="D12">
        <v>2010</v>
      </c>
      <c r="E12">
        <v>23</v>
      </c>
      <c r="F12" t="s">
        <v>8</v>
      </c>
      <c r="G12" s="3">
        <v>10224</v>
      </c>
      <c r="H12" s="3">
        <v>19206</v>
      </c>
      <c r="I12" s="3">
        <f t="shared" si="0"/>
        <v>8982</v>
      </c>
    </row>
    <row r="13" spans="1:9" hidden="1" x14ac:dyDescent="0.3">
      <c r="A13" t="s">
        <v>12</v>
      </c>
      <c r="B13" t="s">
        <v>18</v>
      </c>
      <c r="C13">
        <v>5</v>
      </c>
      <c r="D13">
        <v>2010</v>
      </c>
      <c r="E13">
        <v>55</v>
      </c>
      <c r="F13" t="s">
        <v>22</v>
      </c>
      <c r="G13" s="3">
        <v>20131</v>
      </c>
      <c r="H13" s="3">
        <v>23507</v>
      </c>
      <c r="I13" s="3">
        <f t="shared" si="0"/>
        <v>3376</v>
      </c>
    </row>
    <row r="14" spans="1:9" hidden="1" x14ac:dyDescent="0.3">
      <c r="A14" t="s">
        <v>11</v>
      </c>
      <c r="B14" t="s">
        <v>19</v>
      </c>
      <c r="C14">
        <v>5</v>
      </c>
      <c r="D14">
        <v>2011</v>
      </c>
      <c r="E14">
        <v>23</v>
      </c>
      <c r="F14" t="s">
        <v>8</v>
      </c>
      <c r="G14" s="3">
        <v>18230</v>
      </c>
      <c r="H14" s="3">
        <v>20141</v>
      </c>
      <c r="I14" s="3">
        <f t="shared" si="0"/>
        <v>1911</v>
      </c>
    </row>
    <row r="15" spans="1:9" hidden="1" x14ac:dyDescent="0.3">
      <c r="A15" t="s">
        <v>12</v>
      </c>
      <c r="B15" t="s">
        <v>18</v>
      </c>
      <c r="C15">
        <v>5</v>
      </c>
      <c r="D15">
        <v>2012</v>
      </c>
      <c r="E15">
        <v>45</v>
      </c>
      <c r="F15" t="s">
        <v>8</v>
      </c>
      <c r="G15" s="3">
        <v>14573</v>
      </c>
      <c r="H15" s="3">
        <v>16317</v>
      </c>
      <c r="I15" s="3">
        <f t="shared" si="0"/>
        <v>1744</v>
      </c>
    </row>
    <row r="16" spans="1:9" hidden="1" x14ac:dyDescent="0.3">
      <c r="A16" t="s">
        <v>12</v>
      </c>
      <c r="B16" t="s">
        <v>17</v>
      </c>
      <c r="C16">
        <v>3</v>
      </c>
      <c r="D16">
        <v>2012</v>
      </c>
      <c r="E16">
        <v>45</v>
      </c>
      <c r="F16" t="s">
        <v>20</v>
      </c>
      <c r="G16" s="3">
        <v>9151</v>
      </c>
      <c r="H16" s="3">
        <v>14550</v>
      </c>
      <c r="I16" s="3">
        <f t="shared" si="0"/>
        <v>5399</v>
      </c>
    </row>
    <row r="17" spans="1:9" hidden="1" x14ac:dyDescent="0.3">
      <c r="A17" t="s">
        <v>12</v>
      </c>
      <c r="B17" t="s">
        <v>18</v>
      </c>
      <c r="C17">
        <v>5</v>
      </c>
      <c r="D17">
        <v>2012</v>
      </c>
      <c r="E17">
        <v>57</v>
      </c>
      <c r="F17" t="s">
        <v>23</v>
      </c>
      <c r="G17" s="3">
        <v>23660</v>
      </c>
      <c r="H17" s="3">
        <v>33013</v>
      </c>
      <c r="I17" s="3">
        <f t="shared" si="0"/>
        <v>9353</v>
      </c>
    </row>
    <row r="18" spans="1:9" hidden="1" x14ac:dyDescent="0.3">
      <c r="A18" t="s">
        <v>12</v>
      </c>
      <c r="B18" t="s">
        <v>18</v>
      </c>
      <c r="C18">
        <v>5</v>
      </c>
      <c r="D18">
        <v>2012</v>
      </c>
      <c r="E18">
        <v>33</v>
      </c>
      <c r="F18" t="s">
        <v>8</v>
      </c>
      <c r="G18" s="3">
        <v>13219</v>
      </c>
      <c r="H18" s="3">
        <v>17011</v>
      </c>
      <c r="I18" s="3">
        <f t="shared" si="0"/>
        <v>3792</v>
      </c>
    </row>
    <row r="19" spans="1:9" hidden="1" x14ac:dyDescent="0.3">
      <c r="A19" t="s">
        <v>12</v>
      </c>
      <c r="B19" t="s">
        <v>16</v>
      </c>
      <c r="C19">
        <v>5</v>
      </c>
      <c r="D19">
        <v>2013</v>
      </c>
      <c r="E19">
        <v>20</v>
      </c>
      <c r="F19" t="s">
        <v>23</v>
      </c>
      <c r="G19" s="3">
        <v>13880</v>
      </c>
      <c r="H19" s="3">
        <v>19317</v>
      </c>
      <c r="I19" s="3">
        <f t="shared" si="0"/>
        <v>5437</v>
      </c>
    </row>
    <row r="20" spans="1:9" hidden="1" x14ac:dyDescent="0.3">
      <c r="A20" t="s">
        <v>11</v>
      </c>
      <c r="B20" t="s">
        <v>16</v>
      </c>
      <c r="C20">
        <v>3</v>
      </c>
      <c r="D20">
        <v>2014</v>
      </c>
      <c r="E20">
        <v>26</v>
      </c>
      <c r="F20" t="s">
        <v>8</v>
      </c>
      <c r="G20" s="3">
        <v>20130</v>
      </c>
      <c r="H20" s="3">
        <v>23507</v>
      </c>
      <c r="I20" s="3">
        <f t="shared" si="0"/>
        <v>3377</v>
      </c>
    </row>
    <row r="21" spans="1:9" hidden="1" x14ac:dyDescent="0.3">
      <c r="A21" t="s">
        <v>11</v>
      </c>
      <c r="B21" t="s">
        <v>16</v>
      </c>
      <c r="C21">
        <v>3</v>
      </c>
      <c r="D21">
        <v>2014</v>
      </c>
      <c r="E21">
        <v>23</v>
      </c>
      <c r="F21" t="s">
        <v>22</v>
      </c>
      <c r="G21" s="3">
        <v>21564</v>
      </c>
      <c r="H21" s="3">
        <v>22007</v>
      </c>
      <c r="I21" s="3">
        <f t="shared" si="0"/>
        <v>443</v>
      </c>
    </row>
    <row r="22" spans="1:9" hidden="1" x14ac:dyDescent="0.3">
      <c r="A22" t="s">
        <v>13</v>
      </c>
      <c r="B22" t="s">
        <v>16</v>
      </c>
      <c r="C22">
        <v>7</v>
      </c>
      <c r="D22">
        <v>2014</v>
      </c>
      <c r="E22">
        <v>7</v>
      </c>
      <c r="F22" t="s">
        <v>20</v>
      </c>
      <c r="G22" s="3">
        <v>32531</v>
      </c>
      <c r="H22" s="3">
        <v>36197</v>
      </c>
      <c r="I22" s="3">
        <f t="shared" si="0"/>
        <v>3666</v>
      </c>
    </row>
    <row r="23" spans="1:9" hidden="1" x14ac:dyDescent="0.3">
      <c r="A23" t="s">
        <v>11</v>
      </c>
      <c r="B23" t="s">
        <v>19</v>
      </c>
      <c r="C23">
        <v>5</v>
      </c>
      <c r="D23">
        <v>2014</v>
      </c>
      <c r="E23">
        <v>26</v>
      </c>
      <c r="F23" t="s">
        <v>23</v>
      </c>
      <c r="G23" s="3">
        <v>15210</v>
      </c>
      <c r="H23" s="3">
        <v>18648</v>
      </c>
      <c r="I23" s="3">
        <f t="shared" si="0"/>
        <v>3438</v>
      </c>
    </row>
    <row r="24" spans="1:9" hidden="1" x14ac:dyDescent="0.3">
      <c r="A24" t="s">
        <v>14</v>
      </c>
      <c r="B24" t="s">
        <v>19</v>
      </c>
      <c r="C24">
        <v>8</v>
      </c>
      <c r="D24">
        <v>2014</v>
      </c>
      <c r="E24">
        <v>45</v>
      </c>
      <c r="F24" t="s">
        <v>22</v>
      </c>
      <c r="G24" s="3">
        <v>12550</v>
      </c>
      <c r="H24" s="3">
        <v>13206</v>
      </c>
      <c r="I24" s="3">
        <f t="shared" si="0"/>
        <v>656</v>
      </c>
    </row>
    <row r="25" spans="1:9" hidden="1" x14ac:dyDescent="0.3">
      <c r="A25" t="s">
        <v>13</v>
      </c>
      <c r="B25" t="s">
        <v>16</v>
      </c>
      <c r="C25">
        <v>7</v>
      </c>
      <c r="D25">
        <v>2015</v>
      </c>
      <c r="E25">
        <v>37</v>
      </c>
      <c r="F25" t="s">
        <v>23</v>
      </c>
      <c r="G25" s="3">
        <v>42134</v>
      </c>
      <c r="H25" s="3">
        <v>52010</v>
      </c>
      <c r="I25" s="3">
        <f t="shared" si="0"/>
        <v>9876</v>
      </c>
    </row>
    <row r="26" spans="1:9" hidden="1" x14ac:dyDescent="0.3">
      <c r="A26" t="s">
        <v>14</v>
      </c>
      <c r="B26" t="s">
        <v>19</v>
      </c>
      <c r="C26">
        <v>8</v>
      </c>
      <c r="D26">
        <v>2018</v>
      </c>
      <c r="E26">
        <v>54</v>
      </c>
      <c r="F26" t="s">
        <v>23</v>
      </c>
      <c r="G26" s="3">
        <v>14230</v>
      </c>
      <c r="H26" s="3">
        <v>18608</v>
      </c>
      <c r="I26" s="3">
        <f t="shared" si="0"/>
        <v>4378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Table1</vt:lpstr>
      <vt:lpstr>Table2</vt:lpstr>
      <vt:lpstr>All Sales</vt:lpstr>
      <vt:lpstr>Subtotal</vt:lpstr>
      <vt:lpstr>Data Modification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Exploring Series</dc:creator>
  <cp:lastModifiedBy>Soham Satpute</cp:lastModifiedBy>
  <dcterms:created xsi:type="dcterms:W3CDTF">2016-01-14T02:17:10Z</dcterms:created>
  <dcterms:modified xsi:type="dcterms:W3CDTF">2025-11-08T15:58:34Z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072e26-1821-44f2-97f7-4c10c067297d_Enabled">
    <vt:lpwstr>true</vt:lpwstr>
  </property>
  <property fmtid="{D5CDD505-2E9C-101B-9397-08002B2CF9AE}" pid="3" name="MSIP_Label_b1072e26-1821-44f2-97f7-4c10c067297d_SetDate">
    <vt:lpwstr>2025-11-08T02:41:00Z</vt:lpwstr>
  </property>
  <property fmtid="{D5CDD505-2E9C-101B-9397-08002B2CF9AE}" pid="4" name="MSIP_Label_b1072e26-1821-44f2-97f7-4c10c067297d_Method">
    <vt:lpwstr>Privileged</vt:lpwstr>
  </property>
  <property fmtid="{D5CDD505-2E9C-101B-9397-08002B2CF9AE}" pid="5" name="MSIP_Label_b1072e26-1821-44f2-97f7-4c10c067297d_Name">
    <vt:lpwstr>Non Amgen_</vt:lpwstr>
  </property>
  <property fmtid="{D5CDD505-2E9C-101B-9397-08002B2CF9AE}" pid="6" name="MSIP_Label_b1072e26-1821-44f2-97f7-4c10c067297d_SiteId">
    <vt:lpwstr>4b4266a6-1368-41af-ad5a-59eb634f7ad8</vt:lpwstr>
  </property>
  <property fmtid="{D5CDD505-2E9C-101B-9397-08002B2CF9AE}" pid="7" name="MSIP_Label_b1072e26-1821-44f2-97f7-4c10c067297d_ActionId">
    <vt:lpwstr>6a4cb9fd-3478-4c83-b753-48ce9ad40cd6</vt:lpwstr>
  </property>
  <property fmtid="{D5CDD505-2E9C-101B-9397-08002B2CF9AE}" pid="8" name="MSIP_Label_b1072e26-1821-44f2-97f7-4c10c067297d_ContentBits">
    <vt:lpwstr>2</vt:lpwstr>
  </property>
  <property fmtid="{D5CDD505-2E9C-101B-9397-08002B2CF9AE}" pid="9" name="MSIP_Label_b1072e26-1821-44f2-97f7-4c10c067297d_Tag">
    <vt:lpwstr>10, 0, 1, 1</vt:lpwstr>
  </property>
</Properties>
</file>