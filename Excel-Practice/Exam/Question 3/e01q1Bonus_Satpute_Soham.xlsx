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# Rutgers\Academic Fall 2025\Mgmt Info Sys\Exam\Question 3\"/>
    </mc:Choice>
  </mc:AlternateContent>
  <xr:revisionPtr revIDLastSave="0" documentId="13_ncr:1_{4938FC3F-1C70-43F6-801D-68DDFE626DA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2021 Survey" sheetId="1" r:id="rId1"/>
    <sheet name="Bonus Sample" sheetId="4" r:id="rId2"/>
    <sheet name="2020 Surve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2" i="1" l="1"/>
  <c r="B22" i="1"/>
  <c r="C21" i="1"/>
  <c r="B21" i="1"/>
  <c r="C20" i="1"/>
  <c r="B20" i="1"/>
  <c r="G11" i="1"/>
  <c r="G12" i="1"/>
  <c r="G13" i="1"/>
  <c r="G14" i="1"/>
  <c r="G15" i="1"/>
  <c r="G10" i="1"/>
  <c r="F11" i="1"/>
  <c r="F12" i="1"/>
  <c r="F13" i="1"/>
  <c r="F14" i="1"/>
  <c r="F15" i="1"/>
  <c r="F10" i="1"/>
  <c r="E11" i="1"/>
  <c r="E12" i="1"/>
  <c r="E13" i="1"/>
  <c r="E14" i="1"/>
  <c r="E15" i="1"/>
  <c r="E10" i="1"/>
  <c r="C11" i="1"/>
  <c r="C12" i="1"/>
  <c r="C13" i="1"/>
  <c r="C14" i="1"/>
  <c r="C15" i="1"/>
  <c r="C10" i="1"/>
  <c r="B5" i="1"/>
  <c r="B4" i="1"/>
</calcChain>
</file>

<file path=xl/sharedStrings.xml><?xml version="1.0" encoding="utf-8"?>
<sst xmlns="http://schemas.openxmlformats.org/spreadsheetml/2006/main" count="41" uniqueCount="39">
  <si>
    <t>Rating</t>
  </si>
  <si>
    <t>Bonus</t>
  </si>
  <si>
    <t>Rating Bonus</t>
  </si>
  <si>
    <t>Today:</t>
  </si>
  <si>
    <t>Bonus Data</t>
  </si>
  <si>
    <t>Inputs and Constants</t>
  </si>
  <si>
    <t>Current Salary</t>
  </si>
  <si>
    <t>Lockridge Marketing Analytics</t>
  </si>
  <si>
    <t>Statistics</t>
  </si>
  <si>
    <t>Survey Code</t>
  </si>
  <si>
    <t>Survey Score</t>
  </si>
  <si>
    <t>Monthly Salary</t>
  </si>
  <si>
    <t>Monthly Take Home</t>
  </si>
  <si>
    <t>Lowest Bonus</t>
  </si>
  <si>
    <t>Average Bonus</t>
  </si>
  <si>
    <t>Highest Bonus</t>
  </si>
  <si>
    <t>Employees Surveyed</t>
  </si>
  <si>
    <t>Bonus Payment</t>
  </si>
  <si>
    <t>Code</t>
  </si>
  <si>
    <t>Employee</t>
  </si>
  <si>
    <t>John</t>
  </si>
  <si>
    <t>Ann</t>
  </si>
  <si>
    <t>Meggan</t>
  </si>
  <si>
    <t>Bruce</t>
  </si>
  <si>
    <t>Tara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</si>
  <si>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</si>
  <si>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</si>
  <si>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</si>
  <si>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</si>
  <si>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</si>
  <si>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</si>
  <si>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</si>
  <si>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</si>
  <si>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</si>
  <si>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</si>
  <si>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</si>
  <si>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Eric</t>
  </si>
  <si>
    <t>January</t>
  </si>
  <si>
    <t>Sparkline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</si>
</sst>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6"/>
      <color theme="6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2" fillId="0" borderId="0" xfId="0" applyFont="1"/>
    <xf numFmtId="9" fontId="0" fillId="0" borderId="0" xfId="0" applyNumberFormat="1"/>
    <xf numFmtId="0" fontId="2" fillId="0" borderId="0" xfId="0" applyFon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wrapText="1"/>
    </xf>
    <xf numFmtId="0" fontId="2" fillId="0" borderId="0" xfId="0" applyFont="1" applyFill="1" applyAlignment="1">
      <alignment horizontal="left"/>
    </xf>
    <xf numFmtId="0" fontId="0" fillId="0" borderId="0" xfId="0" applyNumberFormat="1"/>
    <xf numFmtId="0" fontId="2" fillId="0" borderId="0" xfId="0" applyFont="1" applyFill="1" applyAlignment="1"/>
    <xf numFmtId="9" fontId="0" fillId="0" borderId="0" xfId="2" applyFont="1"/>
    <xf numFmtId="0" fontId="2" fillId="2" borderId="0" xfId="0" applyFont="1" applyFill="1" applyAlignment="1">
      <alignment horizontal="center" vertical="center" wrapText="1"/>
    </xf>
    <xf numFmtId="0" fontId="0" fillId="0" borderId="1" xfId="0" applyBorder="1"/>
    <xf numFmtId="164" fontId="0" fillId="0" borderId="1" xfId="1" applyNumberFormat="1" applyFont="1" applyBorder="1"/>
    <xf numFmtId="44" fontId="0" fillId="0" borderId="1" xfId="0" applyNumberFormat="1" applyBorder="1"/>
    <xf numFmtId="14" fontId="0" fillId="0" borderId="1" xfId="0" applyNumberFormat="1" applyBorder="1"/>
    <xf numFmtId="9" fontId="0" fillId="0" borderId="1" xfId="0" applyNumberFormat="1" applyBorder="1"/>
    <xf numFmtId="9" fontId="0" fillId="0" borderId="1" xfId="1" applyNumberFormat="1" applyFont="1" applyBorder="1"/>
    <xf numFmtId="44" fontId="0" fillId="0" borderId="1" xfId="1" applyNumberFormat="1" applyFont="1" applyBorder="1"/>
    <xf numFmtId="0" fontId="2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9" fontId="0" fillId="0" borderId="1" xfId="1" applyNumberFormat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'2020 Survey'!$C$2:$N$2</c:f>
              <c:numCache>
                <c:formatCode>_("$"* #,##0.00_);_("$"* \(#,##0.00\);_("$"* "-"??_);_(@_)</c:formatCode>
                <c:ptCount val="12"/>
                <c:pt idx="0">
                  <c:v>78.010000000000005</c:v>
                </c:pt>
                <c:pt idx="1">
                  <c:v>79.41</c:v>
                </c:pt>
                <c:pt idx="2">
                  <c:v>79.010000000000005</c:v>
                </c:pt>
                <c:pt idx="3">
                  <c:v>76.539999999999992</c:v>
                </c:pt>
                <c:pt idx="4">
                  <c:v>80.099999999999994</c:v>
                </c:pt>
                <c:pt idx="5">
                  <c:v>82.78</c:v>
                </c:pt>
                <c:pt idx="6">
                  <c:v>84.01</c:v>
                </c:pt>
                <c:pt idx="7">
                  <c:v>80.210000000000008</c:v>
                </c:pt>
                <c:pt idx="8">
                  <c:v>78.14</c:v>
                </c:pt>
                <c:pt idx="9">
                  <c:v>78.989999999999995</c:v>
                </c:pt>
                <c:pt idx="10">
                  <c:v>85.210000000000008</c:v>
                </c:pt>
                <c:pt idx="11">
                  <c:v>89.210000000000008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C-49B6-9C4F-CF7312AE86B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'2020 Survey'!$C$3:$N$3</c:f>
              <c:numCache>
                <c:formatCode>_("$"* #,##0.00_);_("$"* \(#,##0.00\);_("$"* "-"??_);_(@_)</c:formatCode>
                <c:ptCount val="12"/>
                <c:pt idx="0">
                  <c:v>69.12</c:v>
                </c:pt>
                <c:pt idx="1">
                  <c:v>71.319999999999993</c:v>
                </c:pt>
                <c:pt idx="2">
                  <c:v>73.55</c:v>
                </c:pt>
                <c:pt idx="3">
                  <c:v>73.53</c:v>
                </c:pt>
                <c:pt idx="4">
                  <c:v>71.209999999999994</c:v>
                </c:pt>
                <c:pt idx="5">
                  <c:v>70.11</c:v>
                </c:pt>
                <c:pt idx="6">
                  <c:v>71.209999999999994</c:v>
                </c:pt>
                <c:pt idx="7">
                  <c:v>72.66</c:v>
                </c:pt>
                <c:pt idx="8">
                  <c:v>74.209999999999994</c:v>
                </c:pt>
                <c:pt idx="9">
                  <c:v>75.22</c:v>
                </c:pt>
                <c:pt idx="10">
                  <c:v>76.210000000000008</c:v>
                </c:pt>
                <c:pt idx="11">
                  <c:v>74.650000000000006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EC-49B6-9C4F-CF7312AE8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7596352"/>
        <c:axId val="1327597600"/>
      </c:lineChart>
      <c:catAx>
        <c:axId val="132759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597600"/>
        <c:crosses val="autoZero"/>
        <c:auto val="1"/>
        <c:lblAlgn val="ctr"/>
        <c:lblOffset val="100"/>
        <c:noMultiLvlLbl val="0"/>
      </c:catAx>
      <c:valAx>
        <c:axId val="1327597600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5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95CEE41-1D0B-4501-B3D5-EEE0267ABF62}">
  <sheetPr/>
  <sheetViews>
    <sheetView zoomScale="7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87" cy="629392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1F6BAA-2E52-4D23-809D-2D9C0570D30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opLeftCell="A11" zoomScale="115" workbookViewId="0">
      <selection activeCell="G19" sqref="G19"/>
    </sheetView>
  </sheetViews>
  <sheetFormatPr defaultColWidth="8.796875" defaultRowHeight="15.6" x14ac:dyDescent="0.3"/>
  <cols>
    <col min="1" max="1" width="19.19921875" bestFit="1" customWidth="1"/>
    <col min="2" max="2" width="11.796875" bestFit="1" customWidth="1"/>
    <col min="3" max="3" width="11.796875" customWidth="1"/>
    <col min="4" max="4" width="10" customWidth="1"/>
    <col min="5" max="5" width="12.5" bestFit="1" customWidth="1"/>
    <col min="6" max="6" width="12" customWidth="1"/>
    <col min="7" max="7" width="11.19921875" bestFit="1" customWidth="1"/>
  </cols>
  <sheetData>
    <row r="1" spans="1:7" ht="33.6" x14ac:dyDescent="0.65">
      <c r="A1" s="28" t="s">
        <v>7</v>
      </c>
      <c r="B1" s="28"/>
      <c r="C1" s="28"/>
      <c r="D1" s="28"/>
      <c r="E1" s="28"/>
      <c r="F1" s="28"/>
      <c r="G1" s="28"/>
    </row>
    <row r="3" spans="1:7" x14ac:dyDescent="0.3">
      <c r="A3" s="8" t="s">
        <v>5</v>
      </c>
      <c r="B3" s="8"/>
      <c r="C3" s="10"/>
      <c r="D3" s="29" t="s">
        <v>4</v>
      </c>
      <c r="E3" s="29"/>
      <c r="F3" s="29"/>
      <c r="G3" s="29"/>
    </row>
    <row r="4" spans="1:7" x14ac:dyDescent="0.3">
      <c r="A4" t="s">
        <v>3</v>
      </c>
      <c r="B4" s="18">
        <f ca="1">TODAY()</f>
        <v>45969</v>
      </c>
      <c r="C4" s="1"/>
      <c r="D4" s="4" t="s">
        <v>0</v>
      </c>
      <c r="E4">
        <v>1</v>
      </c>
      <c r="F4">
        <v>3</v>
      </c>
      <c r="G4">
        <v>4</v>
      </c>
    </row>
    <row r="5" spans="1:7" x14ac:dyDescent="0.3">
      <c r="A5" t="s">
        <v>16</v>
      </c>
      <c r="B5" s="15">
        <f>COUNT(A10:A15)</f>
        <v>6</v>
      </c>
      <c r="D5" s="7" t="s">
        <v>1</v>
      </c>
      <c r="E5" s="3">
        <v>0</v>
      </c>
      <c r="F5" s="13">
        <v>0.02</v>
      </c>
      <c r="G5" s="3">
        <v>0.05</v>
      </c>
    </row>
    <row r="6" spans="1:7" x14ac:dyDescent="0.3">
      <c r="A6" s="1"/>
      <c r="F6" s="3"/>
    </row>
    <row r="7" spans="1:7" x14ac:dyDescent="0.3">
      <c r="A7" s="1"/>
      <c r="F7" s="3"/>
    </row>
    <row r="9" spans="1:7" ht="31.2" x14ac:dyDescent="0.3">
      <c r="A9" s="14" t="s">
        <v>9</v>
      </c>
      <c r="B9" s="9" t="s">
        <v>6</v>
      </c>
      <c r="C9" s="9" t="s">
        <v>11</v>
      </c>
      <c r="D9" s="9" t="s">
        <v>10</v>
      </c>
      <c r="E9" s="14" t="s">
        <v>2</v>
      </c>
      <c r="F9" s="9" t="s">
        <v>17</v>
      </c>
      <c r="G9" s="9" t="s">
        <v>12</v>
      </c>
    </row>
    <row r="10" spans="1:7" x14ac:dyDescent="0.3">
      <c r="A10" s="11">
        <v>38078</v>
      </c>
      <c r="B10" s="5">
        <v>50000</v>
      </c>
      <c r="C10" s="16">
        <f>B10/12</f>
        <v>4166.666666666667</v>
      </c>
      <c r="D10">
        <v>5</v>
      </c>
      <c r="E10" s="30">
        <f>HLOOKUP(D10,$E$4:$G$5,2)</f>
        <v>0.05</v>
      </c>
      <c r="F10" s="21">
        <f>C10*E10</f>
        <v>208.33333333333337</v>
      </c>
      <c r="G10" s="17">
        <f>C10+F10</f>
        <v>4375</v>
      </c>
    </row>
    <row r="11" spans="1:7" x14ac:dyDescent="0.3">
      <c r="A11" s="11">
        <v>41105</v>
      </c>
      <c r="B11" s="5">
        <v>75250</v>
      </c>
      <c r="C11" s="16">
        <f t="shared" ref="C11:C15" si="0">B11/12</f>
        <v>6270.833333333333</v>
      </c>
      <c r="D11">
        <v>3.5</v>
      </c>
      <c r="E11" s="30">
        <f t="shared" ref="E11:E15" si="1">HLOOKUP(D11,$E$4:$G$5,2)</f>
        <v>0.02</v>
      </c>
      <c r="F11" s="21">
        <f t="shared" ref="F11:F15" si="2">C11*E11</f>
        <v>125.41666666666666</v>
      </c>
      <c r="G11" s="17">
        <f t="shared" ref="G11:G15" si="3">C11+F11</f>
        <v>6396.25</v>
      </c>
    </row>
    <row r="12" spans="1:7" x14ac:dyDescent="0.3">
      <c r="A12" s="11">
        <v>39752</v>
      </c>
      <c r="B12" s="5">
        <v>67250</v>
      </c>
      <c r="C12" s="16">
        <f t="shared" si="0"/>
        <v>5604.166666666667</v>
      </c>
      <c r="D12">
        <v>4.2</v>
      </c>
      <c r="E12" s="30">
        <f t="shared" si="1"/>
        <v>0.05</v>
      </c>
      <c r="F12" s="21">
        <f t="shared" si="2"/>
        <v>280.20833333333337</v>
      </c>
      <c r="G12" s="17">
        <f t="shared" si="3"/>
        <v>5884.375</v>
      </c>
    </row>
    <row r="13" spans="1:7" x14ac:dyDescent="0.3">
      <c r="A13" s="11">
        <v>37872</v>
      </c>
      <c r="B13" s="5">
        <v>45980</v>
      </c>
      <c r="C13" s="16">
        <f t="shared" si="0"/>
        <v>3831.6666666666665</v>
      </c>
      <c r="D13">
        <v>3</v>
      </c>
      <c r="E13" s="30">
        <f t="shared" si="1"/>
        <v>0.02</v>
      </c>
      <c r="F13" s="21">
        <f t="shared" si="2"/>
        <v>76.633333333333326</v>
      </c>
      <c r="G13" s="17">
        <f t="shared" si="3"/>
        <v>3908.2999999999997</v>
      </c>
    </row>
    <row r="14" spans="1:7" x14ac:dyDescent="0.3">
      <c r="A14" s="11">
        <v>40616</v>
      </c>
      <c r="B14" s="5">
        <v>58750</v>
      </c>
      <c r="C14" s="16">
        <f t="shared" si="0"/>
        <v>4895.833333333333</v>
      </c>
      <c r="D14">
        <v>4.2</v>
      </c>
      <c r="E14" s="30">
        <f t="shared" si="1"/>
        <v>0.05</v>
      </c>
      <c r="F14" s="21">
        <f t="shared" si="2"/>
        <v>244.79166666666666</v>
      </c>
      <c r="G14" s="17">
        <f t="shared" si="3"/>
        <v>5140.625</v>
      </c>
    </row>
    <row r="15" spans="1:7" x14ac:dyDescent="0.3">
      <c r="A15" s="11">
        <v>40347</v>
      </c>
      <c r="B15" s="5">
        <v>61000</v>
      </c>
      <c r="C15" s="16">
        <f t="shared" si="0"/>
        <v>5083.333333333333</v>
      </c>
      <c r="D15">
        <v>4.5</v>
      </c>
      <c r="E15" s="30">
        <f t="shared" si="1"/>
        <v>0.05</v>
      </c>
      <c r="F15" s="21">
        <f t="shared" si="2"/>
        <v>254.16666666666666</v>
      </c>
      <c r="G15" s="17">
        <f t="shared" si="3"/>
        <v>5337.5</v>
      </c>
    </row>
    <row r="18" spans="1:6" x14ac:dyDescent="0.3">
      <c r="A18" s="29" t="s">
        <v>8</v>
      </c>
      <c r="B18" s="29"/>
      <c r="C18" s="29"/>
      <c r="E18" s="12"/>
      <c r="F18" s="12"/>
    </row>
    <row r="19" spans="1:6" ht="31.2" x14ac:dyDescent="0.3">
      <c r="B19" s="14" t="s">
        <v>2</v>
      </c>
      <c r="C19" s="9" t="s">
        <v>17</v>
      </c>
    </row>
    <row r="20" spans="1:6" x14ac:dyDescent="0.3">
      <c r="A20" t="s">
        <v>13</v>
      </c>
      <c r="B20" s="19">
        <f>MIN(E10:E15)</f>
        <v>0.02</v>
      </c>
      <c r="C20" s="17">
        <f>MIN(F10:F15)</f>
        <v>76.633333333333326</v>
      </c>
    </row>
    <row r="21" spans="1:6" x14ac:dyDescent="0.3">
      <c r="A21" t="s">
        <v>14</v>
      </c>
      <c r="B21" s="19">
        <f>AVERAGE(E10:E15)</f>
        <v>0.04</v>
      </c>
      <c r="C21" s="17">
        <f>AVERAGE(F10:F15)</f>
        <v>198.25833333333333</v>
      </c>
    </row>
    <row r="22" spans="1:6" x14ac:dyDescent="0.3">
      <c r="A22" t="s">
        <v>15</v>
      </c>
      <c r="B22" s="20">
        <f>MAX(E10:E15)</f>
        <v>0.05</v>
      </c>
      <c r="C22" s="21">
        <f>MAX(F10:F15)</f>
        <v>280.20833333333337</v>
      </c>
    </row>
    <row r="23" spans="1:6" x14ac:dyDescent="0.3">
      <c r="A23" s="6"/>
      <c r="B23" s="5"/>
      <c r="C23" s="5"/>
    </row>
    <row r="24" spans="1:6" x14ac:dyDescent="0.3">
      <c r="A24" s="6"/>
      <c r="B24" s="5"/>
      <c r="C24" s="5"/>
    </row>
    <row r="26" spans="1:6" x14ac:dyDescent="0.3">
      <c r="A26" s="2"/>
      <c r="B26" s="2"/>
      <c r="C26" s="2"/>
    </row>
  </sheetData>
  <mergeCells count="3">
    <mergeCell ref="A1:G1"/>
    <mergeCell ref="D3:G3"/>
    <mergeCell ref="A18:C18"/>
  </mergeCells>
  <printOptions headings="1" gridLines="1"/>
  <pageMargins left="0.2" right="0.2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E350-9E69-F947-AEA5-4CE7AD5C4494}">
  <dimension ref="A1:O17"/>
  <sheetViews>
    <sheetView tabSelected="1" workbookViewId="0">
      <selection activeCell="O2" sqref="O2"/>
    </sheetView>
  </sheetViews>
  <sheetFormatPr defaultColWidth="11.19921875" defaultRowHeight="15.6" x14ac:dyDescent="0.3"/>
  <cols>
    <col min="1" max="1" width="15" bestFit="1" customWidth="1"/>
    <col min="2" max="14" width="10.796875" style="25"/>
    <col min="15" max="15" width="21.69921875" style="25" customWidth="1"/>
  </cols>
  <sheetData>
    <row r="1" spans="1:15" s="2" customFormat="1" x14ac:dyDescent="0.3">
      <c r="A1" s="2" t="s">
        <v>19</v>
      </c>
      <c r="B1" s="22" t="s">
        <v>18</v>
      </c>
      <c r="C1" s="22" t="s">
        <v>37</v>
      </c>
      <c r="D1" s="22" t="s">
        <v>25</v>
      </c>
      <c r="E1" s="22" t="s">
        <v>26</v>
      </c>
      <c r="F1" s="22" t="s">
        <v>27</v>
      </c>
      <c r="G1" s="22" t="s">
        <v>28</v>
      </c>
      <c r="H1" s="22" t="s">
        <v>29</v>
      </c>
      <c r="I1" s="22" t="s">
        <v>30</v>
      </c>
      <c r="J1" s="22" t="s">
        <v>31</v>
      </c>
      <c r="K1" s="22" t="s">
        <v>32</v>
      </c>
      <c r="L1" s="22" t="s">
        <v>33</v>
      </c>
      <c r="M1" s="22" t="s">
        <v>34</v>
      </c>
      <c r="N1" s="22" t="s">
        <v>35</v>
      </c>
      <c r="O1" s="27" t="s">
        <v>38</v>
      </c>
    </row>
    <row r="2" spans="1:15" x14ac:dyDescent="0.3">
      <c r="A2" s="2" t="s">
        <v>20</v>
      </c>
      <c r="B2" s="23">
        <v>38078</v>
      </c>
      <c r="C2" s="24">
        <v>78.010000000000005</v>
      </c>
      <c r="D2" s="24">
        <v>79.41</v>
      </c>
      <c r="E2" s="24">
        <v>79.010000000000005</v>
      </c>
      <c r="F2" s="24">
        <v>76.539999999999992</v>
      </c>
      <c r="G2" s="24">
        <v>80.099999999999994</v>
      </c>
      <c r="H2" s="24">
        <v>82.78</v>
      </c>
      <c r="I2" s="24">
        <v>84.01</v>
      </c>
      <c r="J2" s="24">
        <v>80.210000000000008</v>
      </c>
      <c r="K2" s="24">
        <v>78.14</v>
      </c>
      <c r="L2" s="24">
        <v>78.989999999999995</v>
      </c>
      <c r="M2" s="24">
        <v>85.210000000000008</v>
      </c>
      <c r="N2" s="24">
        <v>89.210000000000008</v>
      </c>
    </row>
    <row r="3" spans="1:15" x14ac:dyDescent="0.3">
      <c r="A3" s="2" t="s">
        <v>21</v>
      </c>
      <c r="B3" s="23">
        <v>41105</v>
      </c>
      <c r="C3" s="24">
        <v>69.12</v>
      </c>
      <c r="D3" s="24">
        <v>71.319999999999993</v>
      </c>
      <c r="E3" s="24">
        <v>73.55</v>
      </c>
      <c r="F3" s="24">
        <v>73.53</v>
      </c>
      <c r="G3" s="24">
        <v>71.209999999999994</v>
      </c>
      <c r="H3" s="24">
        <v>70.11</v>
      </c>
      <c r="I3" s="24">
        <v>71.209999999999994</v>
      </c>
      <c r="J3" s="24">
        <v>72.66</v>
      </c>
      <c r="K3" s="24">
        <v>74.209999999999994</v>
      </c>
      <c r="L3" s="24">
        <v>75.22</v>
      </c>
      <c r="M3" s="24">
        <v>76.210000000000008</v>
      </c>
      <c r="N3" s="24">
        <v>74.650000000000006</v>
      </c>
    </row>
    <row r="4" spans="1:15" x14ac:dyDescent="0.3">
      <c r="A4" s="2" t="s">
        <v>22</v>
      </c>
      <c r="B4" s="23">
        <v>39752</v>
      </c>
      <c r="C4" s="24">
        <v>87</v>
      </c>
      <c r="D4" s="24">
        <v>81.78</v>
      </c>
      <c r="E4" s="24">
        <v>77.010000000000005</v>
      </c>
      <c r="F4" s="24">
        <v>75.2</v>
      </c>
      <c r="G4" s="24">
        <v>78.099999999999994</v>
      </c>
      <c r="H4" s="24">
        <v>81.010000000000005</v>
      </c>
      <c r="I4" s="24">
        <v>81.66</v>
      </c>
      <c r="J4" s="24">
        <v>85.210000000000008</v>
      </c>
      <c r="K4" s="24">
        <v>81.2</v>
      </c>
      <c r="L4" s="24">
        <v>85.2</v>
      </c>
      <c r="M4" s="24">
        <v>88.11</v>
      </c>
      <c r="N4" s="24">
        <v>91.1</v>
      </c>
    </row>
    <row r="5" spans="1:15" x14ac:dyDescent="0.3">
      <c r="A5" s="2" t="s">
        <v>23</v>
      </c>
      <c r="B5" s="23">
        <v>37872</v>
      </c>
      <c r="C5" s="24">
        <v>77.36</v>
      </c>
      <c r="D5" s="24">
        <v>73.12</v>
      </c>
      <c r="E5" s="24">
        <v>74.02</v>
      </c>
      <c r="F5" s="24">
        <v>75.38</v>
      </c>
      <c r="G5" s="24">
        <v>76.010000000000005</v>
      </c>
      <c r="H5" s="24">
        <v>78.150000000000006</v>
      </c>
      <c r="I5" s="24">
        <v>81</v>
      </c>
      <c r="J5" s="24">
        <v>83.87</v>
      </c>
      <c r="K5" s="24">
        <v>85.01</v>
      </c>
      <c r="L5" s="24">
        <v>84.210000000000008</v>
      </c>
      <c r="M5" s="24">
        <v>82.07</v>
      </c>
      <c r="N5" s="24">
        <v>78.36</v>
      </c>
    </row>
    <row r="6" spans="1:15" x14ac:dyDescent="0.3">
      <c r="A6" s="2" t="s">
        <v>24</v>
      </c>
      <c r="B6" s="23">
        <v>40616</v>
      </c>
      <c r="C6" s="24">
        <v>69.12</v>
      </c>
      <c r="D6" s="24">
        <v>70.099999999999994</v>
      </c>
      <c r="E6" s="24">
        <v>71.14</v>
      </c>
      <c r="F6" s="24">
        <v>72.58</v>
      </c>
      <c r="G6" s="24">
        <v>73.45</v>
      </c>
      <c r="H6" s="24">
        <v>74.12</v>
      </c>
      <c r="I6" s="24">
        <v>72.209999999999994</v>
      </c>
      <c r="J6" s="24">
        <v>70.52</v>
      </c>
      <c r="K6" s="24">
        <v>71.09</v>
      </c>
      <c r="L6" s="24">
        <v>73.02</v>
      </c>
      <c r="M6" s="24">
        <v>72.31</v>
      </c>
      <c r="N6" s="24">
        <v>71.47</v>
      </c>
    </row>
    <row r="7" spans="1:15" x14ac:dyDescent="0.3">
      <c r="A7" s="2" t="s">
        <v>36</v>
      </c>
      <c r="B7" s="23">
        <v>40347</v>
      </c>
      <c r="C7" s="24">
        <v>80.12</v>
      </c>
      <c r="D7" s="24">
        <v>82.24</v>
      </c>
      <c r="E7" s="24">
        <v>85.31</v>
      </c>
      <c r="F7" s="24">
        <v>89.539999999999992</v>
      </c>
      <c r="G7" s="24">
        <v>90.65</v>
      </c>
      <c r="H7" s="24">
        <v>93.210000000000008</v>
      </c>
      <c r="I7" s="24">
        <v>98.08</v>
      </c>
      <c r="J7" s="24">
        <v>103.53999999999999</v>
      </c>
      <c r="K7" s="24">
        <v>106.96000000000001</v>
      </c>
      <c r="L7" s="24">
        <v>110.06</v>
      </c>
      <c r="M7" s="24">
        <v>115.32</v>
      </c>
      <c r="N7" s="24">
        <v>122.32</v>
      </c>
    </row>
    <row r="10" spans="1:15" x14ac:dyDescent="0.3"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</row>
    <row r="11" spans="1:15" x14ac:dyDescent="0.3"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</row>
    <row r="12" spans="1:15" x14ac:dyDescent="0.3"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</row>
    <row r="13" spans="1:15" x14ac:dyDescent="0.3"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</row>
    <row r="14" spans="1:15" x14ac:dyDescent="0.3"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</row>
    <row r="15" spans="1:15" x14ac:dyDescent="0.3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16" spans="1:15" x14ac:dyDescent="0.3">
      <c r="C16" s="26"/>
    </row>
    <row r="17" spans="3:3" x14ac:dyDescent="0.3">
      <c r="C17" s="26"/>
    </row>
  </sheetData>
  <conditionalFormatting sqref="C2:N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span" high="1" xr2:uid="{987EE5FA-1C49-4F4A-B540-FA4B62336C9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'2020 Survey'!C2:N2</xm:f>
              <xm:sqref>O2</xm:sqref>
            </x14:sparkline>
            <x14:sparkline>
              <xm:f>'2020 Survey'!C3:N3</xm:f>
              <xm:sqref>O3</xm:sqref>
            </x14:sparkline>
            <x14:sparkline>
              <xm:f>'2020 Survey'!C4:N4</xm:f>
              <xm:sqref>O4</xm:sqref>
            </x14:sparkline>
            <x14:sparkline>
              <xm:f>'2020 Survey'!C5:N5</xm:f>
              <xm:sqref>O5</xm:sqref>
            </x14:sparkline>
            <x14:sparkline>
              <xm:f>'2020 Survey'!C6:N6</xm:f>
              <xm:sqref>O6</xm:sqref>
            </x14:sparkline>
            <x14:sparkline>
              <xm:f>'2020 Survey'!C7:N7</xm:f>
              <xm:sqref>O7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2021 Survey</vt:lpstr>
      <vt:lpstr>2020 Survey</vt:lpstr>
      <vt:lpstr>Bonus 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Exploring Series</dc:creator>
  <cp:lastModifiedBy>Soham Satpute</cp:lastModifiedBy>
  <cp:lastPrinted>2009-04-27T22:12:48Z</cp:lastPrinted>
  <dcterms:created xsi:type="dcterms:W3CDTF">2009-04-27T21:18:37Z</dcterms:created>
  <dcterms:modified xsi:type="dcterms:W3CDTF">2025-11-08T15:59:22Z</dcterms:modified>
</cp:coreProperties>
</file>