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# Rutgers\Academic Fall 2025\Mgmt Info Sys\Homework\Homework 5\"/>
    </mc:Choice>
  </mc:AlternateContent>
  <xr:revisionPtr revIDLastSave="0" documentId="13_ncr:1_{792E7F8E-7627-4424-A165-13D9F28E94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etails" sheetId="1" r:id="rId1"/>
    <sheet name="Payment 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" i="2" l="1"/>
  <c r="E11" i="2"/>
  <c r="E12" i="2"/>
  <c r="E13" i="2"/>
  <c r="I13" i="2" s="1"/>
  <c r="E9" i="2"/>
  <c r="I9" i="2" s="1"/>
  <c r="I10" i="2"/>
  <c r="I11" i="2"/>
  <c r="I12" i="2"/>
  <c r="G9" i="2"/>
  <c r="B4" i="1"/>
  <c r="C16" i="1"/>
  <c r="D16" i="1"/>
  <c r="C17" i="1"/>
  <c r="C18" i="1"/>
  <c r="D18" i="1"/>
  <c r="C19" i="1"/>
  <c r="C20" i="1"/>
  <c r="D20" i="1"/>
  <c r="C21" i="1"/>
  <c r="B21" i="1"/>
  <c r="B20" i="1"/>
  <c r="B19" i="1"/>
  <c r="B18" i="1"/>
  <c r="B17" i="1"/>
  <c r="B16" i="1"/>
  <c r="F8" i="1"/>
  <c r="F9" i="1"/>
  <c r="F10" i="1"/>
  <c r="F11" i="1"/>
  <c r="F12" i="1"/>
  <c r="H12" i="1"/>
  <c r="H11" i="1"/>
  <c r="L11" i="1" s="1"/>
  <c r="H10" i="1"/>
  <c r="L10" i="1" s="1"/>
  <c r="H9" i="1"/>
  <c r="H8" i="1"/>
  <c r="D9" i="1"/>
  <c r="I9" i="1" s="1"/>
  <c r="D10" i="1"/>
  <c r="I10" i="1" s="1"/>
  <c r="D11" i="1"/>
  <c r="I11" i="1" s="1"/>
  <c r="D12" i="1"/>
  <c r="I12" i="1" s="1"/>
  <c r="G13" i="2"/>
  <c r="G12" i="2"/>
  <c r="G11" i="2"/>
  <c r="G10" i="2"/>
  <c r="K9" i="1"/>
  <c r="K10" i="1"/>
  <c r="K11" i="1"/>
  <c r="K12" i="1"/>
  <c r="K8" i="1"/>
  <c r="B4" i="2"/>
  <c r="D13" i="2"/>
  <c r="D12" i="2"/>
  <c r="D11" i="2"/>
  <c r="D10" i="2"/>
  <c r="D9" i="2"/>
  <c r="C8" i="1"/>
  <c r="D8" i="1" s="1"/>
  <c r="D19" i="1" l="1"/>
  <c r="D21" i="1"/>
  <c r="D17" i="1"/>
  <c r="L12" i="1"/>
  <c r="I8" i="1"/>
  <c r="L8" i="1"/>
  <c r="L9" i="1"/>
</calcChain>
</file>

<file path=xl/sharedStrings.xml><?xml version="1.0" encoding="utf-8"?>
<sst xmlns="http://schemas.openxmlformats.org/spreadsheetml/2006/main" count="44" uniqueCount="31">
  <si>
    <t>House Cost</t>
  </si>
  <si>
    <t>Down Payment</t>
  </si>
  <si>
    <t>Amount Financed</t>
  </si>
  <si>
    <t>APR</t>
  </si>
  <si>
    <t>Rate Per Period</t>
  </si>
  <si>
    <t>Years</t>
  </si>
  <si>
    <t>% Financed</t>
  </si>
  <si>
    <t>Date Financed</t>
  </si>
  <si>
    <t>Payoff Year</t>
  </si>
  <si>
    <t>Monthly Payment</t>
  </si>
  <si>
    <t>Monthly PMI</t>
  </si>
  <si>
    <t>Rate</t>
  </si>
  <si>
    <t>Mortgage Rate</t>
  </si>
  <si>
    <t>Loan #</t>
  </si>
  <si>
    <t>Total</t>
  </si>
  <si>
    <t>Average</t>
  </si>
  <si>
    <t>Median</t>
  </si>
  <si>
    <t>Lowest</t>
  </si>
  <si>
    <t>Highest</t>
  </si>
  <si>
    <t>Today's Date:</t>
  </si>
  <si>
    <t>Summary Statistics</t>
  </si>
  <si>
    <t>PMI Rate:</t>
  </si>
  <si>
    <t># of Pmt Periods</t>
  </si>
  <si>
    <t>Down Pmt Rate:</t>
  </si>
  <si>
    <t>% Down</t>
  </si>
  <si>
    <t># Pmts Per Year:</t>
  </si>
  <si>
    <t>Input Area</t>
  </si>
  <si>
    <t>Pmts Per Year:</t>
  </si>
  <si>
    <t># of Mortgages</t>
  </si>
  <si>
    <t>Townsend Mortgage Company</t>
  </si>
  <si>
    <t>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</si>
</sst>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00%"/>
    <numFmt numFmtId="166" formatCode="0.0%"/>
    <numFmt numFmtId="167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theme="7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1" applyNumberFormat="1" applyFont="1"/>
    <xf numFmtId="165" fontId="0" fillId="0" borderId="0" xfId="2" applyNumberFormat="1" applyFont="1"/>
    <xf numFmtId="165" fontId="0" fillId="0" borderId="0" xfId="0" applyNumberFormat="1"/>
    <xf numFmtId="164" fontId="0" fillId="0" borderId="0" xfId="1" applyNumberFormat="1" applyFont="1" applyFill="1"/>
    <xf numFmtId="166" fontId="0" fillId="0" borderId="0" xfId="0" applyNumberFormat="1"/>
    <xf numFmtId="10" fontId="0" fillId="0" borderId="0" xfId="0" applyNumberFormat="1"/>
    <xf numFmtId="0" fontId="4" fillId="0" borderId="0" xfId="0" applyFont="1"/>
    <xf numFmtId="14" fontId="0" fillId="3" borderId="0" xfId="0" applyNumberFormat="1" applyFill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164" fontId="0" fillId="3" borderId="0" xfId="1" applyNumberFormat="1" applyFont="1" applyFill="1"/>
    <xf numFmtId="165" fontId="0" fillId="3" borderId="0" xfId="2" applyNumberFormat="1" applyFont="1" applyFill="1"/>
    <xf numFmtId="0" fontId="0" fillId="3" borderId="0" xfId="0" applyFill="1" applyAlignment="1">
      <alignment horizontal="center"/>
    </xf>
    <xf numFmtId="166" fontId="0" fillId="3" borderId="0" xfId="2" applyNumberFormat="1" applyFont="1" applyFill="1"/>
    <xf numFmtId="164" fontId="0" fillId="3" borderId="0" xfId="0" applyNumberFormat="1" applyFill="1"/>
    <xf numFmtId="167" fontId="0" fillId="3" borderId="0" xfId="3" applyNumberFormat="1" applyFont="1" applyFill="1"/>
    <xf numFmtId="0" fontId="5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wrapText="1"/>
    </xf>
    <xf numFmtId="44" fontId="0" fillId="3" borderId="0" xfId="1" applyFont="1" applyFill="1"/>
    <xf numFmtId="166" fontId="0" fillId="0" borderId="0" xfId="2" applyNumberFormat="1" applyFont="1" applyFill="1"/>
    <xf numFmtId="8" fontId="0" fillId="3" borderId="0" xfId="1" applyNumberFormat="1" applyFont="1" applyFill="1"/>
    <xf numFmtId="8" fontId="0" fillId="0" borderId="0" xfId="0" applyNumberFormat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"/>
  <sheetViews>
    <sheetView zoomScale="171" zoomScaleNormal="100" workbookViewId="0">
      <selection activeCell="B5" sqref="B5"/>
    </sheetView>
  </sheetViews>
  <sheetFormatPr defaultColWidth="8.77734375" defaultRowHeight="14.4" x14ac:dyDescent="0.3"/>
  <cols>
    <col min="1" max="1" width="14" customWidth="1"/>
    <col min="2" max="2" width="13.44140625" customWidth="1"/>
    <col min="3" max="3" width="11" customWidth="1"/>
    <col min="4" max="4" width="11.6640625" customWidth="1"/>
    <col min="5" max="6" width="13.33203125" customWidth="1"/>
    <col min="7" max="7" width="8" customWidth="1"/>
    <col min="8" max="8" width="10.44140625" bestFit="1" customWidth="1"/>
    <col min="9" max="9" width="11.33203125" customWidth="1"/>
    <col min="10" max="10" width="11.44140625" customWidth="1"/>
    <col min="11" max="11" width="9.6640625" bestFit="1" customWidth="1"/>
    <col min="12" max="12" width="15.109375" customWidth="1"/>
  </cols>
  <sheetData>
    <row r="1" spans="1:12" ht="23.4" x14ac:dyDescent="0.45">
      <c r="A1" s="22" t="s">
        <v>29</v>
      </c>
    </row>
    <row r="3" spans="1:12" ht="18" x14ac:dyDescent="0.35">
      <c r="A3" s="29" t="s">
        <v>26</v>
      </c>
      <c r="B3" s="29"/>
    </row>
    <row r="4" spans="1:12" x14ac:dyDescent="0.3">
      <c r="A4" t="s">
        <v>19</v>
      </c>
      <c r="B4" s="10">
        <f ca="1">TODAY()</f>
        <v>45957</v>
      </c>
    </row>
    <row r="5" spans="1:12" x14ac:dyDescent="0.3">
      <c r="A5" t="s">
        <v>27</v>
      </c>
      <c r="B5">
        <v>12</v>
      </c>
    </row>
    <row r="7" spans="1:12" ht="37.5" customHeight="1" x14ac:dyDescent="0.35">
      <c r="A7" s="11" t="s">
        <v>13</v>
      </c>
      <c r="B7" s="12" t="s">
        <v>0</v>
      </c>
      <c r="C7" s="12" t="s">
        <v>1</v>
      </c>
      <c r="D7" s="12" t="s">
        <v>2</v>
      </c>
      <c r="E7" s="12" t="s">
        <v>12</v>
      </c>
      <c r="F7" s="12" t="s">
        <v>4</v>
      </c>
      <c r="G7" s="12" t="s">
        <v>5</v>
      </c>
      <c r="H7" s="12" t="s">
        <v>22</v>
      </c>
      <c r="I7" s="12" t="s">
        <v>6</v>
      </c>
      <c r="J7" s="12" t="s">
        <v>7</v>
      </c>
      <c r="K7" s="12" t="s">
        <v>8</v>
      </c>
      <c r="L7" s="12" t="s">
        <v>9</v>
      </c>
    </row>
    <row r="8" spans="1:12" x14ac:dyDescent="0.3">
      <c r="A8" s="2">
        <v>452786</v>
      </c>
      <c r="B8" s="3">
        <v>400000</v>
      </c>
      <c r="C8" s="3">
        <f>B8*0.2</f>
        <v>80000</v>
      </c>
      <c r="D8" s="16">
        <f>B8-C8</f>
        <v>320000</v>
      </c>
      <c r="E8" s="4">
        <v>3.6249999999999998E-2</v>
      </c>
      <c r="F8" s="17">
        <f>E8/$B$5</f>
        <v>3.0208333333333333E-3</v>
      </c>
      <c r="G8" s="2">
        <v>25</v>
      </c>
      <c r="H8" s="18">
        <f>G8*$B$5</f>
        <v>300</v>
      </c>
      <c r="I8" s="26">
        <f>D8/B8</f>
        <v>0.8</v>
      </c>
      <c r="J8" s="1">
        <v>42491</v>
      </c>
      <c r="K8">
        <f>YEAR(J8)+G8</f>
        <v>2041</v>
      </c>
      <c r="L8" s="28">
        <f>PMT(F8,H8,-D8)</f>
        <v>1623.5279635321228</v>
      </c>
    </row>
    <row r="9" spans="1:12" x14ac:dyDescent="0.3">
      <c r="A9" s="2">
        <v>453000</v>
      </c>
      <c r="B9" s="3">
        <v>425000</v>
      </c>
      <c r="C9" s="3">
        <v>60000</v>
      </c>
      <c r="D9" s="16">
        <f t="shared" ref="D9:D12" si="0">B9-C9</f>
        <v>365000</v>
      </c>
      <c r="E9" s="4">
        <v>3.9399999999999998E-2</v>
      </c>
      <c r="F9" s="17">
        <f t="shared" ref="F9:F12" si="1">E9/$B$5</f>
        <v>3.283333333333333E-3</v>
      </c>
      <c r="G9" s="2">
        <v>30</v>
      </c>
      <c r="H9" s="18">
        <f t="shared" ref="H9:H12" si="2">G9*$B$5</f>
        <v>360</v>
      </c>
      <c r="I9" s="26">
        <f>D9/B9</f>
        <v>0.85882352941176465</v>
      </c>
      <c r="J9" s="1">
        <v>42677</v>
      </c>
      <c r="K9">
        <f t="shared" ref="K9:K12" si="3">YEAR(J9)+G9</f>
        <v>2046</v>
      </c>
      <c r="L9" s="28">
        <f>PMT(F9,H9,-D9)</f>
        <v>1729.9638780605737</v>
      </c>
    </row>
    <row r="10" spans="1:12" x14ac:dyDescent="0.3">
      <c r="A10" s="2">
        <v>453025</v>
      </c>
      <c r="B10" s="3">
        <v>175500</v>
      </c>
      <c r="C10" s="3">
        <v>30000</v>
      </c>
      <c r="D10" s="16">
        <f t="shared" si="0"/>
        <v>145500</v>
      </c>
      <c r="E10" s="4">
        <v>3.5499999999999997E-2</v>
      </c>
      <c r="F10" s="17">
        <f t="shared" si="1"/>
        <v>2.9583333333333332E-3</v>
      </c>
      <c r="G10" s="2">
        <v>25</v>
      </c>
      <c r="H10" s="18">
        <f t="shared" si="2"/>
        <v>300</v>
      </c>
      <c r="I10" s="26">
        <f>D10/B10</f>
        <v>0.82905982905982911</v>
      </c>
      <c r="J10" s="1">
        <v>42835</v>
      </c>
      <c r="K10">
        <f t="shared" si="3"/>
        <v>2042</v>
      </c>
      <c r="L10" s="28">
        <f>PMT(F10,H10,-D10)</f>
        <v>732.3148050465536</v>
      </c>
    </row>
    <row r="11" spans="1:12" x14ac:dyDescent="0.3">
      <c r="A11" s="2">
        <v>452600</v>
      </c>
      <c r="B11" s="3">
        <v>265950</v>
      </c>
      <c r="C11" s="3">
        <v>58000</v>
      </c>
      <c r="D11" s="16">
        <f t="shared" si="0"/>
        <v>207950</v>
      </c>
      <c r="E11" s="4">
        <v>2.5000000000000001E-2</v>
      </c>
      <c r="F11" s="17">
        <f t="shared" si="1"/>
        <v>2.0833333333333333E-3</v>
      </c>
      <c r="G11" s="2">
        <v>15</v>
      </c>
      <c r="H11" s="18">
        <f t="shared" si="2"/>
        <v>180</v>
      </c>
      <c r="I11" s="26">
        <f>D11/B11</f>
        <v>0.78191389358902053</v>
      </c>
      <c r="J11" s="1">
        <v>43022</v>
      </c>
      <c r="K11">
        <f t="shared" si="3"/>
        <v>2032</v>
      </c>
      <c r="L11" s="28">
        <f>PMT(F11,H11,-D11)</f>
        <v>1386.5881601341871</v>
      </c>
    </row>
    <row r="12" spans="1:12" x14ac:dyDescent="0.3">
      <c r="A12" s="2">
        <v>452638</v>
      </c>
      <c r="B12" s="3">
        <v>329750</v>
      </c>
      <c r="C12" s="3">
        <v>65000</v>
      </c>
      <c r="D12" s="16">
        <f t="shared" si="0"/>
        <v>264750</v>
      </c>
      <c r="E12" s="4">
        <v>3.2500000000000001E-2</v>
      </c>
      <c r="F12" s="17">
        <f t="shared" si="1"/>
        <v>2.7083333333333334E-3</v>
      </c>
      <c r="G12" s="2">
        <v>30</v>
      </c>
      <c r="H12" s="18">
        <f t="shared" si="2"/>
        <v>360</v>
      </c>
      <c r="I12" s="26">
        <f>D12/B12</f>
        <v>0.80288097043214557</v>
      </c>
      <c r="J12" s="1">
        <v>43135</v>
      </c>
      <c r="K12">
        <f t="shared" si="3"/>
        <v>2048</v>
      </c>
      <c r="L12" s="28">
        <f>PMT(F12,H12,-D12)</f>
        <v>1152.2087297441276</v>
      </c>
    </row>
    <row r="14" spans="1:12" ht="18" x14ac:dyDescent="0.35">
      <c r="A14" s="29" t="s">
        <v>20</v>
      </c>
      <c r="B14" s="29"/>
      <c r="C14" s="29"/>
      <c r="D14" s="29"/>
      <c r="F14" s="28"/>
    </row>
    <row r="15" spans="1:12" ht="38.25" customHeight="1" x14ac:dyDescent="0.35">
      <c r="A15" s="13" t="s">
        <v>30</v>
      </c>
      <c r="B15" s="14" t="s">
        <v>0</v>
      </c>
      <c r="C15" s="14" t="s">
        <v>1</v>
      </c>
      <c r="D15" s="15" t="s">
        <v>2</v>
      </c>
      <c r="E15" s="8"/>
      <c r="F15" s="28"/>
    </row>
    <row r="16" spans="1:12" x14ac:dyDescent="0.3">
      <c r="A16" t="s">
        <v>14</v>
      </c>
      <c r="B16" s="20">
        <f>SUM(B8:B12)</f>
        <v>1596200</v>
      </c>
      <c r="C16" s="20">
        <f t="shared" ref="C16:D16" si="4">SUM(C8:C12)</f>
        <v>293000</v>
      </c>
      <c r="D16" s="20">
        <f t="shared" si="4"/>
        <v>1303200</v>
      </c>
      <c r="E16" s="8"/>
    </row>
    <row r="17" spans="1:5" x14ac:dyDescent="0.3">
      <c r="A17" t="s">
        <v>15</v>
      </c>
      <c r="B17" s="20">
        <f>AVERAGE(B8:B12)</f>
        <v>319240</v>
      </c>
      <c r="C17" s="20">
        <f t="shared" ref="C17:D17" si="5">AVERAGE(C8:C12)</f>
        <v>58600</v>
      </c>
      <c r="D17" s="20">
        <f t="shared" si="5"/>
        <v>260640</v>
      </c>
      <c r="E17" s="8"/>
    </row>
    <row r="18" spans="1:5" x14ac:dyDescent="0.3">
      <c r="A18" t="s">
        <v>16</v>
      </c>
      <c r="B18" s="20">
        <f>MEDIAN(B8:B12)</f>
        <v>329750</v>
      </c>
      <c r="C18" s="20">
        <f t="shared" ref="C18:D18" si="6">MEDIAN(C8:C12)</f>
        <v>60000</v>
      </c>
      <c r="D18" s="20">
        <f t="shared" si="6"/>
        <v>264750</v>
      </c>
      <c r="E18" s="8"/>
    </row>
    <row r="19" spans="1:5" x14ac:dyDescent="0.3">
      <c r="A19" t="s">
        <v>17</v>
      </c>
      <c r="B19" s="20">
        <f>MIN(B8:B12)</f>
        <v>175500</v>
      </c>
      <c r="C19" s="20">
        <f t="shared" ref="C19:D19" si="7">MIN(C8:C12)</f>
        <v>30000</v>
      </c>
      <c r="D19" s="20">
        <f t="shared" si="7"/>
        <v>145500</v>
      </c>
      <c r="E19" s="8"/>
    </row>
    <row r="20" spans="1:5" x14ac:dyDescent="0.3">
      <c r="A20" t="s">
        <v>18</v>
      </c>
      <c r="B20" s="20">
        <f>MAX(B8:B12)</f>
        <v>425000</v>
      </c>
      <c r="C20" s="20">
        <f t="shared" ref="C20:D20" si="8">MAX(C8:C12)</f>
        <v>80000</v>
      </c>
      <c r="D20" s="20">
        <f t="shared" si="8"/>
        <v>365000</v>
      </c>
      <c r="E20" s="8"/>
    </row>
    <row r="21" spans="1:5" x14ac:dyDescent="0.3">
      <c r="A21" t="s">
        <v>28</v>
      </c>
      <c r="B21" s="21">
        <f>COUNT(B8:B12)</f>
        <v>5</v>
      </c>
      <c r="C21" s="21">
        <f t="shared" ref="C21:D21" si="9">COUNT(C8:C12)</f>
        <v>5</v>
      </c>
      <c r="D21" s="21">
        <f t="shared" si="9"/>
        <v>5</v>
      </c>
      <c r="E21" s="8"/>
    </row>
    <row r="22" spans="1:5" x14ac:dyDescent="0.3">
      <c r="E22" s="8"/>
    </row>
    <row r="23" spans="1:5" x14ac:dyDescent="0.3">
      <c r="E23" s="8"/>
    </row>
    <row r="24" spans="1:5" x14ac:dyDescent="0.3">
      <c r="E24" s="8"/>
    </row>
    <row r="25" spans="1:5" x14ac:dyDescent="0.3">
      <c r="E25" s="8"/>
    </row>
    <row r="26" spans="1:5" x14ac:dyDescent="0.3">
      <c r="E26" s="8"/>
    </row>
    <row r="27" spans="1:5" x14ac:dyDescent="0.3">
      <c r="E27" s="8"/>
    </row>
    <row r="28" spans="1:5" x14ac:dyDescent="0.3">
      <c r="E28" s="8"/>
    </row>
    <row r="29" spans="1:5" x14ac:dyDescent="0.3">
      <c r="E29" s="8"/>
    </row>
    <row r="30" spans="1:5" x14ac:dyDescent="0.3">
      <c r="E30" s="8"/>
    </row>
    <row r="31" spans="1:5" x14ac:dyDescent="0.3">
      <c r="E31" s="8"/>
    </row>
    <row r="32" spans="1:5" x14ac:dyDescent="0.3">
      <c r="E32" s="8"/>
    </row>
    <row r="33" spans="5:5" x14ac:dyDescent="0.3">
      <c r="E33" s="8"/>
    </row>
    <row r="34" spans="5:5" x14ac:dyDescent="0.3">
      <c r="E34" s="8"/>
    </row>
    <row r="35" spans="5:5" x14ac:dyDescent="0.3">
      <c r="E35" s="8"/>
    </row>
    <row r="36" spans="5:5" x14ac:dyDescent="0.3">
      <c r="E36" s="8"/>
    </row>
    <row r="37" spans="5:5" x14ac:dyDescent="0.3">
      <c r="E37" s="8"/>
    </row>
    <row r="38" spans="5:5" x14ac:dyDescent="0.3">
      <c r="E38" s="8"/>
    </row>
    <row r="39" spans="5:5" x14ac:dyDescent="0.3">
      <c r="E39" s="8"/>
    </row>
    <row r="40" spans="5:5" x14ac:dyDescent="0.3">
      <c r="E40" s="8"/>
    </row>
    <row r="41" spans="5:5" x14ac:dyDescent="0.3">
      <c r="E41" s="8"/>
    </row>
    <row r="42" spans="5:5" x14ac:dyDescent="0.3">
      <c r="E42" s="8"/>
    </row>
    <row r="43" spans="5:5" x14ac:dyDescent="0.3">
      <c r="E43" s="8"/>
    </row>
    <row r="44" spans="5:5" x14ac:dyDescent="0.3">
      <c r="E44" s="8"/>
    </row>
    <row r="45" spans="5:5" x14ac:dyDescent="0.3">
      <c r="E45" s="8"/>
    </row>
    <row r="46" spans="5:5" x14ac:dyDescent="0.3">
      <c r="E46" s="8"/>
    </row>
    <row r="47" spans="5:5" x14ac:dyDescent="0.3">
      <c r="E47" s="8"/>
    </row>
    <row r="48" spans="5:5" x14ac:dyDescent="0.3">
      <c r="E48" s="8"/>
    </row>
    <row r="49" spans="5:5" x14ac:dyDescent="0.3">
      <c r="E49" s="8"/>
    </row>
    <row r="50" spans="5:5" x14ac:dyDescent="0.3">
      <c r="E50" s="8"/>
    </row>
    <row r="51" spans="5:5" x14ac:dyDescent="0.3">
      <c r="E51" s="8"/>
    </row>
    <row r="52" spans="5:5" x14ac:dyDescent="0.3">
      <c r="E52" s="8"/>
    </row>
    <row r="53" spans="5:5" x14ac:dyDescent="0.3">
      <c r="E53" s="8"/>
    </row>
    <row r="54" spans="5:5" x14ac:dyDescent="0.3">
      <c r="E54" s="8"/>
    </row>
    <row r="55" spans="5:5" x14ac:dyDescent="0.3">
      <c r="E55" s="8"/>
    </row>
  </sheetData>
  <mergeCells count="2">
    <mergeCell ref="A3:B3"/>
    <mergeCell ref="A14:D14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tabSelected="1" topLeftCell="A2" zoomScale="172" zoomScaleNormal="100" workbookViewId="0">
      <selection activeCell="I10" sqref="I10"/>
    </sheetView>
  </sheetViews>
  <sheetFormatPr defaultColWidth="8.77734375" defaultRowHeight="14.4" x14ac:dyDescent="0.3"/>
  <cols>
    <col min="1" max="1" width="14.77734375" customWidth="1"/>
    <col min="2" max="2" width="12.44140625" customWidth="1"/>
    <col min="3" max="3" width="11.33203125" customWidth="1"/>
    <col min="4" max="4" width="10" bestFit="1" customWidth="1"/>
    <col min="7" max="7" width="10.44140625" bestFit="1" customWidth="1"/>
    <col min="8" max="8" width="10.44140625" customWidth="1"/>
    <col min="9" max="9" width="11.33203125" customWidth="1"/>
  </cols>
  <sheetData>
    <row r="1" spans="1:9" ht="23.4" x14ac:dyDescent="0.45">
      <c r="A1" s="22" t="s">
        <v>29</v>
      </c>
    </row>
    <row r="3" spans="1:9" ht="15.6" x14ac:dyDescent="0.3">
      <c r="A3" s="30" t="s">
        <v>26</v>
      </c>
      <c r="B3" s="30"/>
      <c r="C3" s="9"/>
      <c r="D3" s="23" t="s">
        <v>5</v>
      </c>
      <c r="E3" s="23" t="s">
        <v>11</v>
      </c>
    </row>
    <row r="4" spans="1:9" x14ac:dyDescent="0.3">
      <c r="A4" t="s">
        <v>19</v>
      </c>
      <c r="B4" s="1">
        <f ca="1">TODAY()</f>
        <v>45957</v>
      </c>
      <c r="D4" s="2">
        <v>15</v>
      </c>
      <c r="E4" s="5">
        <v>3.2500000000000001E-2</v>
      </c>
    </row>
    <row r="5" spans="1:9" x14ac:dyDescent="0.3">
      <c r="A5" t="s">
        <v>25</v>
      </c>
      <c r="B5">
        <v>12</v>
      </c>
      <c r="D5" s="2">
        <v>25</v>
      </c>
      <c r="E5" s="5">
        <v>3.6249999999999998E-2</v>
      </c>
    </row>
    <row r="6" spans="1:9" x14ac:dyDescent="0.3">
      <c r="A6" t="s">
        <v>21</v>
      </c>
      <c r="B6" s="8">
        <v>3.8E-3</v>
      </c>
      <c r="D6" s="2">
        <v>30</v>
      </c>
      <c r="E6" s="5">
        <v>3.7499999999999999E-2</v>
      </c>
    </row>
    <row r="7" spans="1:9" x14ac:dyDescent="0.3">
      <c r="A7" t="s">
        <v>23</v>
      </c>
      <c r="B7" s="7">
        <v>0.2</v>
      </c>
    </row>
    <row r="8" spans="1:9" ht="31.2" x14ac:dyDescent="0.3">
      <c r="A8" s="23" t="s">
        <v>13</v>
      </c>
      <c r="B8" s="24" t="s">
        <v>0</v>
      </c>
      <c r="C8" s="24" t="s">
        <v>1</v>
      </c>
      <c r="D8" s="24" t="s">
        <v>2</v>
      </c>
      <c r="E8" s="24" t="s">
        <v>24</v>
      </c>
      <c r="F8" s="24" t="s">
        <v>5</v>
      </c>
      <c r="G8" s="24" t="s">
        <v>3</v>
      </c>
      <c r="H8" s="24" t="s">
        <v>9</v>
      </c>
      <c r="I8" s="24" t="s">
        <v>10</v>
      </c>
    </row>
    <row r="9" spans="1:9" x14ac:dyDescent="0.3">
      <c r="A9" s="2">
        <v>392786</v>
      </c>
      <c r="B9" s="3">
        <v>425750</v>
      </c>
      <c r="C9" s="3">
        <v>86000</v>
      </c>
      <c r="D9" s="6">
        <f>B9-C9</f>
        <v>339750</v>
      </c>
      <c r="E9" s="19">
        <f>C9/B9</f>
        <v>0.20199647680563712</v>
      </c>
      <c r="F9" s="2">
        <v>25</v>
      </c>
      <c r="G9" s="17">
        <f>VLOOKUP(F9,$D$4:$E$6,2,FALSE)</f>
        <v>3.6249999999999998E-2</v>
      </c>
      <c r="H9" s="27">
        <v>1723.73</v>
      </c>
      <c r="I9" s="25">
        <f>IF(E9&gt;=$B$7,0,D9*$B$6/$B$5)</f>
        <v>0</v>
      </c>
    </row>
    <row r="10" spans="1:9" x14ac:dyDescent="0.3">
      <c r="A10" s="2">
        <v>393000</v>
      </c>
      <c r="B10" s="3">
        <v>335900</v>
      </c>
      <c r="C10" s="3">
        <v>75500</v>
      </c>
      <c r="D10" s="6">
        <f t="shared" ref="D10:D13" si="0">B10-C10</f>
        <v>260400</v>
      </c>
      <c r="E10" s="19">
        <f t="shared" ref="E10:E13" si="1">C10/B10</f>
        <v>0.22476927657040785</v>
      </c>
      <c r="F10" s="2">
        <v>30</v>
      </c>
      <c r="G10" s="17">
        <f t="shared" ref="G10:G13" si="2">VLOOKUP(F10,$D$4:$E$6,2,FALSE)</f>
        <v>3.7499999999999999E-2</v>
      </c>
      <c r="H10" s="27">
        <v>1205.95</v>
      </c>
      <c r="I10" s="25">
        <f t="shared" ref="I10:I13" si="3">IF(E10&gt;=$B$7,0,D10*$B$6/$B$5)</f>
        <v>0</v>
      </c>
    </row>
    <row r="11" spans="1:9" x14ac:dyDescent="0.3">
      <c r="A11" s="2">
        <v>393025</v>
      </c>
      <c r="B11" s="3">
        <v>205500</v>
      </c>
      <c r="C11" s="3">
        <v>30000</v>
      </c>
      <c r="D11" s="6">
        <f t="shared" si="0"/>
        <v>175500</v>
      </c>
      <c r="E11" s="19">
        <f t="shared" si="1"/>
        <v>0.145985401459854</v>
      </c>
      <c r="F11" s="2">
        <v>25</v>
      </c>
      <c r="G11" s="17">
        <f t="shared" si="2"/>
        <v>3.6249999999999998E-2</v>
      </c>
      <c r="H11" s="27">
        <v>890.4</v>
      </c>
      <c r="I11" s="25">
        <f t="shared" si="3"/>
        <v>55.574999999999996</v>
      </c>
    </row>
    <row r="12" spans="1:9" x14ac:dyDescent="0.3">
      <c r="A12" s="2">
        <v>392600</v>
      </c>
      <c r="B12" s="3">
        <v>285900</v>
      </c>
      <c r="C12" s="3">
        <v>50000</v>
      </c>
      <c r="D12" s="6">
        <f t="shared" si="0"/>
        <v>235900</v>
      </c>
      <c r="E12" s="19">
        <f t="shared" si="1"/>
        <v>0.17488632388947184</v>
      </c>
      <c r="F12" s="2">
        <v>15</v>
      </c>
      <c r="G12" s="17">
        <f t="shared" si="2"/>
        <v>3.2500000000000001E-2</v>
      </c>
      <c r="H12" s="27">
        <v>1657.6</v>
      </c>
      <c r="I12" s="25">
        <f t="shared" si="3"/>
        <v>74.701666666666668</v>
      </c>
    </row>
    <row r="13" spans="1:9" x14ac:dyDescent="0.3">
      <c r="A13" s="2">
        <v>392638</v>
      </c>
      <c r="B13" s="3">
        <v>329900</v>
      </c>
      <c r="C13" s="3">
        <v>70000</v>
      </c>
      <c r="D13" s="6">
        <f t="shared" si="0"/>
        <v>259900</v>
      </c>
      <c r="E13" s="19">
        <f t="shared" si="1"/>
        <v>0.21218551076083661</v>
      </c>
      <c r="F13" s="2">
        <v>30</v>
      </c>
      <c r="G13" s="17">
        <f t="shared" si="2"/>
        <v>3.7499999999999999E-2</v>
      </c>
      <c r="H13" s="27">
        <v>1203.6400000000001</v>
      </c>
      <c r="I13" s="25">
        <f t="shared" si="3"/>
        <v>0</v>
      </c>
    </row>
  </sheetData>
  <mergeCells count="1">
    <mergeCell ref="A3:B3"/>
  </mergeCells>
  <pageMargins left="0.2" right="0.2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Payment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Exploring Series</dc:creator>
  <cp:lastModifiedBy>Soham Satpute</cp:lastModifiedBy>
  <cp:lastPrinted>2009-05-22T20:04:29Z</cp:lastPrinted>
  <dcterms:created xsi:type="dcterms:W3CDTF">2009-05-03T22:27:58Z</dcterms:created>
  <dcterms:modified xsi:type="dcterms:W3CDTF">2025-10-27T16:38:37Z</dcterms:modified>
</cp:coreProperties>
</file>